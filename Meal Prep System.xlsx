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cipes" sheetId="2" state="visible" r:id="rId4"/>
    <sheet name="Weekly Log" sheetId="3" state="visible" r:id="rId5"/>
    <sheet name="Ingredients" sheetId="4" state="visible" r:id="rId6"/>
    <sheet name="Grocery List" sheetId="5" state="visible" r:id="rId7"/>
    <sheet name="Ingredient Catalog" sheetId="6" state="visible" r:id="rId8"/>
    <sheet name="Lists" sheetId="7" state="hidden" r:id="rId9"/>
  </sheets>
  <definedNames>
    <definedName function="false" hidden="true" localSheetId="5" name="_xlnm._FilterDatabase" vbProcedure="false">'Ingredient Catalog'!$A$3:$J$503</definedName>
    <definedName function="false" hidden="true" localSheetId="3" name="_xlnm._FilterDatabase" vbProcedure="false">Ingredients!$A$3:$H$3003</definedName>
    <definedName function="false" hidden="true" localSheetId="1" name="_xlnm._FilterDatabase" vbProcedure="false">Recipes!$A$3:$Q$503</definedName>
    <definedName function="false" hidden="true" localSheetId="2" name="_xlnm._FilterDatabase" vbProcedure="false">'Weekly Log'!$A$3:$L$1003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<sst xmlns="http://schemas.openxmlformats.org/spreadsheetml/2006/main" count="400" uniqueCount="187">
  <si>
    <t xml:space="preserve">Meal Prep System</t>
  </si>
  <si>
    <t xml:space="preserve">Two lunches + two dinners a week. Options mix new AI-suggested recipes with favourites from your own recipe bank.</t>
  </si>
  <si>
    <t xml:space="preserve">THE WEEKLY LOOP</t>
  </si>
  <si>
    <t xml:space="preserve">1. Sunday — the pitch. Two or three options per slot (Lunch 1, Lunch 2, Dinner 1, Dinner 2): new AI picks plus recipe-bank favourites. New recipes go on Recipes; each option gets a row on Weekly Log with picked = No.</t>
  </si>
  <si>
    <t xml:space="preserve">2. You both reply with a pick for each slot. Flip those rows to picked = Yes.</t>
  </si>
  <si>
    <t xml:space="preserve">3. Make sure each picked recipe's ingredients are on the Ingredients tab. The Grocery List tab then builds itself: duplicates added up, sorted by aisle, pantry staples last.</t>
  </si>
  <si>
    <t xml:space="preserve">4. Following Sunday — the debrief. Fill rating_lily / rating_andrei (1–5) and verdict (Again / Tweak / Never) for last week's picks. For Tweak, write what should change in the tweak column; it then shows as latest_tweak on Recipes so the next pitch includes it.</t>
  </si>
  <si>
    <t xml:space="preserve">WHAT EACH TAB IS</t>
  </si>
  <si>
    <t xml:space="preserve">Recipes — every recipe you've ever been offered. Grey columns count how often it's been offered, picked, its average rating and when you last made it.</t>
  </si>
  <si>
    <t xml:space="preserve">Weekly Log — every option offered, every week. Logging the ones you passed on too is what makes pick_rate meaningful.</t>
  </si>
  <si>
    <t xml:space="preserve">Ingredients — one row per ingredient per recipe. Entered once per recipe, reused every time you make it again.</t>
  </si>
  <si>
    <t xml:space="preserve">Ingredient Catalog — each ingredient once, with one spelling, one unit, an aisle and whether it's a pantry staple.</t>
  </si>
  <si>
    <t xml:space="preserve">Grocery List — read-only. Change the date in B3 to see an older week.</t>
  </si>
  <si>
    <t xml:space="preserve">LEGEND</t>
  </si>
  <si>
    <t xml:space="preserve">Yellow column header = you type here.   Grey column header = formula, leave it alone.</t>
  </si>
  <si>
    <t xml:space="preserve">Grey italic rows with EX ids are examples showing the format. Delete them from every tab before your first real week.</t>
  </si>
  <si>
    <t xml:space="preserve">PICKING RECIPE-BANK FAVOURITES</t>
  </si>
  <si>
    <t xml:space="preserve">Filter Recipes to verdict-worthy rows: avg_rating ≥ 4, pick_rate high, weeks_since_made ≥ 3. That keeps favourites rotating instead of repeating.</t>
  </si>
  <si>
    <t xml:space="preserve">CAPACITY</t>
  </si>
  <si>
    <t xml:space="preserve">Formulas are pre-filled for 500 recipes, 3,000 ingredient rows, 500 catalog items and 1,000 log rows — years of weekly prep, far past a two-month trial.</t>
  </si>
  <si>
    <t xml:space="preserve">Recipes — one row per recipe, ever</t>
  </si>
  <si>
    <t xml:space="preserve">Yellow headers: you fill in. Grey headers: calculated from the Weekly Log, don't type in them. Grey italic EX rows are examples; delete them before week 1.</t>
  </si>
  <si>
    <t xml:space="preserve">recipe_id</t>
  </si>
  <si>
    <t xml:space="preserve">name</t>
  </si>
  <si>
    <t xml:space="preserve">source</t>
  </si>
  <si>
    <t xml:space="preserve">url</t>
  </si>
  <si>
    <t xml:space="preserve">meal_type</t>
  </si>
  <si>
    <t xml:space="preserve">cuisine</t>
  </si>
  <si>
    <t xml:space="preserve">servings</t>
  </si>
  <si>
    <t xml:space="preserve">added_on</t>
  </si>
  <si>
    <t xml:space="preserve">status</t>
  </si>
  <si>
    <t xml:space="preserve">times_offered</t>
  </si>
  <si>
    <t xml:space="preserve">times_picked</t>
  </si>
  <si>
    <t xml:space="preserve">pick_rate</t>
  </si>
  <si>
    <t xml:space="preserve">avg_rating</t>
  </si>
  <si>
    <t xml:space="preserve">last_made</t>
  </si>
  <si>
    <t xml:space="preserve">weeks_since_made</t>
  </si>
  <si>
    <t xml:space="preserve">notes</t>
  </si>
  <si>
    <t xml:space="preserve">latest_tweak</t>
  </si>
  <si>
    <t xml:space="preserve">EX01</t>
  </si>
  <si>
    <t xml:space="preserve">Chicken burrito bowls</t>
  </si>
  <si>
    <t xml:space="preserve">AI</t>
  </si>
  <si>
    <t xml:space="preserve">Lunch</t>
  </si>
  <si>
    <t xml:space="preserve">Mexican</t>
  </si>
  <si>
    <t xml:space="preserve">Active</t>
  </si>
  <si>
    <t xml:space="preserve">EX02</t>
  </si>
  <si>
    <t xml:space="preserve">Cold sesame noodles with cucumber</t>
  </si>
  <si>
    <t xml:space="preserve">Chinese</t>
  </si>
  <si>
    <t xml:space="preserve">EX03</t>
  </si>
  <si>
    <t xml:space="preserve">Ciorbă de perișoare (meatball soup)</t>
  </si>
  <si>
    <t xml:space="preserve">Own</t>
  </si>
  <si>
    <t xml:space="preserve">Romanian</t>
  </si>
  <si>
    <t xml:space="preserve">EX04</t>
  </si>
  <si>
    <t xml:space="preserve">Greek chicken orzo</t>
  </si>
  <si>
    <t xml:space="preserve">Mediterranean</t>
  </si>
  <si>
    <t xml:space="preserve">EX05</t>
  </si>
  <si>
    <t xml:space="preserve">Sheet-pan sausage, peppers &amp; potatoes</t>
  </si>
  <si>
    <t xml:space="preserve">Dinner</t>
  </si>
  <si>
    <t xml:space="preserve">American</t>
  </si>
  <si>
    <t xml:space="preserve">EX06</t>
  </si>
  <si>
    <t xml:space="preserve">Red-braised pork belly (hong shao rou)</t>
  </si>
  <si>
    <t xml:space="preserve">EX07</t>
  </si>
  <si>
    <t xml:space="preserve">Tomato egg stir-fry</t>
  </si>
  <si>
    <t xml:space="preserve">EX08</t>
  </si>
  <si>
    <t xml:space="preserve">Chicken papricaș with mămăligă</t>
  </si>
  <si>
    <t xml:space="preserve">Weekly Log — one row per option offered, every week</t>
  </si>
  <si>
    <t xml:space="preserve">Sunday: add every option in the pitch (picked = No). After you choose: flip picks to Yes. Next week's debrief: fill ratings 1–5, verdict, and what to change in tweak.</t>
  </si>
  <si>
    <t xml:space="preserve">week_of</t>
  </si>
  <si>
    <t xml:space="preserve">slot</t>
  </si>
  <si>
    <t xml:space="preserve">recipe_name</t>
  </si>
  <si>
    <t xml:space="preserve">picked</t>
  </si>
  <si>
    <t xml:space="preserve">rating_lily</t>
  </si>
  <si>
    <t xml:space="preserve">rating_andrei</t>
  </si>
  <si>
    <t xml:space="preserve">verdict</t>
  </si>
  <si>
    <t xml:space="preserve">tweak</t>
  </si>
  <si>
    <t xml:space="preserve">grocery_rank</t>
  </si>
  <si>
    <t xml:space="preserve">Lunch 1</t>
  </si>
  <si>
    <t xml:space="preserve">Yes</t>
  </si>
  <si>
    <t xml:space="preserve">Tweak</t>
  </si>
  <si>
    <t xml:space="preserve">Extra lovage, more borș</t>
  </si>
  <si>
    <t xml:space="preserve">Even better on day 3</t>
  </si>
  <si>
    <t xml:space="preserve">Dinner 1</t>
  </si>
  <si>
    <t xml:space="preserve">Again</t>
  </si>
  <si>
    <t xml:space="preserve">Andrei wants it weekly</t>
  </si>
  <si>
    <t xml:space="preserve">No</t>
  </si>
  <si>
    <t xml:space="preserve">Lunch 2</t>
  </si>
  <si>
    <t xml:space="preserve">Dinner 2</t>
  </si>
  <si>
    <t xml:space="preserve">Ingredients — one row per ingredient in each recipe</t>
  </si>
  <si>
    <t xml:space="preserve">Pick the ingredient from the dropdown (add it to the Ingredient Catalog first if it's new). Quantity is per batch, in the catalog's unit. Leave quantity blank for 'to taste'.</t>
  </si>
  <si>
    <t xml:space="preserve">ingredient</t>
  </si>
  <si>
    <t xml:space="preserve">quantity</t>
  </si>
  <si>
    <t xml:space="preserve">unit</t>
  </si>
  <si>
    <t xml:space="preserve">prep_note</t>
  </si>
  <si>
    <t xml:space="preserve">times_needed_this_week</t>
  </si>
  <si>
    <t xml:space="preserve">qty_this_week</t>
  </si>
  <si>
    <t xml:space="preserve">Wheat noodles</t>
  </si>
  <si>
    <t xml:space="preserve">Cucumber</t>
  </si>
  <si>
    <t xml:space="preserve">smashed</t>
  </si>
  <si>
    <t xml:space="preserve">Chinese sesame paste</t>
  </si>
  <si>
    <t xml:space="preserve">Soy sauce</t>
  </si>
  <si>
    <t xml:space="preserve">Chinkiang black vinegar</t>
  </si>
  <si>
    <t xml:space="preserve">Chili oil</t>
  </si>
  <si>
    <t xml:space="preserve">Garlic</t>
  </si>
  <si>
    <t xml:space="preserve">grated</t>
  </si>
  <si>
    <t xml:space="preserve">Scallions</t>
  </si>
  <si>
    <t xml:space="preserve">Ground pork</t>
  </si>
  <si>
    <t xml:space="preserve">Rice</t>
  </si>
  <si>
    <t xml:space="preserve">Onion</t>
  </si>
  <si>
    <t xml:space="preserve">diced</t>
  </si>
  <si>
    <t xml:space="preserve">Carrot</t>
  </si>
  <si>
    <t xml:space="preserve">Lovage (leuștean)</t>
  </si>
  <si>
    <t xml:space="preserve">Borș</t>
  </si>
  <si>
    <t xml:space="preserve">Egg</t>
  </si>
  <si>
    <t xml:space="preserve">Sour cream</t>
  </si>
  <si>
    <t xml:space="preserve">to serve</t>
  </si>
  <si>
    <t xml:space="preserve">Tomato paste</t>
  </si>
  <si>
    <t xml:space="preserve">Italian sausage</t>
  </si>
  <si>
    <t xml:space="preserve">Bell pepper</t>
  </si>
  <si>
    <t xml:space="preserve">strips</t>
  </si>
  <si>
    <t xml:space="preserve">wedges</t>
  </si>
  <si>
    <t xml:space="preserve">Baby potatoes</t>
  </si>
  <si>
    <t xml:space="preserve">halved</t>
  </si>
  <si>
    <t xml:space="preserve">Olive oil</t>
  </si>
  <si>
    <t xml:space="preserve">Chicken thighs</t>
  </si>
  <si>
    <t xml:space="preserve">Sweet paprika</t>
  </si>
  <si>
    <t xml:space="preserve">Flour</t>
  </si>
  <si>
    <t xml:space="preserve">Cornmeal (mălai)</t>
  </si>
  <si>
    <t xml:space="preserve">Salt</t>
  </si>
  <si>
    <t xml:space="preserve">Grocery List</t>
  </si>
  <si>
    <t xml:space="preserve">Week of</t>
  </si>
  <si>
    <t xml:space="preserve">← defaults to the latest week in the log; type a date here to see an older week</t>
  </si>
  <si>
    <t xml:space="preserve">This week's picks</t>
  </si>
  <si>
    <t xml:space="preserve">Slot</t>
  </si>
  <si>
    <t xml:space="preserve">Recipe</t>
  </si>
  <si>
    <t xml:space="preserve">Shopping list (by aisle, pantry staples last — cross off what you already have)</t>
  </si>
  <si>
    <t xml:space="preserve">✓</t>
  </si>
  <si>
    <t xml:space="preserve">Ingredient</t>
  </si>
  <si>
    <t xml:space="preserve">Qty</t>
  </si>
  <si>
    <t xml:space="preserve">Unit</t>
  </si>
  <si>
    <t xml:space="preserve">Aisle</t>
  </si>
  <si>
    <t xml:space="preserve">Pantry?</t>
  </si>
  <si>
    <t xml:space="preserve">Where / notes</t>
  </si>
  <si>
    <t xml:space="preserve">Ingredient Catalog — one row per ingredient, spelled one way</t>
  </si>
  <si>
    <t xml:space="preserve">Every ingredient lives here once, with a single unit. The Ingredients tab picks from this list, which is what lets the grocery list add up duplicates.</t>
  </si>
  <si>
    <t xml:space="preserve">aisle</t>
  </si>
  <si>
    <t xml:space="preserve">pantry_staple</t>
  </si>
  <si>
    <t xml:space="preserve">where_to_buy / notes</t>
  </si>
  <si>
    <t xml:space="preserve">aisle_order</t>
  </si>
  <si>
    <t xml:space="preserve">uses_this_week</t>
  </si>
  <si>
    <t xml:space="preserve">sort_key</t>
  </si>
  <si>
    <t xml:space="preserve">list_rank</t>
  </si>
  <si>
    <t xml:space="preserve">Grains &amp; Noodles</t>
  </si>
  <si>
    <t xml:space="preserve">lb</t>
  </si>
  <si>
    <t xml:space="preserve">H Mart</t>
  </si>
  <si>
    <t xml:space="preserve">Produce</t>
  </si>
  <si>
    <t xml:space="preserve">each</t>
  </si>
  <si>
    <t xml:space="preserve">Asian Pantry</t>
  </si>
  <si>
    <t xml:space="preserve">tbsp</t>
  </si>
  <si>
    <t xml:space="preserve">clove</t>
  </si>
  <si>
    <t xml:space="preserve">bunch</t>
  </si>
  <si>
    <t xml:space="preserve">Meat &amp; Fish</t>
  </si>
  <si>
    <t xml:space="preserve">cup</t>
  </si>
  <si>
    <t xml:space="preserve">Romanian/Polish deli</t>
  </si>
  <si>
    <t xml:space="preserve">Eastern European</t>
  </si>
  <si>
    <t xml:space="preserve">Dairy &amp; Eggs</t>
  </si>
  <si>
    <t xml:space="preserve">Canned &amp; Jarred</t>
  </si>
  <si>
    <t xml:space="preserve">Oils &amp; Vinegars</t>
  </si>
  <si>
    <t xml:space="preserve">Spices</t>
  </si>
  <si>
    <t xml:space="preserve">Baking</t>
  </si>
  <si>
    <t xml:space="preserve">to taste</t>
  </si>
  <si>
    <t xml:space="preserve">Aisle (in shopping order)</t>
  </si>
  <si>
    <t xml:space="preserve">Source</t>
  </si>
  <si>
    <t xml:space="preserve">Meal type</t>
  </si>
  <si>
    <t xml:space="preserve">Cuisine</t>
  </si>
  <si>
    <t xml:space="preserve">Yes/No</t>
  </si>
  <si>
    <t xml:space="preserve">Verdict</t>
  </si>
  <si>
    <t xml:space="preserve">Status</t>
  </si>
  <si>
    <t xml:space="preserve">Retired</t>
  </si>
  <si>
    <t xml:space="preserve">Either</t>
  </si>
  <si>
    <t xml:space="preserve">Never</t>
  </si>
  <si>
    <t xml:space="preserve">Tofu &amp; Refrigerated</t>
  </si>
  <si>
    <t xml:space="preserve">Italian</t>
  </si>
  <si>
    <t xml:space="preserve">Bakery</t>
  </si>
  <si>
    <t xml:space="preserve">Frozen</t>
  </si>
  <si>
    <t xml:space="preserve">Korean</t>
  </si>
  <si>
    <t xml:space="preserve">Japanese</t>
  </si>
  <si>
    <t xml:space="preserve">Other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</si>
</sst>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%"/>
    <numFmt numFmtId="168" formatCode="0.0"/>
    <numFmt numFmtId="169" formatCode="0.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F4F3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3E"/>
        <bgColor rgb="FF404040"/>
      </patternFill>
    </fill>
    <fill>
      <patternFill patternType="solid">
        <fgColor rgb="FFFFF4C2"/>
        <bgColor rgb="FFFFFF99"/>
      </patternFill>
    </fill>
    <fill>
      <patternFill patternType="solid">
        <fgColor rgb="FFE7E6E6"/>
        <bgColor rgb="FFFFF4C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4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C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F4F3E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6.85" hidden="false" customHeight="false" outlineLevel="0" collapsed="false">
      <c r="A7" s="3" t="s">
        <v>5</v>
      </c>
    </row>
    <row r="8" customFormat="false" ht="39.5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26.85" hidden="false" customHeight="false" outlineLevel="0" collapsed="false">
      <c r="A11" s="3" t="s">
        <v>8</v>
      </c>
    </row>
    <row r="12" customFormat="false" ht="26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26.8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  <row r="25" customFormat="false" ht="26.85" hidden="false" customHeight="fals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3" min="10" style="0" width="10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30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5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21</v>
      </c>
    </row>
    <row r="3" customFormat="false" ht="30" hidden="false" customHeight="true" outlineLevel="0" collapsed="false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9" t="s">
        <v>31</v>
      </c>
      <c r="K3" s="9" t="s">
        <v>32</v>
      </c>
      <c r="L3" s="9" t="s">
        <v>33</v>
      </c>
      <c r="M3" s="9" t="s">
        <v>34</v>
      </c>
      <c r="N3" s="9" t="s">
        <v>35</v>
      </c>
      <c r="O3" s="9" t="s">
        <v>36</v>
      </c>
      <c r="P3" s="8" t="s">
        <v>37</v>
      </c>
      <c r="Q3" s="9" t="s">
        <v>38</v>
      </c>
    </row>
    <row r="4" customFormat="false" ht="15" hidden="false" customHeight="false" outlineLevel="0" collapsed="false">
      <c r="A4" s="10" t="s">
        <v>39</v>
      </c>
      <c r="B4" s="10" t="s">
        <v>40</v>
      </c>
      <c r="C4" s="10" t="s">
        <v>41</v>
      </c>
      <c r="E4" s="10" t="s">
        <v>42</v>
      </c>
      <c r="F4" s="10" t="s">
        <v>43</v>
      </c>
      <c r="G4" s="10" t="n">
        <v>4</v>
      </c>
      <c r="H4" s="11" t="n">
        <v>46312</v>
      </c>
      <c r="I4" s="10" t="s">
        <v>44</v>
      </c>
      <c r="J4" s="12" t="n">
        <f aca="false">IF(A4="","",COUNTIF('Weekly Log'!$C:$C,A4))</f>
        <v>1</v>
      </c>
      <c r="K4" s="12" t="n">
        <f aca="false">IF(A4="","",COUNTIFS('Weekly Log'!$C:$C,A4,'Weekly Log'!$E:$E,"Yes"))</f>
        <v>0</v>
      </c>
      <c r="L4" s="13" t="n">
        <f aca="false">IF(A4="","",IF(J4=0,"",K4/J4))</f>
        <v>0</v>
      </c>
      <c r="M4" s="14" t="str">
        <f aca="false">IF(A4="","",IFERROR((SUMIFS('Weekly Log'!$F:$F,'Weekly Log'!$C:$C,A4)+SUMIFS('Weekly Log'!$G:$G,'Weekly Log'!$C:$C,A4))/(COUNTIFS('Weekly Log'!$C:$C,A4,'Weekly Log'!$F:$F,"&lt;&gt;")+COUNTIFS('Weekly Log'!$C:$C,A4,'Weekly Log'!$G:$G,"&lt;&gt;")),""))</f>
        <v/>
      </c>
      <c r="N4" s="15" t="str">
        <f aca="false">IF(A4="","",IF(K4=0,"",_xlfn.MAXIFS('Weekly Log'!$A:$A,'Weekly Log'!$C:$C,A4,'Weekly Log'!$E:$E,"Yes")))</f>
        <v/>
      </c>
      <c r="O4" s="12" t="str">
        <f aca="true">IF(N4="","",MAX(0,INT((TODAY()-N4)/7)))</f>
        <v/>
      </c>
      <c r="Q4" s="12" t="str">
        <f aca="false">IF(A4="","",IFERROR(LOOKUP(2,1/(('Weekly Log'!$C$4:$C$1003=A4)*('Weekly Log'!$I$4:$I$1003&lt;&gt;"")),'Weekly Log'!$I$4:$I$1003),""))</f>
        <v/>
      </c>
    </row>
    <row r="5" customFormat="false" ht="15" hidden="false" customHeight="false" outlineLevel="0" collapsed="false">
      <c r="A5" s="10" t="s">
        <v>45</v>
      </c>
      <c r="B5" s="10" t="s">
        <v>46</v>
      </c>
      <c r="C5" s="10" t="s">
        <v>41</v>
      </c>
      <c r="E5" s="10" t="s">
        <v>42</v>
      </c>
      <c r="F5" s="10" t="s">
        <v>47</v>
      </c>
      <c r="G5" s="10" t="n">
        <v>4</v>
      </c>
      <c r="H5" s="11" t="n">
        <v>46312</v>
      </c>
      <c r="I5" s="10" t="s">
        <v>44</v>
      </c>
      <c r="J5" s="12" t="n">
        <f aca="false">IF(A5="","",COUNTIF('Weekly Log'!$C:$C,A5))</f>
        <v>1</v>
      </c>
      <c r="K5" s="12" t="n">
        <f aca="false">IF(A5="","",COUNTIFS('Weekly Log'!$C:$C,A5,'Weekly Log'!$E:$E,"Yes"))</f>
        <v>1</v>
      </c>
      <c r="L5" s="13" t="n">
        <f aca="false">IF(A5="","",IF(J5=0,"",K5/J5))</f>
        <v>1</v>
      </c>
      <c r="M5" s="14" t="str">
        <f aca="false">IF(A5="","",IFERROR((SUMIFS('Weekly Log'!$F:$F,'Weekly Log'!$C:$C,A5)+SUMIFS('Weekly Log'!$G:$G,'Weekly Log'!$C:$C,A5))/(COUNTIFS('Weekly Log'!$C:$C,A5,'Weekly Log'!$F:$F,"&lt;&gt;")+COUNTIFS('Weekly Log'!$C:$C,A5,'Weekly Log'!$G:$G,"&lt;&gt;")),""))</f>
        <v/>
      </c>
      <c r="N5" s="15" t="n">
        <f aca="false">IF(A5="","",IF(K5=0,"",_xlfn.MAXIFS('Weekly Log'!$A:$A,'Weekly Log'!$C:$C,A5,'Weekly Log'!$E:$E,"Yes")))</f>
        <v>46313</v>
      </c>
      <c r="O5" s="12" t="n">
        <f aca="true">IF(N5="","",MAX(0,INT((TODAY()-N5)/7)))</f>
        <v>0</v>
      </c>
      <c r="Q5" s="12" t="str">
        <f aca="false">IF(A5="","",IFERROR(LOOKUP(2,1/(('Weekly Log'!$C$4:$C$1003=A5)*('Weekly Log'!$I$4:$I$1003&lt;&gt;"")),'Weekly Log'!$I$4:$I$1003),""))</f>
        <v/>
      </c>
    </row>
    <row r="6" customFormat="false" ht="15" hidden="false" customHeight="false" outlineLevel="0" collapsed="false">
      <c r="A6" s="10" t="s">
        <v>48</v>
      </c>
      <c r="B6" s="10" t="s">
        <v>49</v>
      </c>
      <c r="C6" s="10" t="s">
        <v>50</v>
      </c>
      <c r="E6" s="10" t="s">
        <v>42</v>
      </c>
      <c r="F6" s="10" t="s">
        <v>51</v>
      </c>
      <c r="G6" s="10" t="n">
        <v>6</v>
      </c>
      <c r="H6" s="11" t="n">
        <v>46305</v>
      </c>
      <c r="I6" s="10" t="s">
        <v>44</v>
      </c>
      <c r="J6" s="12" t="n">
        <f aca="false">IF(A6="","",COUNTIF('Weekly Log'!$C:$C,A6))</f>
        <v>2</v>
      </c>
      <c r="K6" s="12" t="n">
        <f aca="false">IF(A6="","",COUNTIFS('Weekly Log'!$C:$C,A6,'Weekly Log'!$E:$E,"Yes"))</f>
        <v>2</v>
      </c>
      <c r="L6" s="13" t="n">
        <f aca="false">IF(A6="","",IF(J6=0,"",K6/J6))</f>
        <v>1</v>
      </c>
      <c r="M6" s="14" t="n">
        <f aca="false">IF(A6="","",IFERROR((SUMIFS('Weekly Log'!$F:$F,'Weekly Log'!$C:$C,A6)+SUMIFS('Weekly Log'!$G:$G,'Weekly Log'!$C:$C,A6))/(COUNTIFS('Weekly Log'!$C:$C,A6,'Weekly Log'!$F:$F,"&lt;&gt;")+COUNTIFS('Weekly Log'!$C:$C,A6,'Weekly Log'!$G:$G,"&lt;&gt;")),""))</f>
        <v>4.5</v>
      </c>
      <c r="N6" s="15" t="n">
        <f aca="false">IF(A6="","",IF(K6=0,"",_xlfn.MAXIFS('Weekly Log'!$A:$A,'Weekly Log'!$C:$C,A6,'Weekly Log'!$E:$E,"Yes")))</f>
        <v>46313</v>
      </c>
      <c r="O6" s="12" t="n">
        <f aca="true">IF(N6="","",MAX(0,INT((TODAY()-N6)/7)))</f>
        <v>0</v>
      </c>
      <c r="Q6" s="12" t="str">
        <f aca="false">IF(A6="","",IFERROR(LOOKUP(2,1/(('Weekly Log'!$C$4:$C$1003=A6)*('Weekly Log'!$I$4:$I$1003&lt;&gt;"")),'Weekly Log'!$I$4:$I$1003),""))</f>
        <v>Extra lovage, more borș</v>
      </c>
    </row>
    <row r="7" customFormat="false" ht="15" hidden="false" customHeight="false" outlineLevel="0" collapsed="false">
      <c r="A7" s="10" t="s">
        <v>52</v>
      </c>
      <c r="B7" s="10" t="s">
        <v>53</v>
      </c>
      <c r="C7" s="10" t="s">
        <v>41</v>
      </c>
      <c r="E7" s="10" t="s">
        <v>42</v>
      </c>
      <c r="F7" s="10" t="s">
        <v>54</v>
      </c>
      <c r="G7" s="10" t="n">
        <v>4</v>
      </c>
      <c r="H7" s="11" t="n">
        <v>46312</v>
      </c>
      <c r="I7" s="10" t="s">
        <v>44</v>
      </c>
      <c r="J7" s="12" t="n">
        <f aca="false">IF(A7="","",COUNTIF('Weekly Log'!$C:$C,A7))</f>
        <v>1</v>
      </c>
      <c r="K7" s="12" t="n">
        <f aca="false">IF(A7="","",COUNTIFS('Weekly Log'!$C:$C,A7,'Weekly Log'!$E:$E,"Yes"))</f>
        <v>0</v>
      </c>
      <c r="L7" s="13" t="n">
        <f aca="false">IF(A7="","",IF(J7=0,"",K7/J7))</f>
        <v>0</v>
      </c>
      <c r="M7" s="14" t="str">
        <f aca="false">IF(A7="","",IFERROR((SUMIFS('Weekly Log'!$F:$F,'Weekly Log'!$C:$C,A7)+SUMIFS('Weekly Log'!$G:$G,'Weekly Log'!$C:$C,A7))/(COUNTIFS('Weekly Log'!$C:$C,A7,'Weekly Log'!$F:$F,"&lt;&gt;")+COUNTIFS('Weekly Log'!$C:$C,A7,'Weekly Log'!$G:$G,"&lt;&gt;")),""))</f>
        <v/>
      </c>
      <c r="N7" s="15" t="str">
        <f aca="false">IF(A7="","",IF(K7=0,"",_xlfn.MAXIFS('Weekly Log'!$A:$A,'Weekly Log'!$C:$C,A7,'Weekly Log'!$E:$E,"Yes")))</f>
        <v/>
      </c>
      <c r="O7" s="12" t="str">
        <f aca="true">IF(N7="","",MAX(0,INT((TODAY()-N7)/7)))</f>
        <v/>
      </c>
      <c r="Q7" s="12" t="str">
        <f aca="false">IF(A7="","",IFERROR(LOOKUP(2,1/(('Weekly Log'!$C$4:$C$1003=A7)*('Weekly Log'!$I$4:$I$1003&lt;&gt;"")),'Weekly Log'!$I$4:$I$1003),""))</f>
        <v/>
      </c>
    </row>
    <row r="8" customFormat="false" ht="15" hidden="false" customHeight="false" outlineLevel="0" collapsed="false">
      <c r="A8" s="10" t="s">
        <v>55</v>
      </c>
      <c r="B8" s="10" t="s">
        <v>56</v>
      </c>
      <c r="C8" s="10" t="s">
        <v>41</v>
      </c>
      <c r="E8" s="10" t="s">
        <v>57</v>
      </c>
      <c r="F8" s="10" t="s">
        <v>58</v>
      </c>
      <c r="G8" s="10" t="n">
        <v>4</v>
      </c>
      <c r="H8" s="11" t="n">
        <v>46312</v>
      </c>
      <c r="I8" s="10" t="s">
        <v>44</v>
      </c>
      <c r="J8" s="12" t="n">
        <f aca="false">IF(A8="","",COUNTIF('Weekly Log'!$C:$C,A8))</f>
        <v>1</v>
      </c>
      <c r="K8" s="12" t="n">
        <f aca="false">IF(A8="","",COUNTIFS('Weekly Log'!$C:$C,A8,'Weekly Log'!$E:$E,"Yes"))</f>
        <v>1</v>
      </c>
      <c r="L8" s="13" t="n">
        <f aca="false">IF(A8="","",IF(J8=0,"",K8/J8))</f>
        <v>1</v>
      </c>
      <c r="M8" s="14" t="str">
        <f aca="false">IF(A8="","",IFERROR((SUMIFS('Weekly Log'!$F:$F,'Weekly Log'!$C:$C,A8)+SUMIFS('Weekly Log'!$G:$G,'Weekly Log'!$C:$C,A8))/(COUNTIFS('Weekly Log'!$C:$C,A8,'Weekly Log'!$F:$F,"&lt;&gt;")+COUNTIFS('Weekly Log'!$C:$C,A8,'Weekly Log'!$G:$G,"&lt;&gt;")),""))</f>
        <v/>
      </c>
      <c r="N8" s="15" t="n">
        <f aca="false">IF(A8="","",IF(K8=0,"",_xlfn.MAXIFS('Weekly Log'!$A:$A,'Weekly Log'!$C:$C,A8,'Weekly Log'!$E:$E,"Yes")))</f>
        <v>46313</v>
      </c>
      <c r="O8" s="12" t="n">
        <f aca="true">IF(N8="","",MAX(0,INT((TODAY()-N8)/7)))</f>
        <v>0</v>
      </c>
      <c r="Q8" s="12" t="str">
        <f aca="false">IF(A8="","",IFERROR(LOOKUP(2,1/(('Weekly Log'!$C$4:$C$1003=A8)*('Weekly Log'!$I$4:$I$1003&lt;&gt;"")),'Weekly Log'!$I$4:$I$1003),""))</f>
        <v/>
      </c>
    </row>
    <row r="9" customFormat="false" ht="15" hidden="false" customHeight="false" outlineLevel="0" collapsed="false">
      <c r="A9" s="10" t="s">
        <v>59</v>
      </c>
      <c r="B9" s="10" t="s">
        <v>60</v>
      </c>
      <c r="C9" s="10" t="s">
        <v>41</v>
      </c>
      <c r="E9" s="10" t="s">
        <v>57</v>
      </c>
      <c r="F9" s="10" t="s">
        <v>47</v>
      </c>
      <c r="G9" s="10" t="n">
        <v>4</v>
      </c>
      <c r="H9" s="11" t="n">
        <v>46312</v>
      </c>
      <c r="I9" s="10" t="s">
        <v>44</v>
      </c>
      <c r="J9" s="12" t="n">
        <f aca="false">IF(A9="","",COUNTIF('Weekly Log'!$C:$C,A9))</f>
        <v>1</v>
      </c>
      <c r="K9" s="12" t="n">
        <f aca="false">IF(A9="","",COUNTIFS('Weekly Log'!$C:$C,A9,'Weekly Log'!$E:$E,"Yes"))</f>
        <v>0</v>
      </c>
      <c r="L9" s="13" t="n">
        <f aca="false">IF(A9="","",IF(J9=0,"",K9/J9))</f>
        <v>0</v>
      </c>
      <c r="M9" s="14" t="str">
        <f aca="false">IF(A9="","",IFERROR((SUMIFS('Weekly Log'!$F:$F,'Weekly Log'!$C:$C,A9)+SUMIFS('Weekly Log'!$G:$G,'Weekly Log'!$C:$C,A9))/(COUNTIFS('Weekly Log'!$C:$C,A9,'Weekly Log'!$F:$F,"&lt;&gt;")+COUNTIFS('Weekly Log'!$C:$C,A9,'Weekly Log'!$G:$G,"&lt;&gt;")),""))</f>
        <v/>
      </c>
      <c r="N9" s="15" t="str">
        <f aca="false">IF(A9="","",IF(K9=0,"",_xlfn.MAXIFS('Weekly Log'!$A:$A,'Weekly Log'!$C:$C,A9,'Weekly Log'!$E:$E,"Yes")))</f>
        <v/>
      </c>
      <c r="O9" s="12" t="str">
        <f aca="true">IF(N9="","",MAX(0,INT((TODAY()-N9)/7)))</f>
        <v/>
      </c>
      <c r="Q9" s="12" t="str">
        <f aca="false">IF(A9="","",IFERROR(LOOKUP(2,1/(('Weekly Log'!$C$4:$C$1003=A9)*('Weekly Log'!$I$4:$I$1003&lt;&gt;"")),'Weekly Log'!$I$4:$I$1003),""))</f>
        <v/>
      </c>
    </row>
    <row r="10" customFormat="false" ht="15" hidden="false" customHeight="false" outlineLevel="0" collapsed="false">
      <c r="A10" s="10" t="s">
        <v>61</v>
      </c>
      <c r="B10" s="10" t="s">
        <v>62</v>
      </c>
      <c r="C10" s="10" t="s">
        <v>50</v>
      </c>
      <c r="E10" s="10" t="s">
        <v>57</v>
      </c>
      <c r="F10" s="10" t="s">
        <v>47</v>
      </c>
      <c r="G10" s="10" t="n">
        <v>2</v>
      </c>
      <c r="H10" s="11" t="n">
        <v>46305</v>
      </c>
      <c r="I10" s="10" t="s">
        <v>44</v>
      </c>
      <c r="J10" s="12" t="n">
        <f aca="false">IF(A10="","",COUNTIF('Weekly Log'!$C:$C,A10))</f>
        <v>2</v>
      </c>
      <c r="K10" s="12" t="n">
        <f aca="false">IF(A10="","",COUNTIFS('Weekly Log'!$C:$C,A10,'Weekly Log'!$E:$E,"Yes"))</f>
        <v>1</v>
      </c>
      <c r="L10" s="13" t="n">
        <f aca="false">IF(A10="","",IF(J10=0,"",K10/J10))</f>
        <v>0.5</v>
      </c>
      <c r="M10" s="14" t="n">
        <f aca="false">IF(A10="","",IFERROR((SUMIFS('Weekly Log'!$F:$F,'Weekly Log'!$C:$C,A10)+SUMIFS('Weekly Log'!$G:$G,'Weekly Log'!$C:$C,A10))/(COUNTIFS('Weekly Log'!$C:$C,A10,'Weekly Log'!$F:$F,"&lt;&gt;")+COUNTIFS('Weekly Log'!$C:$C,A10,'Weekly Log'!$G:$G,"&lt;&gt;")),""))</f>
        <v>4.5</v>
      </c>
      <c r="N10" s="15" t="n">
        <f aca="false">IF(A10="","",IF(K10=0,"",_xlfn.MAXIFS('Weekly Log'!$A:$A,'Weekly Log'!$C:$C,A10,'Weekly Log'!$E:$E,"Yes")))</f>
        <v>46306</v>
      </c>
      <c r="O10" s="12" t="n">
        <f aca="true">IF(N10="","",MAX(0,INT((TODAY()-N10)/7)))</f>
        <v>0</v>
      </c>
      <c r="Q10" s="12" t="str">
        <f aca="false">IF(A10="","",IFERROR(LOOKUP(2,1/(('Weekly Log'!$C$4:$C$1003=A10)*('Weekly Log'!$I$4:$I$1003&lt;&gt;"")),'Weekly Log'!$I$4:$I$1003),""))</f>
        <v/>
      </c>
    </row>
    <row r="11" customFormat="false" ht="15" hidden="false" customHeight="false" outlineLevel="0" collapsed="false">
      <c r="A11" s="10" t="s">
        <v>63</v>
      </c>
      <c r="B11" s="10" t="s">
        <v>64</v>
      </c>
      <c r="C11" s="10" t="s">
        <v>41</v>
      </c>
      <c r="E11" s="10" t="s">
        <v>57</v>
      </c>
      <c r="F11" s="10" t="s">
        <v>51</v>
      </c>
      <c r="G11" s="10" t="n">
        <v>4</v>
      </c>
      <c r="H11" s="11" t="n">
        <v>46312</v>
      </c>
      <c r="I11" s="10" t="s">
        <v>44</v>
      </c>
      <c r="J11" s="12" t="n">
        <f aca="false">IF(A11="","",COUNTIF('Weekly Log'!$C:$C,A11))</f>
        <v>1</v>
      </c>
      <c r="K11" s="12" t="n">
        <f aca="false">IF(A11="","",COUNTIFS('Weekly Log'!$C:$C,A11,'Weekly Log'!$E:$E,"Yes"))</f>
        <v>1</v>
      </c>
      <c r="L11" s="13" t="n">
        <f aca="false">IF(A11="","",IF(J11=0,"",K11/J11))</f>
        <v>1</v>
      </c>
      <c r="M11" s="14" t="str">
        <f aca="false">IF(A11="","",IFERROR((SUMIFS('Weekly Log'!$F:$F,'Weekly Log'!$C:$C,A11)+SUMIFS('Weekly Log'!$G:$G,'Weekly Log'!$C:$C,A11))/(COUNTIFS('Weekly Log'!$C:$C,A11,'Weekly Log'!$F:$F,"&lt;&gt;")+COUNTIFS('Weekly Log'!$C:$C,A11,'Weekly Log'!$G:$G,"&lt;&gt;")),""))</f>
        <v/>
      </c>
      <c r="N11" s="15" t="n">
        <f aca="false">IF(A11="","",IF(K11=0,"",_xlfn.MAXIFS('Weekly Log'!$A:$A,'Weekly Log'!$C:$C,A11,'Weekly Log'!$E:$E,"Yes")))</f>
        <v>46313</v>
      </c>
      <c r="O11" s="12" t="n">
        <f aca="true">IF(N11="","",MAX(0,INT((TODAY()-N11)/7)))</f>
        <v>0</v>
      </c>
      <c r="Q11" s="12" t="str">
        <f aca="false">IF(A11="","",IFERROR(LOOKUP(2,1/(('Weekly Log'!$C$4:$C$1003=A11)*('Weekly Log'!$I$4:$I$1003&lt;&gt;"")),'Weekly Log'!$I$4:$I$1003),""))</f>
        <v/>
      </c>
    </row>
    <row r="12" customFormat="false" ht="15" hidden="false" customHeight="false" outlineLevel="0" collapsed="false">
      <c r="H12" s="16"/>
      <c r="J12" s="12" t="str">
        <f aca="false">IF(A12="","",COUNTIF('Weekly Log'!$C:$C,A12))</f>
        <v/>
      </c>
      <c r="K12" s="12" t="str">
        <f aca="false">IF(A12="","",COUNTIFS('Weekly Log'!$C:$C,A12,'Weekly Log'!$E:$E,"Yes"))</f>
        <v/>
      </c>
      <c r="L12" s="13" t="str">
        <f aca="false">IF(A12="","",IF(J12=0,"",K12/J12))</f>
        <v/>
      </c>
      <c r="M12" s="14" t="str">
        <f aca="false">IF(A12="","",IFERROR((SUMIFS('Weekly Log'!$F:$F,'Weekly Log'!$C:$C,A12)+SUMIFS('Weekly Log'!$G:$G,'Weekly Log'!$C:$C,A12))/(COUNTIFS('Weekly Log'!$C:$C,A12,'Weekly Log'!$F:$F,"&lt;&gt;")+COUNTIFS('Weekly Log'!$C:$C,A12,'Weekly Log'!$G:$G,"&lt;&gt;")),""))</f>
        <v/>
      </c>
      <c r="N12" s="15" t="str">
        <f aca="false">IF(A12="","",IF(K12=0,"",_xlfn.MAXIFS('Weekly Log'!$A:$A,'Weekly Log'!$C:$C,A12,'Weekly Log'!$E:$E,"Yes")))</f>
        <v/>
      </c>
      <c r="O12" s="12" t="str">
        <f aca="true">IF(N12="","",MAX(0,INT((TODAY()-N12)/7)))</f>
        <v/>
      </c>
      <c r="Q12" s="12" t="str">
        <f aca="false">IF(A12="","",IFERROR(LOOKUP(2,1/(('Weekly Log'!$C$4:$C$1003=A12)*('Weekly Log'!$I$4:$I$1003&lt;&gt;"")),'Weekly Log'!$I$4:$I$1003),""))</f>
        <v/>
      </c>
    </row>
    <row r="13" customFormat="false" ht="15" hidden="false" customHeight="false" outlineLevel="0" collapsed="false">
      <c r="H13" s="16"/>
      <c r="J13" s="12" t="str">
        <f aca="false">IF(A13="","",COUNTIF('Weekly Log'!$C:$C,A13))</f>
        <v/>
      </c>
      <c r="K13" s="12" t="str">
        <f aca="false">IF(A13="","",COUNTIFS('Weekly Log'!$C:$C,A13,'Weekly Log'!$E:$E,"Yes"))</f>
        <v/>
      </c>
      <c r="L13" s="13" t="str">
        <f aca="false">IF(A13="","",IF(J13=0,"",K13/J13))</f>
        <v/>
      </c>
      <c r="M13" s="14" t="str">
        <f aca="false">IF(A13="","",IFERROR((SUMIFS('Weekly Log'!$F:$F,'Weekly Log'!$C:$C,A13)+SUMIFS('Weekly Log'!$G:$G,'Weekly Log'!$C:$C,A13))/(COUNTIFS('Weekly Log'!$C:$C,A13,'Weekly Log'!$F:$F,"&lt;&gt;")+COUNTIFS('Weekly Log'!$C:$C,A13,'Weekly Log'!$G:$G,"&lt;&gt;")),""))</f>
        <v/>
      </c>
      <c r="N13" s="15" t="str">
        <f aca="false">IF(A13="","",IF(K13=0,"",_xlfn.MAXIFS('Weekly Log'!$A:$A,'Weekly Log'!$C:$C,A13,'Weekly Log'!$E:$E,"Yes")))</f>
        <v/>
      </c>
      <c r="O13" s="12" t="str">
        <f aca="true">IF(N13="","",MAX(0,INT((TODAY()-N13)/7)))</f>
        <v/>
      </c>
      <c r="Q13" s="12" t="str">
        <f aca="false">IF(A13="","",IFERROR(LOOKUP(2,1/(('Weekly Log'!$C$4:$C$1003=A13)*('Weekly Log'!$I$4:$I$1003&lt;&gt;"")),'Weekly Log'!$I$4:$I$1003),""))</f>
        <v/>
      </c>
    </row>
    <row r="14" customFormat="false" ht="15" hidden="false" customHeight="false" outlineLevel="0" collapsed="false">
      <c r="H14" s="16"/>
      <c r="J14" s="12" t="str">
        <f aca="false">IF(A14="","",COUNTIF('Weekly Log'!$C:$C,A14))</f>
        <v/>
      </c>
      <c r="K14" s="12" t="str">
        <f aca="false">IF(A14="","",COUNTIFS('Weekly Log'!$C:$C,A14,'Weekly Log'!$E:$E,"Yes"))</f>
        <v/>
      </c>
      <c r="L14" s="13" t="str">
        <f aca="false">IF(A14="","",IF(J14=0,"",K14/J14))</f>
        <v/>
      </c>
      <c r="M14" s="14" t="str">
        <f aca="false">IF(A14="","",IFERROR((SUMIFS('Weekly Log'!$F:$F,'Weekly Log'!$C:$C,A14)+SUMIFS('Weekly Log'!$G:$G,'Weekly Log'!$C:$C,A14))/(COUNTIFS('Weekly Log'!$C:$C,A14,'Weekly Log'!$F:$F,"&lt;&gt;")+COUNTIFS('Weekly Log'!$C:$C,A14,'Weekly Log'!$G:$G,"&lt;&gt;")),""))</f>
        <v/>
      </c>
      <c r="N14" s="15" t="str">
        <f aca="false">IF(A14="","",IF(K14=0,"",_xlfn.MAXIFS('Weekly Log'!$A:$A,'Weekly Log'!$C:$C,A14,'Weekly Log'!$E:$E,"Yes")))</f>
        <v/>
      </c>
      <c r="O14" s="12" t="str">
        <f aca="true">IF(N14="","",MAX(0,INT((TODAY()-N14)/7)))</f>
        <v/>
      </c>
      <c r="Q14" s="12" t="str">
        <f aca="false">IF(A14="","",IFERROR(LOOKUP(2,1/(('Weekly Log'!$C$4:$C$1003=A14)*('Weekly Log'!$I$4:$I$1003&lt;&gt;"")),'Weekly Log'!$I$4:$I$1003),""))</f>
        <v/>
      </c>
    </row>
    <row r="15" customFormat="false" ht="15" hidden="false" customHeight="false" outlineLevel="0" collapsed="false">
      <c r="H15" s="16"/>
      <c r="J15" s="12" t="str">
        <f aca="false">IF(A15="","",COUNTIF('Weekly Log'!$C:$C,A15))</f>
        <v/>
      </c>
      <c r="K15" s="12" t="str">
        <f aca="false">IF(A15="","",COUNTIFS('Weekly Log'!$C:$C,A15,'Weekly Log'!$E:$E,"Yes"))</f>
        <v/>
      </c>
      <c r="L15" s="13" t="str">
        <f aca="false">IF(A15="","",IF(J15=0,"",K15/J15))</f>
        <v/>
      </c>
      <c r="M15" s="14" t="str">
        <f aca="false">IF(A15="","",IFERROR((SUMIFS('Weekly Log'!$F:$F,'Weekly Log'!$C:$C,A15)+SUMIFS('Weekly Log'!$G:$G,'Weekly Log'!$C:$C,A15))/(COUNTIFS('Weekly Log'!$C:$C,A15,'Weekly Log'!$F:$F,"&lt;&gt;")+COUNTIFS('Weekly Log'!$C:$C,A15,'Weekly Log'!$G:$G,"&lt;&gt;")),""))</f>
        <v/>
      </c>
      <c r="N15" s="15" t="str">
        <f aca="false">IF(A15="","",IF(K15=0,"",_xlfn.MAXIFS('Weekly Log'!$A:$A,'Weekly Log'!$C:$C,A15,'Weekly Log'!$E:$E,"Yes")))</f>
        <v/>
      </c>
      <c r="O15" s="12" t="str">
        <f aca="true">IF(N15="","",MAX(0,INT((TODAY()-N15)/7)))</f>
        <v/>
      </c>
      <c r="Q15" s="12" t="str">
        <f aca="false">IF(A15="","",IFERROR(LOOKUP(2,1/(('Weekly Log'!$C$4:$C$1003=A15)*('Weekly Log'!$I$4:$I$1003&lt;&gt;"")),'Weekly Log'!$I$4:$I$1003),""))</f>
        <v/>
      </c>
    </row>
    <row r="16" customFormat="false" ht="15" hidden="false" customHeight="false" outlineLevel="0" collapsed="false">
      <c r="H16" s="16"/>
      <c r="J16" s="12" t="str">
        <f aca="false">IF(A16="","",COUNTIF('Weekly Log'!$C:$C,A16))</f>
        <v/>
      </c>
      <c r="K16" s="12" t="str">
        <f aca="false">IF(A16="","",COUNTIFS('Weekly Log'!$C:$C,A16,'Weekly Log'!$E:$E,"Yes"))</f>
        <v/>
      </c>
      <c r="L16" s="13" t="str">
        <f aca="false">IF(A16="","",IF(J16=0,"",K16/J16))</f>
        <v/>
      </c>
      <c r="M16" s="14" t="str">
        <f aca="false">IF(A16="","",IFERROR((SUMIFS('Weekly Log'!$F:$F,'Weekly Log'!$C:$C,A16)+SUMIFS('Weekly Log'!$G:$G,'Weekly Log'!$C:$C,A16))/(COUNTIFS('Weekly Log'!$C:$C,A16,'Weekly Log'!$F:$F,"&lt;&gt;")+COUNTIFS('Weekly Log'!$C:$C,A16,'Weekly Log'!$G:$G,"&lt;&gt;")),""))</f>
        <v/>
      </c>
      <c r="N16" s="15" t="str">
        <f aca="false">IF(A16="","",IF(K16=0,"",_xlfn.MAXIFS('Weekly Log'!$A:$A,'Weekly Log'!$C:$C,A16,'Weekly Log'!$E:$E,"Yes")))</f>
        <v/>
      </c>
      <c r="O16" s="12" t="str">
        <f aca="true">IF(N16="","",MAX(0,INT((TODAY()-N16)/7)))</f>
        <v/>
      </c>
      <c r="Q16" s="12" t="str">
        <f aca="false">IF(A16="","",IFERROR(LOOKUP(2,1/(('Weekly Log'!$C$4:$C$1003=A16)*('Weekly Log'!$I$4:$I$1003&lt;&gt;"")),'Weekly Log'!$I$4:$I$1003),""))</f>
        <v/>
      </c>
    </row>
    <row r="17" customFormat="false" ht="15" hidden="false" customHeight="false" outlineLevel="0" collapsed="false">
      <c r="H17" s="16"/>
      <c r="J17" s="12" t="str">
        <f aca="false">IF(A17="","",COUNTIF('Weekly Log'!$C:$C,A17))</f>
        <v/>
      </c>
      <c r="K17" s="12" t="str">
        <f aca="false">IF(A17="","",COUNTIFS('Weekly Log'!$C:$C,A17,'Weekly Log'!$E:$E,"Yes"))</f>
        <v/>
      </c>
      <c r="L17" s="13" t="str">
        <f aca="false">IF(A17="","",IF(J17=0,"",K17/J17))</f>
        <v/>
      </c>
      <c r="M17" s="14" t="str">
        <f aca="false">IF(A17="","",IFERROR((SUMIFS('Weekly Log'!$F:$F,'Weekly Log'!$C:$C,A17)+SUMIFS('Weekly Log'!$G:$G,'Weekly Log'!$C:$C,A17))/(COUNTIFS('Weekly Log'!$C:$C,A17,'Weekly Log'!$F:$F,"&lt;&gt;")+COUNTIFS('Weekly Log'!$C:$C,A17,'Weekly Log'!$G:$G,"&lt;&gt;")),""))</f>
        <v/>
      </c>
      <c r="N17" s="15" t="str">
        <f aca="false">IF(A17="","",IF(K17=0,"",_xlfn.MAXIFS('Weekly Log'!$A:$A,'Weekly Log'!$C:$C,A17,'Weekly Log'!$E:$E,"Yes")))</f>
        <v/>
      </c>
      <c r="O17" s="12" t="str">
        <f aca="true">IF(N17="","",MAX(0,INT((TODAY()-N17)/7)))</f>
        <v/>
      </c>
      <c r="Q17" s="12" t="str">
        <f aca="false">IF(A17="","",IFERROR(LOOKUP(2,1/(('Weekly Log'!$C$4:$C$1003=A17)*('Weekly Log'!$I$4:$I$1003&lt;&gt;"")),'Weekly Log'!$I$4:$I$1003),""))</f>
        <v/>
      </c>
    </row>
    <row r="18" customFormat="false" ht="15" hidden="false" customHeight="false" outlineLevel="0" collapsed="false">
      <c r="H18" s="16"/>
      <c r="J18" s="12" t="str">
        <f aca="false">IF(A18="","",COUNTIF('Weekly Log'!$C:$C,A18))</f>
        <v/>
      </c>
      <c r="K18" s="12" t="str">
        <f aca="false">IF(A18="","",COUNTIFS('Weekly Log'!$C:$C,A18,'Weekly Log'!$E:$E,"Yes"))</f>
        <v/>
      </c>
      <c r="L18" s="13" t="str">
        <f aca="false">IF(A18="","",IF(J18=0,"",K18/J18))</f>
        <v/>
      </c>
      <c r="M18" s="14" t="str">
        <f aca="false">IF(A18="","",IFERROR((SUMIFS('Weekly Log'!$F:$F,'Weekly Log'!$C:$C,A18)+SUMIFS('Weekly Log'!$G:$G,'Weekly Log'!$C:$C,A18))/(COUNTIFS('Weekly Log'!$C:$C,A18,'Weekly Log'!$F:$F,"&lt;&gt;")+COUNTIFS('Weekly Log'!$C:$C,A18,'Weekly Log'!$G:$G,"&lt;&gt;")),""))</f>
        <v/>
      </c>
      <c r="N18" s="15" t="str">
        <f aca="false">IF(A18="","",IF(K18=0,"",_xlfn.MAXIFS('Weekly Log'!$A:$A,'Weekly Log'!$C:$C,A18,'Weekly Log'!$E:$E,"Yes")))</f>
        <v/>
      </c>
      <c r="O18" s="12" t="str">
        <f aca="true">IF(N18="","",MAX(0,INT((TODAY()-N18)/7)))</f>
        <v/>
      </c>
      <c r="Q18" s="12" t="str">
        <f aca="false">IF(A18="","",IFERROR(LOOKUP(2,1/(('Weekly Log'!$C$4:$C$1003=A18)*('Weekly Log'!$I$4:$I$1003&lt;&gt;"")),'Weekly Log'!$I$4:$I$1003),""))</f>
        <v/>
      </c>
    </row>
    <row r="19" customFormat="false" ht="15" hidden="false" customHeight="false" outlineLevel="0" collapsed="false">
      <c r="H19" s="16"/>
      <c r="J19" s="12" t="str">
        <f aca="false">IF(A19="","",COUNTIF('Weekly Log'!$C:$C,A19))</f>
        <v/>
      </c>
      <c r="K19" s="12" t="str">
        <f aca="false">IF(A19="","",COUNTIFS('Weekly Log'!$C:$C,A19,'Weekly Log'!$E:$E,"Yes"))</f>
        <v/>
      </c>
      <c r="L19" s="13" t="str">
        <f aca="false">IF(A19="","",IF(J19=0,"",K19/J19))</f>
        <v/>
      </c>
      <c r="M19" s="14" t="str">
        <f aca="false">IF(A19="","",IFERROR((SUMIFS('Weekly Log'!$F:$F,'Weekly Log'!$C:$C,A19)+SUMIFS('Weekly Log'!$G:$G,'Weekly Log'!$C:$C,A19))/(COUNTIFS('Weekly Log'!$C:$C,A19,'Weekly Log'!$F:$F,"&lt;&gt;")+COUNTIFS('Weekly Log'!$C:$C,A19,'Weekly Log'!$G:$G,"&lt;&gt;")),""))</f>
        <v/>
      </c>
      <c r="N19" s="15" t="str">
        <f aca="false">IF(A19="","",IF(K19=0,"",_xlfn.MAXIFS('Weekly Log'!$A:$A,'Weekly Log'!$C:$C,A19,'Weekly Log'!$E:$E,"Yes")))</f>
        <v/>
      </c>
      <c r="O19" s="12" t="str">
        <f aca="true">IF(N19="","",MAX(0,INT((TODAY()-N19)/7)))</f>
        <v/>
      </c>
      <c r="Q19" s="12" t="str">
        <f aca="false">IF(A19="","",IFERROR(LOOKUP(2,1/(('Weekly Log'!$C$4:$C$1003=A19)*('Weekly Log'!$I$4:$I$1003&lt;&gt;"")),'Weekly Log'!$I$4:$I$1003),""))</f>
        <v/>
      </c>
    </row>
    <row r="20" customFormat="false" ht="15" hidden="false" customHeight="false" outlineLevel="0" collapsed="false">
      <c r="H20" s="16"/>
      <c r="J20" s="12" t="str">
        <f aca="false">IF(A20="","",COUNTIF('Weekly Log'!$C:$C,A20))</f>
        <v/>
      </c>
      <c r="K20" s="12" t="str">
        <f aca="false">IF(A20="","",COUNTIFS('Weekly Log'!$C:$C,A20,'Weekly Log'!$E:$E,"Yes"))</f>
        <v/>
      </c>
      <c r="L20" s="13" t="str">
        <f aca="false">IF(A20="","",IF(J20=0,"",K20/J20))</f>
        <v/>
      </c>
      <c r="M20" s="14" t="str">
        <f aca="false">IF(A20="","",IFERROR((SUMIFS('Weekly Log'!$F:$F,'Weekly Log'!$C:$C,A20)+SUMIFS('Weekly Log'!$G:$G,'Weekly Log'!$C:$C,A20))/(COUNTIFS('Weekly Log'!$C:$C,A20,'Weekly Log'!$F:$F,"&lt;&gt;")+COUNTIFS('Weekly Log'!$C:$C,A20,'Weekly Log'!$G:$G,"&lt;&gt;")),""))</f>
        <v/>
      </c>
      <c r="N20" s="15" t="str">
        <f aca="false">IF(A20="","",IF(K20=0,"",_xlfn.MAXIFS('Weekly Log'!$A:$A,'Weekly Log'!$C:$C,A20,'Weekly Log'!$E:$E,"Yes")))</f>
        <v/>
      </c>
      <c r="O20" s="12" t="str">
        <f aca="true">IF(N20="","",MAX(0,INT((TODAY()-N20)/7)))</f>
        <v/>
      </c>
      <c r="Q20" s="12" t="str">
        <f aca="false">IF(A20="","",IFERROR(LOOKUP(2,1/(('Weekly Log'!$C$4:$C$1003=A20)*('Weekly Log'!$I$4:$I$1003&lt;&gt;"")),'Weekly Log'!$I$4:$I$1003),""))</f>
        <v/>
      </c>
    </row>
    <row r="21" customFormat="false" ht="15" hidden="false" customHeight="false" outlineLevel="0" collapsed="false">
      <c r="H21" s="16"/>
      <c r="J21" s="12" t="str">
        <f aca="false">IF(A21="","",COUNTIF('Weekly Log'!$C:$C,A21))</f>
        <v/>
      </c>
      <c r="K21" s="12" t="str">
        <f aca="false">IF(A21="","",COUNTIFS('Weekly Log'!$C:$C,A21,'Weekly Log'!$E:$E,"Yes"))</f>
        <v/>
      </c>
      <c r="L21" s="13" t="str">
        <f aca="false">IF(A21="","",IF(J21=0,"",K21/J21))</f>
        <v/>
      </c>
      <c r="M21" s="14" t="str">
        <f aca="false">IF(A21="","",IFERROR((SUMIFS('Weekly Log'!$F:$F,'Weekly Log'!$C:$C,A21)+SUMIFS('Weekly Log'!$G:$G,'Weekly Log'!$C:$C,A21))/(COUNTIFS('Weekly Log'!$C:$C,A21,'Weekly Log'!$F:$F,"&lt;&gt;")+COUNTIFS('Weekly Log'!$C:$C,A21,'Weekly Log'!$G:$G,"&lt;&gt;")),""))</f>
        <v/>
      </c>
      <c r="N21" s="15" t="str">
        <f aca="false">IF(A21="","",IF(K21=0,"",_xlfn.MAXIFS('Weekly Log'!$A:$A,'Weekly Log'!$C:$C,A21,'Weekly Log'!$E:$E,"Yes")))</f>
        <v/>
      </c>
      <c r="O21" s="12" t="str">
        <f aca="true">IF(N21="","",MAX(0,INT((TODAY()-N21)/7)))</f>
        <v/>
      </c>
      <c r="Q21" s="12" t="str">
        <f aca="false">IF(A21="","",IFERROR(LOOKUP(2,1/(('Weekly Log'!$C$4:$C$1003=A21)*('Weekly Log'!$I$4:$I$1003&lt;&gt;"")),'Weekly Log'!$I$4:$I$1003),""))</f>
        <v/>
      </c>
    </row>
    <row r="22" customFormat="false" ht="15" hidden="false" customHeight="false" outlineLevel="0" collapsed="false">
      <c r="H22" s="16"/>
      <c r="J22" s="12" t="str">
        <f aca="false">IF(A22="","",COUNTIF('Weekly Log'!$C:$C,A22))</f>
        <v/>
      </c>
      <c r="K22" s="12" t="str">
        <f aca="false">IF(A22="","",COUNTIFS('Weekly Log'!$C:$C,A22,'Weekly Log'!$E:$E,"Yes"))</f>
        <v/>
      </c>
      <c r="L22" s="13" t="str">
        <f aca="false">IF(A22="","",IF(J22=0,"",K22/J22))</f>
        <v/>
      </c>
      <c r="M22" s="14" t="str">
        <f aca="false">IF(A22="","",IFERROR((SUMIFS('Weekly Log'!$F:$F,'Weekly Log'!$C:$C,A22)+SUMIFS('Weekly Log'!$G:$G,'Weekly Log'!$C:$C,A22))/(COUNTIFS('Weekly Log'!$C:$C,A22,'Weekly Log'!$F:$F,"&lt;&gt;")+COUNTIFS('Weekly Log'!$C:$C,A22,'Weekly Log'!$G:$G,"&lt;&gt;")),""))</f>
        <v/>
      </c>
      <c r="N22" s="15" t="str">
        <f aca="false">IF(A22="","",IF(K22=0,"",_xlfn.MAXIFS('Weekly Log'!$A:$A,'Weekly Log'!$C:$C,A22,'Weekly Log'!$E:$E,"Yes")))</f>
        <v/>
      </c>
      <c r="O22" s="12" t="str">
        <f aca="true">IF(N22="","",MAX(0,INT((TODAY()-N22)/7)))</f>
        <v/>
      </c>
      <c r="Q22" s="12" t="str">
        <f aca="false">IF(A22="","",IFERROR(LOOKUP(2,1/(('Weekly Log'!$C$4:$C$1003=A22)*('Weekly Log'!$I$4:$I$1003&lt;&gt;"")),'Weekly Log'!$I$4:$I$1003),""))</f>
        <v/>
      </c>
    </row>
    <row r="23" customFormat="false" ht="15" hidden="false" customHeight="false" outlineLevel="0" collapsed="false">
      <c r="H23" s="16"/>
      <c r="J23" s="12" t="str">
        <f aca="false">IF(A23="","",COUNTIF('Weekly Log'!$C:$C,A23))</f>
        <v/>
      </c>
      <c r="K23" s="12" t="str">
        <f aca="false">IF(A23="","",COUNTIFS('Weekly Log'!$C:$C,A23,'Weekly Log'!$E:$E,"Yes"))</f>
        <v/>
      </c>
      <c r="L23" s="13" t="str">
        <f aca="false">IF(A23="","",IF(J23=0,"",K23/J23))</f>
        <v/>
      </c>
      <c r="M23" s="14" t="str">
        <f aca="false">IF(A23="","",IFERROR((SUMIFS('Weekly Log'!$F:$F,'Weekly Log'!$C:$C,A23)+SUMIFS('Weekly Log'!$G:$G,'Weekly Log'!$C:$C,A23))/(COUNTIFS('Weekly Log'!$C:$C,A23,'Weekly Log'!$F:$F,"&lt;&gt;")+COUNTIFS('Weekly Log'!$C:$C,A23,'Weekly Log'!$G:$G,"&lt;&gt;")),""))</f>
        <v/>
      </c>
      <c r="N23" s="15" t="str">
        <f aca="false">IF(A23="","",IF(K23=0,"",_xlfn.MAXIFS('Weekly Log'!$A:$A,'Weekly Log'!$C:$C,A23,'Weekly Log'!$E:$E,"Yes")))</f>
        <v/>
      </c>
      <c r="O23" s="12" t="str">
        <f aca="true">IF(N23="","",MAX(0,INT((TODAY()-N23)/7)))</f>
        <v/>
      </c>
      <c r="Q23" s="12" t="str">
        <f aca="false">IF(A23="","",IFERROR(LOOKUP(2,1/(('Weekly Log'!$C$4:$C$1003=A23)*('Weekly Log'!$I$4:$I$1003&lt;&gt;"")),'Weekly Log'!$I$4:$I$1003),""))</f>
        <v/>
      </c>
    </row>
    <row r="24" customFormat="false" ht="15" hidden="false" customHeight="false" outlineLevel="0" collapsed="false">
      <c r="H24" s="16"/>
      <c r="J24" s="12" t="str">
        <f aca="false">IF(A24="","",COUNTIF('Weekly Log'!$C:$C,A24))</f>
        <v/>
      </c>
      <c r="K24" s="12" t="str">
        <f aca="false">IF(A24="","",COUNTIFS('Weekly Log'!$C:$C,A24,'Weekly Log'!$E:$E,"Yes"))</f>
        <v/>
      </c>
      <c r="L24" s="13" t="str">
        <f aca="false">IF(A24="","",IF(J24=0,"",K24/J24))</f>
        <v/>
      </c>
      <c r="M24" s="14" t="str">
        <f aca="false">IF(A24="","",IFERROR((SUMIFS('Weekly Log'!$F:$F,'Weekly Log'!$C:$C,A24)+SUMIFS('Weekly Log'!$G:$G,'Weekly Log'!$C:$C,A24))/(COUNTIFS('Weekly Log'!$C:$C,A24,'Weekly Log'!$F:$F,"&lt;&gt;")+COUNTIFS('Weekly Log'!$C:$C,A24,'Weekly Log'!$G:$G,"&lt;&gt;")),""))</f>
        <v/>
      </c>
      <c r="N24" s="15" t="str">
        <f aca="false">IF(A24="","",IF(K24=0,"",_xlfn.MAXIFS('Weekly Log'!$A:$A,'Weekly Log'!$C:$C,A24,'Weekly Log'!$E:$E,"Yes")))</f>
        <v/>
      </c>
      <c r="O24" s="12" t="str">
        <f aca="true">IF(N24="","",MAX(0,INT((TODAY()-N24)/7)))</f>
        <v/>
      </c>
      <c r="Q24" s="12" t="str">
        <f aca="false">IF(A24="","",IFERROR(LOOKUP(2,1/(('Weekly Log'!$C$4:$C$1003=A24)*('Weekly Log'!$I$4:$I$1003&lt;&gt;"")),'Weekly Log'!$I$4:$I$1003),""))</f>
        <v/>
      </c>
    </row>
    <row r="25" customFormat="false" ht="15" hidden="false" customHeight="false" outlineLevel="0" collapsed="false">
      <c r="H25" s="16"/>
      <c r="J25" s="12" t="str">
        <f aca="false">IF(A25="","",COUNTIF('Weekly Log'!$C:$C,A25))</f>
        <v/>
      </c>
      <c r="K25" s="12" t="str">
        <f aca="false">IF(A25="","",COUNTIFS('Weekly Log'!$C:$C,A25,'Weekly Log'!$E:$E,"Yes"))</f>
        <v/>
      </c>
      <c r="L25" s="13" t="str">
        <f aca="false">IF(A25="","",IF(J25=0,"",K25/J25))</f>
        <v/>
      </c>
      <c r="M25" s="14" t="str">
        <f aca="false">IF(A25="","",IFERROR((SUMIFS('Weekly Log'!$F:$F,'Weekly Log'!$C:$C,A25)+SUMIFS('Weekly Log'!$G:$G,'Weekly Log'!$C:$C,A25))/(COUNTIFS('Weekly Log'!$C:$C,A25,'Weekly Log'!$F:$F,"&lt;&gt;")+COUNTIFS('Weekly Log'!$C:$C,A25,'Weekly Log'!$G:$G,"&lt;&gt;")),""))</f>
        <v/>
      </c>
      <c r="N25" s="15" t="str">
        <f aca="false">IF(A25="","",IF(K25=0,"",_xlfn.MAXIFS('Weekly Log'!$A:$A,'Weekly Log'!$C:$C,A25,'Weekly Log'!$E:$E,"Yes")))</f>
        <v/>
      </c>
      <c r="O25" s="12" t="str">
        <f aca="true">IF(N25="","",MAX(0,INT((TODAY()-N25)/7)))</f>
        <v/>
      </c>
      <c r="Q25" s="12" t="str">
        <f aca="false">IF(A25="","",IFERROR(LOOKUP(2,1/(('Weekly Log'!$C$4:$C$1003=A25)*('Weekly Log'!$I$4:$I$1003&lt;&gt;"")),'Weekly Log'!$I$4:$I$1003),""))</f>
        <v/>
      </c>
    </row>
    <row r="26" customFormat="false" ht="15" hidden="false" customHeight="false" outlineLevel="0" collapsed="false">
      <c r="H26" s="16"/>
      <c r="J26" s="12" t="str">
        <f aca="false">IF(A26="","",COUNTIF('Weekly Log'!$C:$C,A26))</f>
        <v/>
      </c>
      <c r="K26" s="12" t="str">
        <f aca="false">IF(A26="","",COUNTIFS('Weekly Log'!$C:$C,A26,'Weekly Log'!$E:$E,"Yes"))</f>
        <v/>
      </c>
      <c r="L26" s="13" t="str">
        <f aca="false">IF(A26="","",IF(J26=0,"",K26/J26))</f>
        <v/>
      </c>
      <c r="M26" s="14" t="str">
        <f aca="false">IF(A26="","",IFERROR((SUMIFS('Weekly Log'!$F:$F,'Weekly Log'!$C:$C,A26)+SUMIFS('Weekly Log'!$G:$G,'Weekly Log'!$C:$C,A26))/(COUNTIFS('Weekly Log'!$C:$C,A26,'Weekly Log'!$F:$F,"&lt;&gt;")+COUNTIFS('Weekly Log'!$C:$C,A26,'Weekly Log'!$G:$G,"&lt;&gt;")),""))</f>
        <v/>
      </c>
      <c r="N26" s="15" t="str">
        <f aca="false">IF(A26="","",IF(K26=0,"",_xlfn.MAXIFS('Weekly Log'!$A:$A,'Weekly Log'!$C:$C,A26,'Weekly Log'!$E:$E,"Yes")))</f>
        <v/>
      </c>
      <c r="O26" s="12" t="str">
        <f aca="true">IF(N26="","",MAX(0,INT((TODAY()-N26)/7)))</f>
        <v/>
      </c>
      <c r="Q26" s="12" t="str">
        <f aca="false">IF(A26="","",IFERROR(LOOKUP(2,1/(('Weekly Log'!$C$4:$C$1003=A26)*('Weekly Log'!$I$4:$I$1003&lt;&gt;"")),'Weekly Log'!$I$4:$I$1003),""))</f>
        <v/>
      </c>
    </row>
    <row r="27" customFormat="false" ht="15" hidden="false" customHeight="false" outlineLevel="0" collapsed="false">
      <c r="H27" s="16"/>
      <c r="J27" s="12" t="str">
        <f aca="false">IF(A27="","",COUNTIF('Weekly Log'!$C:$C,A27))</f>
        <v/>
      </c>
      <c r="K27" s="12" t="str">
        <f aca="false">IF(A27="","",COUNTIFS('Weekly Log'!$C:$C,A27,'Weekly Log'!$E:$E,"Yes"))</f>
        <v/>
      </c>
      <c r="L27" s="13" t="str">
        <f aca="false">IF(A27="","",IF(J27=0,"",K27/J27))</f>
        <v/>
      </c>
      <c r="M27" s="14" t="str">
        <f aca="false">IF(A27="","",IFERROR((SUMIFS('Weekly Log'!$F:$F,'Weekly Log'!$C:$C,A27)+SUMIFS('Weekly Log'!$G:$G,'Weekly Log'!$C:$C,A27))/(COUNTIFS('Weekly Log'!$C:$C,A27,'Weekly Log'!$F:$F,"&lt;&gt;")+COUNTIFS('Weekly Log'!$C:$C,A27,'Weekly Log'!$G:$G,"&lt;&gt;")),""))</f>
        <v/>
      </c>
      <c r="N27" s="15" t="str">
        <f aca="false">IF(A27="","",IF(K27=0,"",_xlfn.MAXIFS('Weekly Log'!$A:$A,'Weekly Log'!$C:$C,A27,'Weekly Log'!$E:$E,"Yes")))</f>
        <v/>
      </c>
      <c r="O27" s="12" t="str">
        <f aca="true">IF(N27="","",MAX(0,INT((TODAY()-N27)/7)))</f>
        <v/>
      </c>
      <c r="Q27" s="12" t="str">
        <f aca="false">IF(A27="","",IFERROR(LOOKUP(2,1/(('Weekly Log'!$C$4:$C$1003=A27)*('Weekly Log'!$I$4:$I$1003&lt;&gt;"")),'Weekly Log'!$I$4:$I$1003),""))</f>
        <v/>
      </c>
    </row>
    <row r="28" customFormat="false" ht="15" hidden="false" customHeight="false" outlineLevel="0" collapsed="false">
      <c r="H28" s="16"/>
      <c r="J28" s="12" t="str">
        <f aca="false">IF(A28="","",COUNTIF('Weekly Log'!$C:$C,A28))</f>
        <v/>
      </c>
      <c r="K28" s="12" t="str">
        <f aca="false">IF(A28="","",COUNTIFS('Weekly Log'!$C:$C,A28,'Weekly Log'!$E:$E,"Yes"))</f>
        <v/>
      </c>
      <c r="L28" s="13" t="str">
        <f aca="false">IF(A28="","",IF(J28=0,"",K28/J28))</f>
        <v/>
      </c>
      <c r="M28" s="14" t="str">
        <f aca="false">IF(A28="","",IFERROR((SUMIFS('Weekly Log'!$F:$F,'Weekly Log'!$C:$C,A28)+SUMIFS('Weekly Log'!$G:$G,'Weekly Log'!$C:$C,A28))/(COUNTIFS('Weekly Log'!$C:$C,A28,'Weekly Log'!$F:$F,"&lt;&gt;")+COUNTIFS('Weekly Log'!$C:$C,A28,'Weekly Log'!$G:$G,"&lt;&gt;")),""))</f>
        <v/>
      </c>
      <c r="N28" s="15" t="str">
        <f aca="false">IF(A28="","",IF(K28=0,"",_xlfn.MAXIFS('Weekly Log'!$A:$A,'Weekly Log'!$C:$C,A28,'Weekly Log'!$E:$E,"Yes")))</f>
        <v/>
      </c>
      <c r="O28" s="12" t="str">
        <f aca="true">IF(N28="","",MAX(0,INT((TODAY()-N28)/7)))</f>
        <v/>
      </c>
      <c r="Q28" s="12" t="str">
        <f aca="false">IF(A28="","",IFERROR(LOOKUP(2,1/(('Weekly Log'!$C$4:$C$1003=A28)*('Weekly Log'!$I$4:$I$1003&lt;&gt;"")),'Weekly Log'!$I$4:$I$1003),""))</f>
        <v/>
      </c>
    </row>
    <row r="29" customFormat="false" ht="15" hidden="false" customHeight="false" outlineLevel="0" collapsed="false">
      <c r="H29" s="16"/>
      <c r="J29" s="12" t="str">
        <f aca="false">IF(A29="","",COUNTIF('Weekly Log'!$C:$C,A29))</f>
        <v/>
      </c>
      <c r="K29" s="12" t="str">
        <f aca="false">IF(A29="","",COUNTIFS('Weekly Log'!$C:$C,A29,'Weekly Log'!$E:$E,"Yes"))</f>
        <v/>
      </c>
      <c r="L29" s="13" t="str">
        <f aca="false">IF(A29="","",IF(J29=0,"",K29/J29))</f>
        <v/>
      </c>
      <c r="M29" s="14" t="str">
        <f aca="false">IF(A29="","",IFERROR((SUMIFS('Weekly Log'!$F:$F,'Weekly Log'!$C:$C,A29)+SUMIFS('Weekly Log'!$G:$G,'Weekly Log'!$C:$C,A29))/(COUNTIFS('Weekly Log'!$C:$C,A29,'Weekly Log'!$F:$F,"&lt;&gt;")+COUNTIFS('Weekly Log'!$C:$C,A29,'Weekly Log'!$G:$G,"&lt;&gt;")),""))</f>
        <v/>
      </c>
      <c r="N29" s="15" t="str">
        <f aca="false">IF(A29="","",IF(K29=0,"",_xlfn.MAXIFS('Weekly Log'!$A:$A,'Weekly Log'!$C:$C,A29,'Weekly Log'!$E:$E,"Yes")))</f>
        <v/>
      </c>
      <c r="O29" s="12" t="str">
        <f aca="true">IF(N29="","",MAX(0,INT((TODAY()-N29)/7)))</f>
        <v/>
      </c>
      <c r="Q29" s="12" t="str">
        <f aca="false">IF(A29="","",IFERROR(LOOKUP(2,1/(('Weekly Log'!$C$4:$C$1003=A29)*('Weekly Log'!$I$4:$I$1003&lt;&gt;"")),'Weekly Log'!$I$4:$I$1003),""))</f>
        <v/>
      </c>
    </row>
    <row r="30" customFormat="false" ht="15" hidden="false" customHeight="false" outlineLevel="0" collapsed="false">
      <c r="H30" s="16"/>
      <c r="J30" s="12" t="str">
        <f aca="false">IF(A30="","",COUNTIF('Weekly Log'!$C:$C,A30))</f>
        <v/>
      </c>
      <c r="K30" s="12" t="str">
        <f aca="false">IF(A30="","",COUNTIFS('Weekly Log'!$C:$C,A30,'Weekly Log'!$E:$E,"Yes"))</f>
        <v/>
      </c>
      <c r="L30" s="13" t="str">
        <f aca="false">IF(A30="","",IF(J30=0,"",K30/J30))</f>
        <v/>
      </c>
      <c r="M30" s="14" t="str">
        <f aca="false">IF(A30="","",IFERROR((SUMIFS('Weekly Log'!$F:$F,'Weekly Log'!$C:$C,A30)+SUMIFS('Weekly Log'!$G:$G,'Weekly Log'!$C:$C,A30))/(COUNTIFS('Weekly Log'!$C:$C,A30,'Weekly Log'!$F:$F,"&lt;&gt;")+COUNTIFS('Weekly Log'!$C:$C,A30,'Weekly Log'!$G:$G,"&lt;&gt;")),""))</f>
        <v/>
      </c>
      <c r="N30" s="15" t="str">
        <f aca="false">IF(A30="","",IF(K30=0,"",_xlfn.MAXIFS('Weekly Log'!$A:$A,'Weekly Log'!$C:$C,A30,'Weekly Log'!$E:$E,"Yes")))</f>
        <v/>
      </c>
      <c r="O30" s="12" t="str">
        <f aca="true">IF(N30="","",MAX(0,INT((TODAY()-N30)/7)))</f>
        <v/>
      </c>
      <c r="Q30" s="12" t="str">
        <f aca="false">IF(A30="","",IFERROR(LOOKUP(2,1/(('Weekly Log'!$C$4:$C$1003=A30)*('Weekly Log'!$I$4:$I$1003&lt;&gt;"")),'Weekly Log'!$I$4:$I$1003),""))</f>
        <v/>
      </c>
    </row>
    <row r="31" customFormat="false" ht="15" hidden="false" customHeight="false" outlineLevel="0" collapsed="false">
      <c r="H31" s="16"/>
      <c r="J31" s="12" t="str">
        <f aca="false">IF(A31="","",COUNTIF('Weekly Log'!$C:$C,A31))</f>
        <v/>
      </c>
      <c r="K31" s="12" t="str">
        <f aca="false">IF(A31="","",COUNTIFS('Weekly Log'!$C:$C,A31,'Weekly Log'!$E:$E,"Yes"))</f>
        <v/>
      </c>
      <c r="L31" s="13" t="str">
        <f aca="false">IF(A31="","",IF(J31=0,"",K31/J31))</f>
        <v/>
      </c>
      <c r="M31" s="14" t="str">
        <f aca="false">IF(A31="","",IFERROR((SUMIFS('Weekly Log'!$F:$F,'Weekly Log'!$C:$C,A31)+SUMIFS('Weekly Log'!$G:$G,'Weekly Log'!$C:$C,A31))/(COUNTIFS('Weekly Log'!$C:$C,A31,'Weekly Log'!$F:$F,"&lt;&gt;")+COUNTIFS('Weekly Log'!$C:$C,A31,'Weekly Log'!$G:$G,"&lt;&gt;")),""))</f>
        <v/>
      </c>
      <c r="N31" s="15" t="str">
        <f aca="false">IF(A31="","",IF(K31=0,"",_xlfn.MAXIFS('Weekly Log'!$A:$A,'Weekly Log'!$C:$C,A31,'Weekly Log'!$E:$E,"Yes")))</f>
        <v/>
      </c>
      <c r="O31" s="12" t="str">
        <f aca="true">IF(N31="","",MAX(0,INT((TODAY()-N31)/7)))</f>
        <v/>
      </c>
      <c r="Q31" s="12" t="str">
        <f aca="false">IF(A31="","",IFERROR(LOOKUP(2,1/(('Weekly Log'!$C$4:$C$1003=A31)*('Weekly Log'!$I$4:$I$1003&lt;&gt;"")),'Weekly Log'!$I$4:$I$1003),""))</f>
        <v/>
      </c>
    </row>
    <row r="32" customFormat="false" ht="15" hidden="false" customHeight="false" outlineLevel="0" collapsed="false">
      <c r="H32" s="16"/>
      <c r="J32" s="12" t="str">
        <f aca="false">IF(A32="","",COUNTIF('Weekly Log'!$C:$C,A32))</f>
        <v/>
      </c>
      <c r="K32" s="12" t="str">
        <f aca="false">IF(A32="","",COUNTIFS('Weekly Log'!$C:$C,A32,'Weekly Log'!$E:$E,"Yes"))</f>
        <v/>
      </c>
      <c r="L32" s="13" t="str">
        <f aca="false">IF(A32="","",IF(J32=0,"",K32/J32))</f>
        <v/>
      </c>
      <c r="M32" s="14" t="str">
        <f aca="false">IF(A32="","",IFERROR((SUMIFS('Weekly Log'!$F:$F,'Weekly Log'!$C:$C,A32)+SUMIFS('Weekly Log'!$G:$G,'Weekly Log'!$C:$C,A32))/(COUNTIFS('Weekly Log'!$C:$C,A32,'Weekly Log'!$F:$F,"&lt;&gt;")+COUNTIFS('Weekly Log'!$C:$C,A32,'Weekly Log'!$G:$G,"&lt;&gt;")),""))</f>
        <v/>
      </c>
      <c r="N32" s="15" t="str">
        <f aca="false">IF(A32="","",IF(K32=0,"",_xlfn.MAXIFS('Weekly Log'!$A:$A,'Weekly Log'!$C:$C,A32,'Weekly Log'!$E:$E,"Yes")))</f>
        <v/>
      </c>
      <c r="O32" s="12" t="str">
        <f aca="true">IF(N32="","",MAX(0,INT((TODAY()-N32)/7)))</f>
        <v/>
      </c>
      <c r="Q32" s="12" t="str">
        <f aca="false">IF(A32="","",IFERROR(LOOKUP(2,1/(('Weekly Log'!$C$4:$C$1003=A32)*('Weekly Log'!$I$4:$I$1003&lt;&gt;"")),'Weekly Log'!$I$4:$I$1003),""))</f>
        <v/>
      </c>
    </row>
    <row r="33" customFormat="false" ht="15" hidden="false" customHeight="false" outlineLevel="0" collapsed="false">
      <c r="H33" s="16"/>
      <c r="J33" s="12" t="str">
        <f aca="false">IF(A33="","",COUNTIF('Weekly Log'!$C:$C,A33))</f>
        <v/>
      </c>
      <c r="K33" s="12" t="str">
        <f aca="false">IF(A33="","",COUNTIFS('Weekly Log'!$C:$C,A33,'Weekly Log'!$E:$E,"Yes"))</f>
        <v/>
      </c>
      <c r="L33" s="13" t="str">
        <f aca="false">IF(A33="","",IF(J33=0,"",K33/J33))</f>
        <v/>
      </c>
      <c r="M33" s="14" t="str">
        <f aca="false">IF(A33="","",IFERROR((SUMIFS('Weekly Log'!$F:$F,'Weekly Log'!$C:$C,A33)+SUMIFS('Weekly Log'!$G:$G,'Weekly Log'!$C:$C,A33))/(COUNTIFS('Weekly Log'!$C:$C,A33,'Weekly Log'!$F:$F,"&lt;&gt;")+COUNTIFS('Weekly Log'!$C:$C,A33,'Weekly Log'!$G:$G,"&lt;&gt;")),""))</f>
        <v/>
      </c>
      <c r="N33" s="15" t="str">
        <f aca="false">IF(A33="","",IF(K33=0,"",_xlfn.MAXIFS('Weekly Log'!$A:$A,'Weekly Log'!$C:$C,A33,'Weekly Log'!$E:$E,"Yes")))</f>
        <v/>
      </c>
      <c r="O33" s="12" t="str">
        <f aca="true">IF(N33="","",MAX(0,INT((TODAY()-N33)/7)))</f>
        <v/>
      </c>
      <c r="Q33" s="12" t="str">
        <f aca="false">IF(A33="","",IFERROR(LOOKUP(2,1/(('Weekly Log'!$C$4:$C$1003=A33)*('Weekly Log'!$I$4:$I$1003&lt;&gt;"")),'Weekly Log'!$I$4:$I$1003),""))</f>
        <v/>
      </c>
    </row>
    <row r="34" customFormat="false" ht="15" hidden="false" customHeight="false" outlineLevel="0" collapsed="false">
      <c r="H34" s="16"/>
      <c r="J34" s="12" t="str">
        <f aca="false">IF(A34="","",COUNTIF('Weekly Log'!$C:$C,A34))</f>
        <v/>
      </c>
      <c r="K34" s="12" t="str">
        <f aca="false">IF(A34="","",COUNTIFS('Weekly Log'!$C:$C,A34,'Weekly Log'!$E:$E,"Yes"))</f>
        <v/>
      </c>
      <c r="L34" s="13" t="str">
        <f aca="false">IF(A34="","",IF(J34=0,"",K34/J34))</f>
        <v/>
      </c>
      <c r="M34" s="14" t="str">
        <f aca="false">IF(A34="","",IFERROR((SUMIFS('Weekly Log'!$F:$F,'Weekly Log'!$C:$C,A34)+SUMIFS('Weekly Log'!$G:$G,'Weekly Log'!$C:$C,A34))/(COUNTIFS('Weekly Log'!$C:$C,A34,'Weekly Log'!$F:$F,"&lt;&gt;")+COUNTIFS('Weekly Log'!$C:$C,A34,'Weekly Log'!$G:$G,"&lt;&gt;")),""))</f>
        <v/>
      </c>
      <c r="N34" s="15" t="str">
        <f aca="false">IF(A34="","",IF(K34=0,"",_xlfn.MAXIFS('Weekly Log'!$A:$A,'Weekly Log'!$C:$C,A34,'Weekly Log'!$E:$E,"Yes")))</f>
        <v/>
      </c>
      <c r="O34" s="12" t="str">
        <f aca="true">IF(N34="","",MAX(0,INT((TODAY()-N34)/7)))</f>
        <v/>
      </c>
      <c r="Q34" s="12" t="str">
        <f aca="false">IF(A34="","",IFERROR(LOOKUP(2,1/(('Weekly Log'!$C$4:$C$1003=A34)*('Weekly Log'!$I$4:$I$1003&lt;&gt;"")),'Weekly Log'!$I$4:$I$1003),""))</f>
        <v/>
      </c>
    </row>
    <row r="35" customFormat="false" ht="15" hidden="false" customHeight="false" outlineLevel="0" collapsed="false">
      <c r="H35" s="16"/>
      <c r="J35" s="12" t="str">
        <f aca="false">IF(A35="","",COUNTIF('Weekly Log'!$C:$C,A35))</f>
        <v/>
      </c>
      <c r="K35" s="12" t="str">
        <f aca="false">IF(A35="","",COUNTIFS('Weekly Log'!$C:$C,A35,'Weekly Log'!$E:$E,"Yes"))</f>
        <v/>
      </c>
      <c r="L35" s="13" t="str">
        <f aca="false">IF(A35="","",IF(J35=0,"",K35/J35))</f>
        <v/>
      </c>
      <c r="M35" s="14" t="str">
        <f aca="false">IF(A35="","",IFERROR((SUMIFS('Weekly Log'!$F:$F,'Weekly Log'!$C:$C,A35)+SUMIFS('Weekly Log'!$G:$G,'Weekly Log'!$C:$C,A35))/(COUNTIFS('Weekly Log'!$C:$C,A35,'Weekly Log'!$F:$F,"&lt;&gt;")+COUNTIFS('Weekly Log'!$C:$C,A35,'Weekly Log'!$G:$G,"&lt;&gt;")),""))</f>
        <v/>
      </c>
      <c r="N35" s="15" t="str">
        <f aca="false">IF(A35="","",IF(K35=0,"",_xlfn.MAXIFS('Weekly Log'!$A:$A,'Weekly Log'!$C:$C,A35,'Weekly Log'!$E:$E,"Yes")))</f>
        <v/>
      </c>
      <c r="O35" s="12" t="str">
        <f aca="true">IF(N35="","",MAX(0,INT((TODAY()-N35)/7)))</f>
        <v/>
      </c>
      <c r="Q35" s="12" t="str">
        <f aca="false">IF(A35="","",IFERROR(LOOKUP(2,1/(('Weekly Log'!$C$4:$C$1003=A35)*('Weekly Log'!$I$4:$I$1003&lt;&gt;"")),'Weekly Log'!$I$4:$I$1003),""))</f>
        <v/>
      </c>
    </row>
    <row r="36" customFormat="false" ht="15" hidden="false" customHeight="false" outlineLevel="0" collapsed="false">
      <c r="H36" s="16"/>
      <c r="J36" s="12" t="str">
        <f aca="false">IF(A36="","",COUNTIF('Weekly Log'!$C:$C,A36))</f>
        <v/>
      </c>
      <c r="K36" s="12" t="str">
        <f aca="false">IF(A36="","",COUNTIFS('Weekly Log'!$C:$C,A36,'Weekly Log'!$E:$E,"Yes"))</f>
        <v/>
      </c>
      <c r="L36" s="13" t="str">
        <f aca="false">IF(A36="","",IF(J36=0,"",K36/J36))</f>
        <v/>
      </c>
      <c r="M36" s="14" t="str">
        <f aca="false">IF(A36="","",IFERROR((SUMIFS('Weekly Log'!$F:$F,'Weekly Log'!$C:$C,A36)+SUMIFS('Weekly Log'!$G:$G,'Weekly Log'!$C:$C,A36))/(COUNTIFS('Weekly Log'!$C:$C,A36,'Weekly Log'!$F:$F,"&lt;&gt;")+COUNTIFS('Weekly Log'!$C:$C,A36,'Weekly Log'!$G:$G,"&lt;&gt;")),""))</f>
        <v/>
      </c>
      <c r="N36" s="15" t="str">
        <f aca="false">IF(A36="","",IF(K36=0,"",_xlfn.MAXIFS('Weekly Log'!$A:$A,'Weekly Log'!$C:$C,A36,'Weekly Log'!$E:$E,"Yes")))</f>
        <v/>
      </c>
      <c r="O36" s="12" t="str">
        <f aca="true">IF(N36="","",MAX(0,INT((TODAY()-N36)/7)))</f>
        <v/>
      </c>
      <c r="Q36" s="12" t="str">
        <f aca="false">IF(A36="","",IFERROR(LOOKUP(2,1/(('Weekly Log'!$C$4:$C$1003=A36)*('Weekly Log'!$I$4:$I$1003&lt;&gt;"")),'Weekly Log'!$I$4:$I$1003),""))</f>
        <v/>
      </c>
    </row>
    <row r="37" customFormat="false" ht="15" hidden="false" customHeight="false" outlineLevel="0" collapsed="false">
      <c r="H37" s="16"/>
      <c r="J37" s="12" t="str">
        <f aca="false">IF(A37="","",COUNTIF('Weekly Log'!$C:$C,A37))</f>
        <v/>
      </c>
      <c r="K37" s="12" t="str">
        <f aca="false">IF(A37="","",COUNTIFS('Weekly Log'!$C:$C,A37,'Weekly Log'!$E:$E,"Yes"))</f>
        <v/>
      </c>
      <c r="L37" s="13" t="str">
        <f aca="false">IF(A37="","",IF(J37=0,"",K37/J37))</f>
        <v/>
      </c>
      <c r="M37" s="14" t="str">
        <f aca="false">IF(A37="","",IFERROR((SUMIFS('Weekly Log'!$F:$F,'Weekly Log'!$C:$C,A37)+SUMIFS('Weekly Log'!$G:$G,'Weekly Log'!$C:$C,A37))/(COUNTIFS('Weekly Log'!$C:$C,A37,'Weekly Log'!$F:$F,"&lt;&gt;")+COUNTIFS('Weekly Log'!$C:$C,A37,'Weekly Log'!$G:$G,"&lt;&gt;")),""))</f>
        <v/>
      </c>
      <c r="N37" s="15" t="str">
        <f aca="false">IF(A37="","",IF(K37=0,"",_xlfn.MAXIFS('Weekly Log'!$A:$A,'Weekly Log'!$C:$C,A37,'Weekly Log'!$E:$E,"Yes")))</f>
        <v/>
      </c>
      <c r="O37" s="12" t="str">
        <f aca="true">IF(N37="","",MAX(0,INT((TODAY()-N37)/7)))</f>
        <v/>
      </c>
      <c r="Q37" s="12" t="str">
        <f aca="false">IF(A37="","",IFERROR(LOOKUP(2,1/(('Weekly Log'!$C$4:$C$1003=A37)*('Weekly Log'!$I$4:$I$1003&lt;&gt;"")),'Weekly Log'!$I$4:$I$1003),""))</f>
        <v/>
      </c>
    </row>
    <row r="38" customFormat="false" ht="15" hidden="false" customHeight="false" outlineLevel="0" collapsed="false">
      <c r="H38" s="16"/>
      <c r="J38" s="12" t="str">
        <f aca="false">IF(A38="","",COUNTIF('Weekly Log'!$C:$C,A38))</f>
        <v/>
      </c>
      <c r="K38" s="12" t="str">
        <f aca="false">IF(A38="","",COUNTIFS('Weekly Log'!$C:$C,A38,'Weekly Log'!$E:$E,"Yes"))</f>
        <v/>
      </c>
      <c r="L38" s="13" t="str">
        <f aca="false">IF(A38="","",IF(J38=0,"",K38/J38))</f>
        <v/>
      </c>
      <c r="M38" s="14" t="str">
        <f aca="false">IF(A38="","",IFERROR((SUMIFS('Weekly Log'!$F:$F,'Weekly Log'!$C:$C,A38)+SUMIFS('Weekly Log'!$G:$G,'Weekly Log'!$C:$C,A38))/(COUNTIFS('Weekly Log'!$C:$C,A38,'Weekly Log'!$F:$F,"&lt;&gt;")+COUNTIFS('Weekly Log'!$C:$C,A38,'Weekly Log'!$G:$G,"&lt;&gt;")),""))</f>
        <v/>
      </c>
      <c r="N38" s="15" t="str">
        <f aca="false">IF(A38="","",IF(K38=0,"",_xlfn.MAXIFS('Weekly Log'!$A:$A,'Weekly Log'!$C:$C,A38,'Weekly Log'!$E:$E,"Yes")))</f>
        <v/>
      </c>
      <c r="O38" s="12" t="str">
        <f aca="true">IF(N38="","",MAX(0,INT((TODAY()-N38)/7)))</f>
        <v/>
      </c>
      <c r="Q38" s="12" t="str">
        <f aca="false">IF(A38="","",IFERROR(LOOKUP(2,1/(('Weekly Log'!$C$4:$C$1003=A38)*('Weekly Log'!$I$4:$I$1003&lt;&gt;"")),'Weekly Log'!$I$4:$I$1003),""))</f>
        <v/>
      </c>
    </row>
    <row r="39" customFormat="false" ht="15" hidden="false" customHeight="false" outlineLevel="0" collapsed="false">
      <c r="H39" s="16"/>
      <c r="J39" s="12" t="str">
        <f aca="false">IF(A39="","",COUNTIF('Weekly Log'!$C:$C,A39))</f>
        <v/>
      </c>
      <c r="K39" s="12" t="str">
        <f aca="false">IF(A39="","",COUNTIFS('Weekly Log'!$C:$C,A39,'Weekly Log'!$E:$E,"Yes"))</f>
        <v/>
      </c>
      <c r="L39" s="13" t="str">
        <f aca="false">IF(A39="","",IF(J39=0,"",K39/J39))</f>
        <v/>
      </c>
      <c r="M39" s="14" t="str">
        <f aca="false">IF(A39="","",IFERROR((SUMIFS('Weekly Log'!$F:$F,'Weekly Log'!$C:$C,A39)+SUMIFS('Weekly Log'!$G:$G,'Weekly Log'!$C:$C,A39))/(COUNTIFS('Weekly Log'!$C:$C,A39,'Weekly Log'!$F:$F,"&lt;&gt;")+COUNTIFS('Weekly Log'!$C:$C,A39,'Weekly Log'!$G:$G,"&lt;&gt;")),""))</f>
        <v/>
      </c>
      <c r="N39" s="15" t="str">
        <f aca="false">IF(A39="","",IF(K39=0,"",_xlfn.MAXIFS('Weekly Log'!$A:$A,'Weekly Log'!$C:$C,A39,'Weekly Log'!$E:$E,"Yes")))</f>
        <v/>
      </c>
      <c r="O39" s="12" t="str">
        <f aca="true">IF(N39="","",MAX(0,INT((TODAY()-N39)/7)))</f>
        <v/>
      </c>
      <c r="Q39" s="12" t="str">
        <f aca="false">IF(A39="","",IFERROR(LOOKUP(2,1/(('Weekly Log'!$C$4:$C$1003=A39)*('Weekly Log'!$I$4:$I$1003&lt;&gt;"")),'Weekly Log'!$I$4:$I$1003),""))</f>
        <v/>
      </c>
    </row>
    <row r="40" customFormat="false" ht="15" hidden="false" customHeight="false" outlineLevel="0" collapsed="false">
      <c r="H40" s="16"/>
      <c r="J40" s="12" t="str">
        <f aca="false">IF(A40="","",COUNTIF('Weekly Log'!$C:$C,A40))</f>
        <v/>
      </c>
      <c r="K40" s="12" t="str">
        <f aca="false">IF(A40="","",COUNTIFS('Weekly Log'!$C:$C,A40,'Weekly Log'!$E:$E,"Yes"))</f>
        <v/>
      </c>
      <c r="L40" s="13" t="str">
        <f aca="false">IF(A40="","",IF(J40=0,"",K40/J40))</f>
        <v/>
      </c>
      <c r="M40" s="14" t="str">
        <f aca="false">IF(A40="","",IFERROR((SUMIFS('Weekly Log'!$F:$F,'Weekly Log'!$C:$C,A40)+SUMIFS('Weekly Log'!$G:$G,'Weekly Log'!$C:$C,A40))/(COUNTIFS('Weekly Log'!$C:$C,A40,'Weekly Log'!$F:$F,"&lt;&gt;")+COUNTIFS('Weekly Log'!$C:$C,A40,'Weekly Log'!$G:$G,"&lt;&gt;")),""))</f>
        <v/>
      </c>
      <c r="N40" s="15" t="str">
        <f aca="false">IF(A40="","",IF(K40=0,"",_xlfn.MAXIFS('Weekly Log'!$A:$A,'Weekly Log'!$C:$C,A40,'Weekly Log'!$E:$E,"Yes")))</f>
        <v/>
      </c>
      <c r="O40" s="12" t="str">
        <f aca="true">IF(N40="","",MAX(0,INT((TODAY()-N40)/7)))</f>
        <v/>
      </c>
      <c r="Q40" s="12" t="str">
        <f aca="false">IF(A40="","",IFERROR(LOOKUP(2,1/(('Weekly Log'!$C$4:$C$1003=A40)*('Weekly Log'!$I$4:$I$1003&lt;&gt;"")),'Weekly Log'!$I$4:$I$1003),""))</f>
        <v/>
      </c>
    </row>
    <row r="41" customFormat="false" ht="15" hidden="false" customHeight="false" outlineLevel="0" collapsed="false">
      <c r="H41" s="16"/>
      <c r="J41" s="12" t="str">
        <f aca="false">IF(A41="","",COUNTIF('Weekly Log'!$C:$C,A41))</f>
        <v/>
      </c>
      <c r="K41" s="12" t="str">
        <f aca="false">IF(A41="","",COUNTIFS('Weekly Log'!$C:$C,A41,'Weekly Log'!$E:$E,"Yes"))</f>
        <v/>
      </c>
      <c r="L41" s="13" t="str">
        <f aca="false">IF(A41="","",IF(J41=0,"",K41/J41))</f>
        <v/>
      </c>
      <c r="M41" s="14" t="str">
        <f aca="false">IF(A41="","",IFERROR((SUMIFS('Weekly Log'!$F:$F,'Weekly Log'!$C:$C,A41)+SUMIFS('Weekly Log'!$G:$G,'Weekly Log'!$C:$C,A41))/(COUNTIFS('Weekly Log'!$C:$C,A41,'Weekly Log'!$F:$F,"&lt;&gt;")+COUNTIFS('Weekly Log'!$C:$C,A41,'Weekly Log'!$G:$G,"&lt;&gt;")),""))</f>
        <v/>
      </c>
      <c r="N41" s="15" t="str">
        <f aca="false">IF(A41="","",IF(K41=0,"",_xlfn.MAXIFS('Weekly Log'!$A:$A,'Weekly Log'!$C:$C,A41,'Weekly Log'!$E:$E,"Yes")))</f>
        <v/>
      </c>
      <c r="O41" s="12" t="str">
        <f aca="true">IF(N41="","",MAX(0,INT((TODAY()-N41)/7)))</f>
        <v/>
      </c>
      <c r="Q41" s="12" t="str">
        <f aca="false">IF(A41="","",IFERROR(LOOKUP(2,1/(('Weekly Log'!$C$4:$C$1003=A41)*('Weekly Log'!$I$4:$I$1003&lt;&gt;"")),'Weekly Log'!$I$4:$I$1003),""))</f>
        <v/>
      </c>
    </row>
    <row r="42" customFormat="false" ht="15" hidden="false" customHeight="false" outlineLevel="0" collapsed="false">
      <c r="H42" s="16"/>
      <c r="J42" s="12" t="str">
        <f aca="false">IF(A42="","",COUNTIF('Weekly Log'!$C:$C,A42))</f>
        <v/>
      </c>
      <c r="K42" s="12" t="str">
        <f aca="false">IF(A42="","",COUNTIFS('Weekly Log'!$C:$C,A42,'Weekly Log'!$E:$E,"Yes"))</f>
        <v/>
      </c>
      <c r="L42" s="13" t="str">
        <f aca="false">IF(A42="","",IF(J42=0,"",K42/J42))</f>
        <v/>
      </c>
      <c r="M42" s="14" t="str">
        <f aca="false">IF(A42="","",IFERROR((SUMIFS('Weekly Log'!$F:$F,'Weekly Log'!$C:$C,A42)+SUMIFS('Weekly Log'!$G:$G,'Weekly Log'!$C:$C,A42))/(COUNTIFS('Weekly Log'!$C:$C,A42,'Weekly Log'!$F:$F,"&lt;&gt;")+COUNTIFS('Weekly Log'!$C:$C,A42,'Weekly Log'!$G:$G,"&lt;&gt;")),""))</f>
        <v/>
      </c>
      <c r="N42" s="15" t="str">
        <f aca="false">IF(A42="","",IF(K42=0,"",_xlfn.MAXIFS('Weekly Log'!$A:$A,'Weekly Log'!$C:$C,A42,'Weekly Log'!$E:$E,"Yes")))</f>
        <v/>
      </c>
      <c r="O42" s="12" t="str">
        <f aca="true">IF(N42="","",MAX(0,INT((TODAY()-N42)/7)))</f>
        <v/>
      </c>
      <c r="Q42" s="12" t="str">
        <f aca="false">IF(A42="","",IFERROR(LOOKUP(2,1/(('Weekly Log'!$C$4:$C$1003=A42)*('Weekly Log'!$I$4:$I$1003&lt;&gt;"")),'Weekly Log'!$I$4:$I$1003),""))</f>
        <v/>
      </c>
    </row>
    <row r="43" customFormat="false" ht="15" hidden="false" customHeight="false" outlineLevel="0" collapsed="false">
      <c r="H43" s="16"/>
      <c r="J43" s="12" t="str">
        <f aca="false">IF(A43="","",COUNTIF('Weekly Log'!$C:$C,A43))</f>
        <v/>
      </c>
      <c r="K43" s="12" t="str">
        <f aca="false">IF(A43="","",COUNTIFS('Weekly Log'!$C:$C,A43,'Weekly Log'!$E:$E,"Yes"))</f>
        <v/>
      </c>
      <c r="L43" s="13" t="str">
        <f aca="false">IF(A43="","",IF(J43=0,"",K43/J43))</f>
        <v/>
      </c>
      <c r="M43" s="14" t="str">
        <f aca="false">IF(A43="","",IFERROR((SUMIFS('Weekly Log'!$F:$F,'Weekly Log'!$C:$C,A43)+SUMIFS('Weekly Log'!$G:$G,'Weekly Log'!$C:$C,A43))/(COUNTIFS('Weekly Log'!$C:$C,A43,'Weekly Log'!$F:$F,"&lt;&gt;")+COUNTIFS('Weekly Log'!$C:$C,A43,'Weekly Log'!$G:$G,"&lt;&gt;")),""))</f>
        <v/>
      </c>
      <c r="N43" s="15" t="str">
        <f aca="false">IF(A43="","",IF(K43=0,"",_xlfn.MAXIFS('Weekly Log'!$A:$A,'Weekly Log'!$C:$C,A43,'Weekly Log'!$E:$E,"Yes")))</f>
        <v/>
      </c>
      <c r="O43" s="12" t="str">
        <f aca="true">IF(N43="","",MAX(0,INT((TODAY()-N43)/7)))</f>
        <v/>
      </c>
      <c r="Q43" s="12" t="str">
        <f aca="false">IF(A43="","",IFERROR(LOOKUP(2,1/(('Weekly Log'!$C$4:$C$1003=A43)*('Weekly Log'!$I$4:$I$1003&lt;&gt;"")),'Weekly Log'!$I$4:$I$1003),""))</f>
        <v/>
      </c>
    </row>
    <row r="44" customFormat="false" ht="15" hidden="false" customHeight="false" outlineLevel="0" collapsed="false">
      <c r="H44" s="16"/>
      <c r="J44" s="12" t="str">
        <f aca="false">IF(A44="","",COUNTIF('Weekly Log'!$C:$C,A44))</f>
        <v/>
      </c>
      <c r="K44" s="12" t="str">
        <f aca="false">IF(A44="","",COUNTIFS('Weekly Log'!$C:$C,A44,'Weekly Log'!$E:$E,"Yes"))</f>
        <v/>
      </c>
      <c r="L44" s="13" t="str">
        <f aca="false">IF(A44="","",IF(J44=0,"",K44/J44))</f>
        <v/>
      </c>
      <c r="M44" s="14" t="str">
        <f aca="false">IF(A44="","",IFERROR((SUMIFS('Weekly Log'!$F:$F,'Weekly Log'!$C:$C,A44)+SUMIFS('Weekly Log'!$G:$G,'Weekly Log'!$C:$C,A44))/(COUNTIFS('Weekly Log'!$C:$C,A44,'Weekly Log'!$F:$F,"&lt;&gt;")+COUNTIFS('Weekly Log'!$C:$C,A44,'Weekly Log'!$G:$G,"&lt;&gt;")),""))</f>
        <v/>
      </c>
      <c r="N44" s="15" t="str">
        <f aca="false">IF(A44="","",IF(K44=0,"",_xlfn.MAXIFS('Weekly Log'!$A:$A,'Weekly Log'!$C:$C,A44,'Weekly Log'!$E:$E,"Yes")))</f>
        <v/>
      </c>
      <c r="O44" s="12" t="str">
        <f aca="true">IF(N44="","",MAX(0,INT((TODAY()-N44)/7)))</f>
        <v/>
      </c>
      <c r="Q44" s="12" t="str">
        <f aca="false">IF(A44="","",IFERROR(LOOKUP(2,1/(('Weekly Log'!$C$4:$C$1003=A44)*('Weekly Log'!$I$4:$I$1003&lt;&gt;"")),'Weekly Log'!$I$4:$I$1003),""))</f>
        <v/>
      </c>
    </row>
    <row r="45" customFormat="false" ht="15" hidden="false" customHeight="false" outlineLevel="0" collapsed="false">
      <c r="H45" s="16"/>
      <c r="J45" s="12" t="str">
        <f aca="false">IF(A45="","",COUNTIF('Weekly Log'!$C:$C,A45))</f>
        <v/>
      </c>
      <c r="K45" s="12" t="str">
        <f aca="false">IF(A45="","",COUNTIFS('Weekly Log'!$C:$C,A45,'Weekly Log'!$E:$E,"Yes"))</f>
        <v/>
      </c>
      <c r="L45" s="13" t="str">
        <f aca="false">IF(A45="","",IF(J45=0,"",K45/J45))</f>
        <v/>
      </c>
      <c r="M45" s="14" t="str">
        <f aca="false">IF(A45="","",IFERROR((SUMIFS('Weekly Log'!$F:$F,'Weekly Log'!$C:$C,A45)+SUMIFS('Weekly Log'!$G:$G,'Weekly Log'!$C:$C,A45))/(COUNTIFS('Weekly Log'!$C:$C,A45,'Weekly Log'!$F:$F,"&lt;&gt;")+COUNTIFS('Weekly Log'!$C:$C,A45,'Weekly Log'!$G:$G,"&lt;&gt;")),""))</f>
        <v/>
      </c>
      <c r="N45" s="15" t="str">
        <f aca="false">IF(A45="","",IF(K45=0,"",_xlfn.MAXIFS('Weekly Log'!$A:$A,'Weekly Log'!$C:$C,A45,'Weekly Log'!$E:$E,"Yes")))</f>
        <v/>
      </c>
      <c r="O45" s="12" t="str">
        <f aca="true">IF(N45="","",MAX(0,INT((TODAY()-N45)/7)))</f>
        <v/>
      </c>
      <c r="Q45" s="12" t="str">
        <f aca="false">IF(A45="","",IFERROR(LOOKUP(2,1/(('Weekly Log'!$C$4:$C$1003=A45)*('Weekly Log'!$I$4:$I$1003&lt;&gt;"")),'Weekly Log'!$I$4:$I$1003),""))</f>
        <v/>
      </c>
    </row>
    <row r="46" customFormat="false" ht="15" hidden="false" customHeight="false" outlineLevel="0" collapsed="false">
      <c r="H46" s="16"/>
      <c r="J46" s="12" t="str">
        <f aca="false">IF(A46="","",COUNTIF('Weekly Log'!$C:$C,A46))</f>
        <v/>
      </c>
      <c r="K46" s="12" t="str">
        <f aca="false">IF(A46="","",COUNTIFS('Weekly Log'!$C:$C,A46,'Weekly Log'!$E:$E,"Yes"))</f>
        <v/>
      </c>
      <c r="L46" s="13" t="str">
        <f aca="false">IF(A46="","",IF(J46=0,"",K46/J46))</f>
        <v/>
      </c>
      <c r="M46" s="14" t="str">
        <f aca="false">IF(A46="","",IFERROR((SUMIFS('Weekly Log'!$F:$F,'Weekly Log'!$C:$C,A46)+SUMIFS('Weekly Log'!$G:$G,'Weekly Log'!$C:$C,A46))/(COUNTIFS('Weekly Log'!$C:$C,A46,'Weekly Log'!$F:$F,"&lt;&gt;")+COUNTIFS('Weekly Log'!$C:$C,A46,'Weekly Log'!$G:$G,"&lt;&gt;")),""))</f>
        <v/>
      </c>
      <c r="N46" s="15" t="str">
        <f aca="false">IF(A46="","",IF(K46=0,"",_xlfn.MAXIFS('Weekly Log'!$A:$A,'Weekly Log'!$C:$C,A46,'Weekly Log'!$E:$E,"Yes")))</f>
        <v/>
      </c>
      <c r="O46" s="12" t="str">
        <f aca="true">IF(N46="","",MAX(0,INT((TODAY()-N46)/7)))</f>
        <v/>
      </c>
      <c r="Q46" s="12" t="str">
        <f aca="false">IF(A46="","",IFERROR(LOOKUP(2,1/(('Weekly Log'!$C$4:$C$1003=A46)*('Weekly Log'!$I$4:$I$1003&lt;&gt;"")),'Weekly Log'!$I$4:$I$1003),""))</f>
        <v/>
      </c>
    </row>
    <row r="47" customFormat="false" ht="15" hidden="false" customHeight="false" outlineLevel="0" collapsed="false">
      <c r="H47" s="16"/>
      <c r="J47" s="12" t="str">
        <f aca="false">IF(A47="","",COUNTIF('Weekly Log'!$C:$C,A47))</f>
        <v/>
      </c>
      <c r="K47" s="12" t="str">
        <f aca="false">IF(A47="","",COUNTIFS('Weekly Log'!$C:$C,A47,'Weekly Log'!$E:$E,"Yes"))</f>
        <v/>
      </c>
      <c r="L47" s="13" t="str">
        <f aca="false">IF(A47="","",IF(J47=0,"",K47/J47))</f>
        <v/>
      </c>
      <c r="M47" s="14" t="str">
        <f aca="false">IF(A47="","",IFERROR((SUMIFS('Weekly Log'!$F:$F,'Weekly Log'!$C:$C,A47)+SUMIFS('Weekly Log'!$G:$G,'Weekly Log'!$C:$C,A47))/(COUNTIFS('Weekly Log'!$C:$C,A47,'Weekly Log'!$F:$F,"&lt;&gt;")+COUNTIFS('Weekly Log'!$C:$C,A47,'Weekly Log'!$G:$G,"&lt;&gt;")),""))</f>
        <v/>
      </c>
      <c r="N47" s="15" t="str">
        <f aca="false">IF(A47="","",IF(K47=0,"",_xlfn.MAXIFS('Weekly Log'!$A:$A,'Weekly Log'!$C:$C,A47,'Weekly Log'!$E:$E,"Yes")))</f>
        <v/>
      </c>
      <c r="O47" s="12" t="str">
        <f aca="true">IF(N47="","",MAX(0,INT((TODAY()-N47)/7)))</f>
        <v/>
      </c>
      <c r="Q47" s="12" t="str">
        <f aca="false">IF(A47="","",IFERROR(LOOKUP(2,1/(('Weekly Log'!$C$4:$C$1003=A47)*('Weekly Log'!$I$4:$I$1003&lt;&gt;"")),'Weekly Log'!$I$4:$I$1003),""))</f>
        <v/>
      </c>
    </row>
    <row r="48" customFormat="false" ht="15" hidden="false" customHeight="false" outlineLevel="0" collapsed="false">
      <c r="H48" s="16"/>
      <c r="J48" s="12" t="str">
        <f aca="false">IF(A48="","",COUNTIF('Weekly Log'!$C:$C,A48))</f>
        <v/>
      </c>
      <c r="K48" s="12" t="str">
        <f aca="false">IF(A48="","",COUNTIFS('Weekly Log'!$C:$C,A48,'Weekly Log'!$E:$E,"Yes"))</f>
        <v/>
      </c>
      <c r="L48" s="13" t="str">
        <f aca="false">IF(A48="","",IF(J48=0,"",K48/J48))</f>
        <v/>
      </c>
      <c r="M48" s="14" t="str">
        <f aca="false">IF(A48="","",IFERROR((SUMIFS('Weekly Log'!$F:$F,'Weekly Log'!$C:$C,A48)+SUMIFS('Weekly Log'!$G:$G,'Weekly Log'!$C:$C,A48))/(COUNTIFS('Weekly Log'!$C:$C,A48,'Weekly Log'!$F:$F,"&lt;&gt;")+COUNTIFS('Weekly Log'!$C:$C,A48,'Weekly Log'!$G:$G,"&lt;&gt;")),""))</f>
        <v/>
      </c>
      <c r="N48" s="15" t="str">
        <f aca="false">IF(A48="","",IF(K48=0,"",_xlfn.MAXIFS('Weekly Log'!$A:$A,'Weekly Log'!$C:$C,A48,'Weekly Log'!$E:$E,"Yes")))</f>
        <v/>
      </c>
      <c r="O48" s="12" t="str">
        <f aca="true">IF(N48="","",MAX(0,INT((TODAY()-N48)/7)))</f>
        <v/>
      </c>
      <c r="Q48" s="12" t="str">
        <f aca="false">IF(A48="","",IFERROR(LOOKUP(2,1/(('Weekly Log'!$C$4:$C$1003=A48)*('Weekly Log'!$I$4:$I$1003&lt;&gt;"")),'Weekly Log'!$I$4:$I$1003),""))</f>
        <v/>
      </c>
    </row>
    <row r="49" customFormat="false" ht="15" hidden="false" customHeight="false" outlineLevel="0" collapsed="false">
      <c r="H49" s="16"/>
      <c r="J49" s="12" t="str">
        <f aca="false">IF(A49="","",COUNTIF('Weekly Log'!$C:$C,A49))</f>
        <v/>
      </c>
      <c r="K49" s="12" t="str">
        <f aca="false">IF(A49="","",COUNTIFS('Weekly Log'!$C:$C,A49,'Weekly Log'!$E:$E,"Yes"))</f>
        <v/>
      </c>
      <c r="L49" s="13" t="str">
        <f aca="false">IF(A49="","",IF(J49=0,"",K49/J49))</f>
        <v/>
      </c>
      <c r="M49" s="14" t="str">
        <f aca="false">IF(A49="","",IFERROR((SUMIFS('Weekly Log'!$F:$F,'Weekly Log'!$C:$C,A49)+SUMIFS('Weekly Log'!$G:$G,'Weekly Log'!$C:$C,A49))/(COUNTIFS('Weekly Log'!$C:$C,A49,'Weekly Log'!$F:$F,"&lt;&gt;")+COUNTIFS('Weekly Log'!$C:$C,A49,'Weekly Log'!$G:$G,"&lt;&gt;")),""))</f>
        <v/>
      </c>
      <c r="N49" s="15" t="str">
        <f aca="false">IF(A49="","",IF(K49=0,"",_xlfn.MAXIFS('Weekly Log'!$A:$A,'Weekly Log'!$C:$C,A49,'Weekly Log'!$E:$E,"Yes")))</f>
        <v/>
      </c>
      <c r="O49" s="12" t="str">
        <f aca="true">IF(N49="","",MAX(0,INT((TODAY()-N49)/7)))</f>
        <v/>
      </c>
      <c r="Q49" s="12" t="str">
        <f aca="false">IF(A49="","",IFERROR(LOOKUP(2,1/(('Weekly Log'!$C$4:$C$1003=A49)*('Weekly Log'!$I$4:$I$1003&lt;&gt;"")),'Weekly Log'!$I$4:$I$1003),""))</f>
        <v/>
      </c>
    </row>
    <row r="50" customFormat="false" ht="15" hidden="false" customHeight="false" outlineLevel="0" collapsed="false">
      <c r="H50" s="16"/>
      <c r="J50" s="12" t="str">
        <f aca="false">IF(A50="","",COUNTIF('Weekly Log'!$C:$C,A50))</f>
        <v/>
      </c>
      <c r="K50" s="12" t="str">
        <f aca="false">IF(A50="","",COUNTIFS('Weekly Log'!$C:$C,A50,'Weekly Log'!$E:$E,"Yes"))</f>
        <v/>
      </c>
      <c r="L50" s="13" t="str">
        <f aca="false">IF(A50="","",IF(J50=0,"",K50/J50))</f>
        <v/>
      </c>
      <c r="M50" s="14" t="str">
        <f aca="false">IF(A50="","",IFERROR((SUMIFS('Weekly Log'!$F:$F,'Weekly Log'!$C:$C,A50)+SUMIFS('Weekly Log'!$G:$G,'Weekly Log'!$C:$C,A50))/(COUNTIFS('Weekly Log'!$C:$C,A50,'Weekly Log'!$F:$F,"&lt;&gt;")+COUNTIFS('Weekly Log'!$C:$C,A50,'Weekly Log'!$G:$G,"&lt;&gt;")),""))</f>
        <v/>
      </c>
      <c r="N50" s="15" t="str">
        <f aca="false">IF(A50="","",IF(K50=0,"",_xlfn.MAXIFS('Weekly Log'!$A:$A,'Weekly Log'!$C:$C,A50,'Weekly Log'!$E:$E,"Yes")))</f>
        <v/>
      </c>
      <c r="O50" s="12" t="str">
        <f aca="true">IF(N50="","",MAX(0,INT((TODAY()-N50)/7)))</f>
        <v/>
      </c>
      <c r="Q50" s="12" t="str">
        <f aca="false">IF(A50="","",IFERROR(LOOKUP(2,1/(('Weekly Log'!$C$4:$C$1003=A50)*('Weekly Log'!$I$4:$I$1003&lt;&gt;"")),'Weekly Log'!$I$4:$I$1003),""))</f>
        <v/>
      </c>
    </row>
    <row r="51" customFormat="false" ht="15" hidden="false" customHeight="false" outlineLevel="0" collapsed="false">
      <c r="H51" s="16"/>
      <c r="J51" s="12" t="str">
        <f aca="false">IF(A51="","",COUNTIF('Weekly Log'!$C:$C,A51))</f>
        <v/>
      </c>
      <c r="K51" s="12" t="str">
        <f aca="false">IF(A51="","",COUNTIFS('Weekly Log'!$C:$C,A51,'Weekly Log'!$E:$E,"Yes"))</f>
        <v/>
      </c>
      <c r="L51" s="13" t="str">
        <f aca="false">IF(A51="","",IF(J51=0,"",K51/J51))</f>
        <v/>
      </c>
      <c r="M51" s="14" t="str">
        <f aca="false">IF(A51="","",IFERROR((SUMIFS('Weekly Log'!$F:$F,'Weekly Log'!$C:$C,A51)+SUMIFS('Weekly Log'!$G:$G,'Weekly Log'!$C:$C,A51))/(COUNTIFS('Weekly Log'!$C:$C,A51,'Weekly Log'!$F:$F,"&lt;&gt;")+COUNTIFS('Weekly Log'!$C:$C,A51,'Weekly Log'!$G:$G,"&lt;&gt;")),""))</f>
        <v/>
      </c>
      <c r="N51" s="15" t="str">
        <f aca="false">IF(A51="","",IF(K51=0,"",_xlfn.MAXIFS('Weekly Log'!$A:$A,'Weekly Log'!$C:$C,A51,'Weekly Log'!$E:$E,"Yes")))</f>
        <v/>
      </c>
      <c r="O51" s="12" t="str">
        <f aca="true">IF(N51="","",MAX(0,INT((TODAY()-N51)/7)))</f>
        <v/>
      </c>
      <c r="Q51" s="12" t="str">
        <f aca="false">IF(A51="","",IFERROR(LOOKUP(2,1/(('Weekly Log'!$C$4:$C$1003=A51)*('Weekly Log'!$I$4:$I$1003&lt;&gt;"")),'Weekly Log'!$I$4:$I$1003),""))</f>
        <v/>
      </c>
    </row>
    <row r="52" customFormat="false" ht="15" hidden="false" customHeight="false" outlineLevel="0" collapsed="false">
      <c r="H52" s="16"/>
      <c r="J52" s="12" t="str">
        <f aca="false">IF(A52="","",COUNTIF('Weekly Log'!$C:$C,A52))</f>
        <v/>
      </c>
      <c r="K52" s="12" t="str">
        <f aca="false">IF(A52="","",COUNTIFS('Weekly Log'!$C:$C,A52,'Weekly Log'!$E:$E,"Yes"))</f>
        <v/>
      </c>
      <c r="L52" s="13" t="str">
        <f aca="false">IF(A52="","",IF(J52=0,"",K52/J52))</f>
        <v/>
      </c>
      <c r="M52" s="14" t="str">
        <f aca="false">IF(A52="","",IFERROR((SUMIFS('Weekly Log'!$F:$F,'Weekly Log'!$C:$C,A52)+SUMIFS('Weekly Log'!$G:$G,'Weekly Log'!$C:$C,A52))/(COUNTIFS('Weekly Log'!$C:$C,A52,'Weekly Log'!$F:$F,"&lt;&gt;")+COUNTIFS('Weekly Log'!$C:$C,A52,'Weekly Log'!$G:$G,"&lt;&gt;")),""))</f>
        <v/>
      </c>
      <c r="N52" s="15" t="str">
        <f aca="false">IF(A52="","",IF(K52=0,"",_xlfn.MAXIFS('Weekly Log'!$A:$A,'Weekly Log'!$C:$C,A52,'Weekly Log'!$E:$E,"Yes")))</f>
        <v/>
      </c>
      <c r="O52" s="12" t="str">
        <f aca="true">IF(N52="","",MAX(0,INT((TODAY()-N52)/7)))</f>
        <v/>
      </c>
      <c r="Q52" s="12" t="str">
        <f aca="false">IF(A52="","",IFERROR(LOOKUP(2,1/(('Weekly Log'!$C$4:$C$1003=A52)*('Weekly Log'!$I$4:$I$1003&lt;&gt;"")),'Weekly Log'!$I$4:$I$1003),""))</f>
        <v/>
      </c>
    </row>
    <row r="53" customFormat="false" ht="15" hidden="false" customHeight="false" outlineLevel="0" collapsed="false">
      <c r="H53" s="16"/>
      <c r="J53" s="12" t="str">
        <f aca="false">IF(A53="","",COUNTIF('Weekly Log'!$C:$C,A53))</f>
        <v/>
      </c>
      <c r="K53" s="12" t="str">
        <f aca="false">IF(A53="","",COUNTIFS('Weekly Log'!$C:$C,A53,'Weekly Log'!$E:$E,"Yes"))</f>
        <v/>
      </c>
      <c r="L53" s="13" t="str">
        <f aca="false">IF(A53="","",IF(J53=0,"",K53/J53))</f>
        <v/>
      </c>
      <c r="M53" s="14" t="str">
        <f aca="false">IF(A53="","",IFERROR((SUMIFS('Weekly Log'!$F:$F,'Weekly Log'!$C:$C,A53)+SUMIFS('Weekly Log'!$G:$G,'Weekly Log'!$C:$C,A53))/(COUNTIFS('Weekly Log'!$C:$C,A53,'Weekly Log'!$F:$F,"&lt;&gt;")+COUNTIFS('Weekly Log'!$C:$C,A53,'Weekly Log'!$G:$G,"&lt;&gt;")),""))</f>
        <v/>
      </c>
      <c r="N53" s="15" t="str">
        <f aca="false">IF(A53="","",IF(K53=0,"",_xlfn.MAXIFS('Weekly Log'!$A:$A,'Weekly Log'!$C:$C,A53,'Weekly Log'!$E:$E,"Yes")))</f>
        <v/>
      </c>
      <c r="O53" s="12" t="str">
        <f aca="true">IF(N53="","",MAX(0,INT((TODAY()-N53)/7)))</f>
        <v/>
      </c>
      <c r="Q53" s="12" t="str">
        <f aca="false">IF(A53="","",IFERROR(LOOKUP(2,1/(('Weekly Log'!$C$4:$C$1003=A53)*('Weekly Log'!$I$4:$I$1003&lt;&gt;"")),'Weekly Log'!$I$4:$I$1003),""))</f>
        <v/>
      </c>
    </row>
    <row r="54" customFormat="false" ht="15" hidden="false" customHeight="false" outlineLevel="0" collapsed="false">
      <c r="H54" s="16"/>
      <c r="J54" s="12" t="str">
        <f aca="false">IF(A54="","",COUNTIF('Weekly Log'!$C:$C,A54))</f>
        <v/>
      </c>
      <c r="K54" s="12" t="str">
        <f aca="false">IF(A54="","",COUNTIFS('Weekly Log'!$C:$C,A54,'Weekly Log'!$E:$E,"Yes"))</f>
        <v/>
      </c>
      <c r="L54" s="13" t="str">
        <f aca="false">IF(A54="","",IF(J54=0,"",K54/J54))</f>
        <v/>
      </c>
      <c r="M54" s="14" t="str">
        <f aca="false">IF(A54="","",IFERROR((SUMIFS('Weekly Log'!$F:$F,'Weekly Log'!$C:$C,A54)+SUMIFS('Weekly Log'!$G:$G,'Weekly Log'!$C:$C,A54))/(COUNTIFS('Weekly Log'!$C:$C,A54,'Weekly Log'!$F:$F,"&lt;&gt;")+COUNTIFS('Weekly Log'!$C:$C,A54,'Weekly Log'!$G:$G,"&lt;&gt;")),""))</f>
        <v/>
      </c>
      <c r="N54" s="15" t="str">
        <f aca="false">IF(A54="","",IF(K54=0,"",_xlfn.MAXIFS('Weekly Log'!$A:$A,'Weekly Log'!$C:$C,A54,'Weekly Log'!$E:$E,"Yes")))</f>
        <v/>
      </c>
      <c r="O54" s="12" t="str">
        <f aca="true">IF(N54="","",MAX(0,INT((TODAY()-N54)/7)))</f>
        <v/>
      </c>
      <c r="Q54" s="12" t="str">
        <f aca="false">IF(A54="","",IFERROR(LOOKUP(2,1/(('Weekly Log'!$C$4:$C$1003=A54)*('Weekly Log'!$I$4:$I$1003&lt;&gt;"")),'Weekly Log'!$I$4:$I$1003),""))</f>
        <v/>
      </c>
    </row>
    <row r="55" customFormat="false" ht="15" hidden="false" customHeight="false" outlineLevel="0" collapsed="false">
      <c r="H55" s="16"/>
      <c r="J55" s="12" t="str">
        <f aca="false">IF(A55="","",COUNTIF('Weekly Log'!$C:$C,A55))</f>
        <v/>
      </c>
      <c r="K55" s="12" t="str">
        <f aca="false">IF(A55="","",COUNTIFS('Weekly Log'!$C:$C,A55,'Weekly Log'!$E:$E,"Yes"))</f>
        <v/>
      </c>
      <c r="L55" s="13" t="str">
        <f aca="false">IF(A55="","",IF(J55=0,"",K55/J55))</f>
        <v/>
      </c>
      <c r="M55" s="14" t="str">
        <f aca="false">IF(A55="","",IFERROR((SUMIFS('Weekly Log'!$F:$F,'Weekly Log'!$C:$C,A55)+SUMIFS('Weekly Log'!$G:$G,'Weekly Log'!$C:$C,A55))/(COUNTIFS('Weekly Log'!$C:$C,A55,'Weekly Log'!$F:$F,"&lt;&gt;")+COUNTIFS('Weekly Log'!$C:$C,A55,'Weekly Log'!$G:$G,"&lt;&gt;")),""))</f>
        <v/>
      </c>
      <c r="N55" s="15" t="str">
        <f aca="false">IF(A55="","",IF(K55=0,"",_xlfn.MAXIFS('Weekly Log'!$A:$A,'Weekly Log'!$C:$C,A55,'Weekly Log'!$E:$E,"Yes")))</f>
        <v/>
      </c>
      <c r="O55" s="12" t="str">
        <f aca="true">IF(N55="","",MAX(0,INT((TODAY()-N55)/7)))</f>
        <v/>
      </c>
      <c r="Q55" s="12" t="str">
        <f aca="false">IF(A55="","",IFERROR(LOOKUP(2,1/(('Weekly Log'!$C$4:$C$1003=A55)*('Weekly Log'!$I$4:$I$1003&lt;&gt;"")),'Weekly Log'!$I$4:$I$1003),""))</f>
        <v/>
      </c>
    </row>
    <row r="56" customFormat="false" ht="15" hidden="false" customHeight="false" outlineLevel="0" collapsed="false">
      <c r="H56" s="16"/>
      <c r="J56" s="12" t="str">
        <f aca="false">IF(A56="","",COUNTIF('Weekly Log'!$C:$C,A56))</f>
        <v/>
      </c>
      <c r="K56" s="12" t="str">
        <f aca="false">IF(A56="","",COUNTIFS('Weekly Log'!$C:$C,A56,'Weekly Log'!$E:$E,"Yes"))</f>
        <v/>
      </c>
      <c r="L56" s="13" t="str">
        <f aca="false">IF(A56="","",IF(J56=0,"",K56/J56))</f>
        <v/>
      </c>
      <c r="M56" s="14" t="str">
        <f aca="false">IF(A56="","",IFERROR((SUMIFS('Weekly Log'!$F:$F,'Weekly Log'!$C:$C,A56)+SUMIFS('Weekly Log'!$G:$G,'Weekly Log'!$C:$C,A56))/(COUNTIFS('Weekly Log'!$C:$C,A56,'Weekly Log'!$F:$F,"&lt;&gt;")+COUNTIFS('Weekly Log'!$C:$C,A56,'Weekly Log'!$G:$G,"&lt;&gt;")),""))</f>
        <v/>
      </c>
      <c r="N56" s="15" t="str">
        <f aca="false">IF(A56="","",IF(K56=0,"",_xlfn.MAXIFS('Weekly Log'!$A:$A,'Weekly Log'!$C:$C,A56,'Weekly Log'!$E:$E,"Yes")))</f>
        <v/>
      </c>
      <c r="O56" s="12" t="str">
        <f aca="true">IF(N56="","",MAX(0,INT((TODAY()-N56)/7)))</f>
        <v/>
      </c>
      <c r="Q56" s="12" t="str">
        <f aca="false">IF(A56="","",IFERROR(LOOKUP(2,1/(('Weekly Log'!$C$4:$C$1003=A56)*('Weekly Log'!$I$4:$I$1003&lt;&gt;"")),'Weekly Log'!$I$4:$I$1003),""))</f>
        <v/>
      </c>
    </row>
    <row r="57" customFormat="false" ht="15" hidden="false" customHeight="false" outlineLevel="0" collapsed="false">
      <c r="H57" s="16"/>
      <c r="J57" s="12" t="str">
        <f aca="false">IF(A57="","",COUNTIF('Weekly Log'!$C:$C,A57))</f>
        <v/>
      </c>
      <c r="K57" s="12" t="str">
        <f aca="false">IF(A57="","",COUNTIFS('Weekly Log'!$C:$C,A57,'Weekly Log'!$E:$E,"Yes"))</f>
        <v/>
      </c>
      <c r="L57" s="13" t="str">
        <f aca="false">IF(A57="","",IF(J57=0,"",K57/J57))</f>
        <v/>
      </c>
      <c r="M57" s="14" t="str">
        <f aca="false">IF(A57="","",IFERROR((SUMIFS('Weekly Log'!$F:$F,'Weekly Log'!$C:$C,A57)+SUMIFS('Weekly Log'!$G:$G,'Weekly Log'!$C:$C,A57))/(COUNTIFS('Weekly Log'!$C:$C,A57,'Weekly Log'!$F:$F,"&lt;&gt;")+COUNTIFS('Weekly Log'!$C:$C,A57,'Weekly Log'!$G:$G,"&lt;&gt;")),""))</f>
        <v/>
      </c>
      <c r="N57" s="15" t="str">
        <f aca="false">IF(A57="","",IF(K57=0,"",_xlfn.MAXIFS('Weekly Log'!$A:$A,'Weekly Log'!$C:$C,A57,'Weekly Log'!$E:$E,"Yes")))</f>
        <v/>
      </c>
      <c r="O57" s="12" t="str">
        <f aca="true">IF(N57="","",MAX(0,INT((TODAY()-N57)/7)))</f>
        <v/>
      </c>
      <c r="Q57" s="12" t="str">
        <f aca="false">IF(A57="","",IFERROR(LOOKUP(2,1/(('Weekly Log'!$C$4:$C$1003=A57)*('Weekly Log'!$I$4:$I$1003&lt;&gt;"")),'Weekly Log'!$I$4:$I$1003),""))</f>
        <v/>
      </c>
    </row>
    <row r="58" customFormat="false" ht="15" hidden="false" customHeight="false" outlineLevel="0" collapsed="false">
      <c r="H58" s="16"/>
      <c r="J58" s="12" t="str">
        <f aca="false">IF(A58="","",COUNTIF('Weekly Log'!$C:$C,A58))</f>
        <v/>
      </c>
      <c r="K58" s="12" t="str">
        <f aca="false">IF(A58="","",COUNTIFS('Weekly Log'!$C:$C,A58,'Weekly Log'!$E:$E,"Yes"))</f>
        <v/>
      </c>
      <c r="L58" s="13" t="str">
        <f aca="false">IF(A58="","",IF(J58=0,"",K58/J58))</f>
        <v/>
      </c>
      <c r="M58" s="14" t="str">
        <f aca="false">IF(A58="","",IFERROR((SUMIFS('Weekly Log'!$F:$F,'Weekly Log'!$C:$C,A58)+SUMIFS('Weekly Log'!$G:$G,'Weekly Log'!$C:$C,A58))/(COUNTIFS('Weekly Log'!$C:$C,A58,'Weekly Log'!$F:$F,"&lt;&gt;")+COUNTIFS('Weekly Log'!$C:$C,A58,'Weekly Log'!$G:$G,"&lt;&gt;")),""))</f>
        <v/>
      </c>
      <c r="N58" s="15" t="str">
        <f aca="false">IF(A58="","",IF(K58=0,"",_xlfn.MAXIFS('Weekly Log'!$A:$A,'Weekly Log'!$C:$C,A58,'Weekly Log'!$E:$E,"Yes")))</f>
        <v/>
      </c>
      <c r="O58" s="12" t="str">
        <f aca="true">IF(N58="","",MAX(0,INT((TODAY()-N58)/7)))</f>
        <v/>
      </c>
      <c r="Q58" s="12" t="str">
        <f aca="false">IF(A58="","",IFERROR(LOOKUP(2,1/(('Weekly Log'!$C$4:$C$1003=A58)*('Weekly Log'!$I$4:$I$1003&lt;&gt;"")),'Weekly Log'!$I$4:$I$1003),""))</f>
        <v/>
      </c>
    </row>
    <row r="59" customFormat="false" ht="15" hidden="false" customHeight="false" outlineLevel="0" collapsed="false">
      <c r="H59" s="16"/>
      <c r="J59" s="12" t="str">
        <f aca="false">IF(A59="","",COUNTIF('Weekly Log'!$C:$C,A59))</f>
        <v/>
      </c>
      <c r="K59" s="12" t="str">
        <f aca="false">IF(A59="","",COUNTIFS('Weekly Log'!$C:$C,A59,'Weekly Log'!$E:$E,"Yes"))</f>
        <v/>
      </c>
      <c r="L59" s="13" t="str">
        <f aca="false">IF(A59="","",IF(J59=0,"",K59/J59))</f>
        <v/>
      </c>
      <c r="M59" s="14" t="str">
        <f aca="false">IF(A59="","",IFERROR((SUMIFS('Weekly Log'!$F:$F,'Weekly Log'!$C:$C,A59)+SUMIFS('Weekly Log'!$G:$G,'Weekly Log'!$C:$C,A59))/(COUNTIFS('Weekly Log'!$C:$C,A59,'Weekly Log'!$F:$F,"&lt;&gt;")+COUNTIFS('Weekly Log'!$C:$C,A59,'Weekly Log'!$G:$G,"&lt;&gt;")),""))</f>
        <v/>
      </c>
      <c r="N59" s="15" t="str">
        <f aca="false">IF(A59="","",IF(K59=0,"",_xlfn.MAXIFS('Weekly Log'!$A:$A,'Weekly Log'!$C:$C,A59,'Weekly Log'!$E:$E,"Yes")))</f>
        <v/>
      </c>
      <c r="O59" s="12" t="str">
        <f aca="true">IF(N59="","",MAX(0,INT((TODAY()-N59)/7)))</f>
        <v/>
      </c>
      <c r="Q59" s="12" t="str">
        <f aca="false">IF(A59="","",IFERROR(LOOKUP(2,1/(('Weekly Log'!$C$4:$C$1003=A59)*('Weekly Log'!$I$4:$I$1003&lt;&gt;"")),'Weekly Log'!$I$4:$I$1003),""))</f>
        <v/>
      </c>
    </row>
    <row r="60" customFormat="false" ht="15" hidden="false" customHeight="false" outlineLevel="0" collapsed="false">
      <c r="H60" s="16"/>
      <c r="J60" s="12" t="str">
        <f aca="false">IF(A60="","",COUNTIF('Weekly Log'!$C:$C,A60))</f>
        <v/>
      </c>
      <c r="K60" s="12" t="str">
        <f aca="false">IF(A60="","",COUNTIFS('Weekly Log'!$C:$C,A60,'Weekly Log'!$E:$E,"Yes"))</f>
        <v/>
      </c>
      <c r="L60" s="13" t="str">
        <f aca="false">IF(A60="","",IF(J60=0,"",K60/J60))</f>
        <v/>
      </c>
      <c r="M60" s="14" t="str">
        <f aca="false">IF(A60="","",IFERROR((SUMIFS('Weekly Log'!$F:$F,'Weekly Log'!$C:$C,A60)+SUMIFS('Weekly Log'!$G:$G,'Weekly Log'!$C:$C,A60))/(COUNTIFS('Weekly Log'!$C:$C,A60,'Weekly Log'!$F:$F,"&lt;&gt;")+COUNTIFS('Weekly Log'!$C:$C,A60,'Weekly Log'!$G:$G,"&lt;&gt;")),""))</f>
        <v/>
      </c>
      <c r="N60" s="15" t="str">
        <f aca="false">IF(A60="","",IF(K60=0,"",_xlfn.MAXIFS('Weekly Log'!$A:$A,'Weekly Log'!$C:$C,A60,'Weekly Log'!$E:$E,"Yes")))</f>
        <v/>
      </c>
      <c r="O60" s="12" t="str">
        <f aca="true">IF(N60="","",MAX(0,INT((TODAY()-N60)/7)))</f>
        <v/>
      </c>
      <c r="Q60" s="12" t="str">
        <f aca="false">IF(A60="","",IFERROR(LOOKUP(2,1/(('Weekly Log'!$C$4:$C$1003=A60)*('Weekly Log'!$I$4:$I$1003&lt;&gt;"")),'Weekly Log'!$I$4:$I$1003),""))</f>
        <v/>
      </c>
    </row>
    <row r="61" customFormat="false" ht="15" hidden="false" customHeight="false" outlineLevel="0" collapsed="false">
      <c r="H61" s="16"/>
      <c r="J61" s="12" t="str">
        <f aca="false">IF(A61="","",COUNTIF('Weekly Log'!$C:$C,A61))</f>
        <v/>
      </c>
      <c r="K61" s="12" t="str">
        <f aca="false">IF(A61="","",COUNTIFS('Weekly Log'!$C:$C,A61,'Weekly Log'!$E:$E,"Yes"))</f>
        <v/>
      </c>
      <c r="L61" s="13" t="str">
        <f aca="false">IF(A61="","",IF(J61=0,"",K61/J61))</f>
        <v/>
      </c>
      <c r="M61" s="14" t="str">
        <f aca="false">IF(A61="","",IFERROR((SUMIFS('Weekly Log'!$F:$F,'Weekly Log'!$C:$C,A61)+SUMIFS('Weekly Log'!$G:$G,'Weekly Log'!$C:$C,A61))/(COUNTIFS('Weekly Log'!$C:$C,A61,'Weekly Log'!$F:$F,"&lt;&gt;")+COUNTIFS('Weekly Log'!$C:$C,A61,'Weekly Log'!$G:$G,"&lt;&gt;")),""))</f>
        <v/>
      </c>
      <c r="N61" s="15" t="str">
        <f aca="false">IF(A61="","",IF(K61=0,"",_xlfn.MAXIFS('Weekly Log'!$A:$A,'Weekly Log'!$C:$C,A61,'Weekly Log'!$E:$E,"Yes")))</f>
        <v/>
      </c>
      <c r="O61" s="12" t="str">
        <f aca="true">IF(N61="","",MAX(0,INT((TODAY()-N61)/7)))</f>
        <v/>
      </c>
      <c r="Q61" s="12" t="str">
        <f aca="false">IF(A61="","",IFERROR(LOOKUP(2,1/(('Weekly Log'!$C$4:$C$1003=A61)*('Weekly Log'!$I$4:$I$1003&lt;&gt;"")),'Weekly Log'!$I$4:$I$1003),""))</f>
        <v/>
      </c>
    </row>
    <row r="62" customFormat="false" ht="15" hidden="false" customHeight="false" outlineLevel="0" collapsed="false">
      <c r="H62" s="16"/>
      <c r="J62" s="12" t="str">
        <f aca="false">IF(A62="","",COUNTIF('Weekly Log'!$C:$C,A62))</f>
        <v/>
      </c>
      <c r="K62" s="12" t="str">
        <f aca="false">IF(A62="","",COUNTIFS('Weekly Log'!$C:$C,A62,'Weekly Log'!$E:$E,"Yes"))</f>
        <v/>
      </c>
      <c r="L62" s="13" t="str">
        <f aca="false">IF(A62="","",IF(J62=0,"",K62/J62))</f>
        <v/>
      </c>
      <c r="M62" s="14" t="str">
        <f aca="false">IF(A62="","",IFERROR((SUMIFS('Weekly Log'!$F:$F,'Weekly Log'!$C:$C,A62)+SUMIFS('Weekly Log'!$G:$G,'Weekly Log'!$C:$C,A62))/(COUNTIFS('Weekly Log'!$C:$C,A62,'Weekly Log'!$F:$F,"&lt;&gt;")+COUNTIFS('Weekly Log'!$C:$C,A62,'Weekly Log'!$G:$G,"&lt;&gt;")),""))</f>
        <v/>
      </c>
      <c r="N62" s="15" t="str">
        <f aca="false">IF(A62="","",IF(K62=0,"",_xlfn.MAXIFS('Weekly Log'!$A:$A,'Weekly Log'!$C:$C,A62,'Weekly Log'!$E:$E,"Yes")))</f>
        <v/>
      </c>
      <c r="O62" s="12" t="str">
        <f aca="true">IF(N62="","",MAX(0,INT((TODAY()-N62)/7)))</f>
        <v/>
      </c>
      <c r="Q62" s="12" t="str">
        <f aca="false">IF(A62="","",IFERROR(LOOKUP(2,1/(('Weekly Log'!$C$4:$C$1003=A62)*('Weekly Log'!$I$4:$I$1003&lt;&gt;"")),'Weekly Log'!$I$4:$I$1003),""))</f>
        <v/>
      </c>
    </row>
    <row r="63" customFormat="false" ht="15" hidden="false" customHeight="false" outlineLevel="0" collapsed="false">
      <c r="H63" s="16"/>
      <c r="J63" s="12" t="str">
        <f aca="false">IF(A63="","",COUNTIF('Weekly Log'!$C:$C,A63))</f>
        <v/>
      </c>
      <c r="K63" s="12" t="str">
        <f aca="false">IF(A63="","",COUNTIFS('Weekly Log'!$C:$C,A63,'Weekly Log'!$E:$E,"Yes"))</f>
        <v/>
      </c>
      <c r="L63" s="13" t="str">
        <f aca="false">IF(A63="","",IF(J63=0,"",K63/J63))</f>
        <v/>
      </c>
      <c r="M63" s="14" t="str">
        <f aca="false">IF(A63="","",IFERROR((SUMIFS('Weekly Log'!$F:$F,'Weekly Log'!$C:$C,A63)+SUMIFS('Weekly Log'!$G:$G,'Weekly Log'!$C:$C,A63))/(COUNTIFS('Weekly Log'!$C:$C,A63,'Weekly Log'!$F:$F,"&lt;&gt;")+COUNTIFS('Weekly Log'!$C:$C,A63,'Weekly Log'!$G:$G,"&lt;&gt;")),""))</f>
        <v/>
      </c>
      <c r="N63" s="15" t="str">
        <f aca="false">IF(A63="","",IF(K63=0,"",_xlfn.MAXIFS('Weekly Log'!$A:$A,'Weekly Log'!$C:$C,A63,'Weekly Log'!$E:$E,"Yes")))</f>
        <v/>
      </c>
      <c r="O63" s="12" t="str">
        <f aca="true">IF(N63="","",MAX(0,INT((TODAY()-N63)/7)))</f>
        <v/>
      </c>
      <c r="Q63" s="12" t="str">
        <f aca="false">IF(A63="","",IFERROR(LOOKUP(2,1/(('Weekly Log'!$C$4:$C$1003=A63)*('Weekly Log'!$I$4:$I$1003&lt;&gt;"")),'Weekly Log'!$I$4:$I$1003),""))</f>
        <v/>
      </c>
    </row>
    <row r="64" customFormat="false" ht="15" hidden="false" customHeight="false" outlineLevel="0" collapsed="false">
      <c r="H64" s="16"/>
      <c r="J64" s="12" t="str">
        <f aca="false">IF(A64="","",COUNTIF('Weekly Log'!$C:$C,A64))</f>
        <v/>
      </c>
      <c r="K64" s="12" t="str">
        <f aca="false">IF(A64="","",COUNTIFS('Weekly Log'!$C:$C,A64,'Weekly Log'!$E:$E,"Yes"))</f>
        <v/>
      </c>
      <c r="L64" s="13" t="str">
        <f aca="false">IF(A64="","",IF(J64=0,"",K64/J64))</f>
        <v/>
      </c>
      <c r="M64" s="14" t="str">
        <f aca="false">IF(A64="","",IFERROR((SUMIFS('Weekly Log'!$F:$F,'Weekly Log'!$C:$C,A64)+SUMIFS('Weekly Log'!$G:$G,'Weekly Log'!$C:$C,A64))/(COUNTIFS('Weekly Log'!$C:$C,A64,'Weekly Log'!$F:$F,"&lt;&gt;")+COUNTIFS('Weekly Log'!$C:$C,A64,'Weekly Log'!$G:$G,"&lt;&gt;")),""))</f>
        <v/>
      </c>
      <c r="N64" s="15" t="str">
        <f aca="false">IF(A64="","",IF(K64=0,"",_xlfn.MAXIFS('Weekly Log'!$A:$A,'Weekly Log'!$C:$C,A64,'Weekly Log'!$E:$E,"Yes")))</f>
        <v/>
      </c>
      <c r="O64" s="12" t="str">
        <f aca="true">IF(N64="","",MAX(0,INT((TODAY()-N64)/7)))</f>
        <v/>
      </c>
      <c r="Q64" s="12" t="str">
        <f aca="false">IF(A64="","",IFERROR(LOOKUP(2,1/(('Weekly Log'!$C$4:$C$1003=A64)*('Weekly Log'!$I$4:$I$1003&lt;&gt;"")),'Weekly Log'!$I$4:$I$1003),""))</f>
        <v/>
      </c>
    </row>
    <row r="65" customFormat="false" ht="15" hidden="false" customHeight="false" outlineLevel="0" collapsed="false">
      <c r="H65" s="16"/>
      <c r="J65" s="12" t="str">
        <f aca="false">IF(A65="","",COUNTIF('Weekly Log'!$C:$C,A65))</f>
        <v/>
      </c>
      <c r="K65" s="12" t="str">
        <f aca="false">IF(A65="","",COUNTIFS('Weekly Log'!$C:$C,A65,'Weekly Log'!$E:$E,"Yes"))</f>
        <v/>
      </c>
      <c r="L65" s="13" t="str">
        <f aca="false">IF(A65="","",IF(J65=0,"",K65/J65))</f>
        <v/>
      </c>
      <c r="M65" s="14" t="str">
        <f aca="false">IF(A65="","",IFERROR((SUMIFS('Weekly Log'!$F:$F,'Weekly Log'!$C:$C,A65)+SUMIFS('Weekly Log'!$G:$G,'Weekly Log'!$C:$C,A65))/(COUNTIFS('Weekly Log'!$C:$C,A65,'Weekly Log'!$F:$F,"&lt;&gt;")+COUNTIFS('Weekly Log'!$C:$C,A65,'Weekly Log'!$G:$G,"&lt;&gt;")),""))</f>
        <v/>
      </c>
      <c r="N65" s="15" t="str">
        <f aca="false">IF(A65="","",IF(K65=0,"",_xlfn.MAXIFS('Weekly Log'!$A:$A,'Weekly Log'!$C:$C,A65,'Weekly Log'!$E:$E,"Yes")))</f>
        <v/>
      </c>
      <c r="O65" s="12" t="str">
        <f aca="true">IF(N65="","",MAX(0,INT((TODAY()-N65)/7)))</f>
        <v/>
      </c>
      <c r="Q65" s="12" t="str">
        <f aca="false">IF(A65="","",IFERROR(LOOKUP(2,1/(('Weekly Log'!$C$4:$C$1003=A65)*('Weekly Log'!$I$4:$I$1003&lt;&gt;"")),'Weekly Log'!$I$4:$I$1003),""))</f>
        <v/>
      </c>
    </row>
    <row r="66" customFormat="false" ht="15" hidden="false" customHeight="false" outlineLevel="0" collapsed="false">
      <c r="H66" s="16"/>
      <c r="J66" s="12" t="str">
        <f aca="false">IF(A66="","",COUNTIF('Weekly Log'!$C:$C,A66))</f>
        <v/>
      </c>
      <c r="K66" s="12" t="str">
        <f aca="false">IF(A66="","",COUNTIFS('Weekly Log'!$C:$C,A66,'Weekly Log'!$E:$E,"Yes"))</f>
        <v/>
      </c>
      <c r="L66" s="13" t="str">
        <f aca="false">IF(A66="","",IF(J66=0,"",K66/J66))</f>
        <v/>
      </c>
      <c r="M66" s="14" t="str">
        <f aca="false">IF(A66="","",IFERROR((SUMIFS('Weekly Log'!$F:$F,'Weekly Log'!$C:$C,A66)+SUMIFS('Weekly Log'!$G:$G,'Weekly Log'!$C:$C,A66))/(COUNTIFS('Weekly Log'!$C:$C,A66,'Weekly Log'!$F:$F,"&lt;&gt;")+COUNTIFS('Weekly Log'!$C:$C,A66,'Weekly Log'!$G:$G,"&lt;&gt;")),""))</f>
        <v/>
      </c>
      <c r="N66" s="15" t="str">
        <f aca="false">IF(A66="","",IF(K66=0,"",_xlfn.MAXIFS('Weekly Log'!$A:$A,'Weekly Log'!$C:$C,A66,'Weekly Log'!$E:$E,"Yes")))</f>
        <v/>
      </c>
      <c r="O66" s="12" t="str">
        <f aca="true">IF(N66="","",MAX(0,INT((TODAY()-N66)/7)))</f>
        <v/>
      </c>
      <c r="Q66" s="12" t="str">
        <f aca="false">IF(A66="","",IFERROR(LOOKUP(2,1/(('Weekly Log'!$C$4:$C$1003=A66)*('Weekly Log'!$I$4:$I$1003&lt;&gt;"")),'Weekly Log'!$I$4:$I$1003),""))</f>
        <v/>
      </c>
    </row>
    <row r="67" customFormat="false" ht="15" hidden="false" customHeight="false" outlineLevel="0" collapsed="false">
      <c r="H67" s="16"/>
      <c r="J67" s="12" t="str">
        <f aca="false">IF(A67="","",COUNTIF('Weekly Log'!$C:$C,A67))</f>
        <v/>
      </c>
      <c r="K67" s="12" t="str">
        <f aca="false">IF(A67="","",COUNTIFS('Weekly Log'!$C:$C,A67,'Weekly Log'!$E:$E,"Yes"))</f>
        <v/>
      </c>
      <c r="L67" s="13" t="str">
        <f aca="false">IF(A67="","",IF(J67=0,"",K67/J67))</f>
        <v/>
      </c>
      <c r="M67" s="14" t="str">
        <f aca="false">IF(A67="","",IFERROR((SUMIFS('Weekly Log'!$F:$F,'Weekly Log'!$C:$C,A67)+SUMIFS('Weekly Log'!$G:$G,'Weekly Log'!$C:$C,A67))/(COUNTIFS('Weekly Log'!$C:$C,A67,'Weekly Log'!$F:$F,"&lt;&gt;")+COUNTIFS('Weekly Log'!$C:$C,A67,'Weekly Log'!$G:$G,"&lt;&gt;")),""))</f>
        <v/>
      </c>
      <c r="N67" s="15" t="str">
        <f aca="false">IF(A67="","",IF(K67=0,"",_xlfn.MAXIFS('Weekly Log'!$A:$A,'Weekly Log'!$C:$C,A67,'Weekly Log'!$E:$E,"Yes")))</f>
        <v/>
      </c>
      <c r="O67" s="12" t="str">
        <f aca="true">IF(N67="","",MAX(0,INT((TODAY()-N67)/7)))</f>
        <v/>
      </c>
      <c r="Q67" s="12" t="str">
        <f aca="false">IF(A67="","",IFERROR(LOOKUP(2,1/(('Weekly Log'!$C$4:$C$1003=A67)*('Weekly Log'!$I$4:$I$1003&lt;&gt;"")),'Weekly Log'!$I$4:$I$1003),""))</f>
        <v/>
      </c>
    </row>
    <row r="68" customFormat="false" ht="15" hidden="false" customHeight="false" outlineLevel="0" collapsed="false">
      <c r="H68" s="16"/>
      <c r="J68" s="12" t="str">
        <f aca="false">IF(A68="","",COUNTIF('Weekly Log'!$C:$C,A68))</f>
        <v/>
      </c>
      <c r="K68" s="12" t="str">
        <f aca="false">IF(A68="","",COUNTIFS('Weekly Log'!$C:$C,A68,'Weekly Log'!$E:$E,"Yes"))</f>
        <v/>
      </c>
      <c r="L68" s="13" t="str">
        <f aca="false">IF(A68="","",IF(J68=0,"",K68/J68))</f>
        <v/>
      </c>
      <c r="M68" s="14" t="str">
        <f aca="false">IF(A68="","",IFERROR((SUMIFS('Weekly Log'!$F:$F,'Weekly Log'!$C:$C,A68)+SUMIFS('Weekly Log'!$G:$G,'Weekly Log'!$C:$C,A68))/(COUNTIFS('Weekly Log'!$C:$C,A68,'Weekly Log'!$F:$F,"&lt;&gt;")+COUNTIFS('Weekly Log'!$C:$C,A68,'Weekly Log'!$G:$G,"&lt;&gt;")),""))</f>
        <v/>
      </c>
      <c r="N68" s="15" t="str">
        <f aca="false">IF(A68="","",IF(K68=0,"",_xlfn.MAXIFS('Weekly Log'!$A:$A,'Weekly Log'!$C:$C,A68,'Weekly Log'!$E:$E,"Yes")))</f>
        <v/>
      </c>
      <c r="O68" s="12" t="str">
        <f aca="true">IF(N68="","",MAX(0,INT((TODAY()-N68)/7)))</f>
        <v/>
      </c>
      <c r="Q68" s="12" t="str">
        <f aca="false">IF(A68="","",IFERROR(LOOKUP(2,1/(('Weekly Log'!$C$4:$C$1003=A68)*('Weekly Log'!$I$4:$I$1003&lt;&gt;"")),'Weekly Log'!$I$4:$I$1003),""))</f>
        <v/>
      </c>
    </row>
    <row r="69" customFormat="false" ht="15" hidden="false" customHeight="false" outlineLevel="0" collapsed="false">
      <c r="H69" s="16"/>
      <c r="J69" s="12" t="str">
        <f aca="false">IF(A69="","",COUNTIF('Weekly Log'!$C:$C,A69))</f>
        <v/>
      </c>
      <c r="K69" s="12" t="str">
        <f aca="false">IF(A69="","",COUNTIFS('Weekly Log'!$C:$C,A69,'Weekly Log'!$E:$E,"Yes"))</f>
        <v/>
      </c>
      <c r="L69" s="13" t="str">
        <f aca="false">IF(A69="","",IF(J69=0,"",K69/J69))</f>
        <v/>
      </c>
      <c r="M69" s="14" t="str">
        <f aca="false">IF(A69="","",IFERROR((SUMIFS('Weekly Log'!$F:$F,'Weekly Log'!$C:$C,A69)+SUMIFS('Weekly Log'!$G:$G,'Weekly Log'!$C:$C,A69))/(COUNTIFS('Weekly Log'!$C:$C,A69,'Weekly Log'!$F:$F,"&lt;&gt;")+COUNTIFS('Weekly Log'!$C:$C,A69,'Weekly Log'!$G:$G,"&lt;&gt;")),""))</f>
        <v/>
      </c>
      <c r="N69" s="15" t="str">
        <f aca="false">IF(A69="","",IF(K69=0,"",_xlfn.MAXIFS('Weekly Log'!$A:$A,'Weekly Log'!$C:$C,A69,'Weekly Log'!$E:$E,"Yes")))</f>
        <v/>
      </c>
      <c r="O69" s="12" t="str">
        <f aca="true">IF(N69="","",MAX(0,INT((TODAY()-N69)/7)))</f>
        <v/>
      </c>
      <c r="Q69" s="12" t="str">
        <f aca="false">IF(A69="","",IFERROR(LOOKUP(2,1/(('Weekly Log'!$C$4:$C$1003=A69)*('Weekly Log'!$I$4:$I$1003&lt;&gt;"")),'Weekly Log'!$I$4:$I$1003),""))</f>
        <v/>
      </c>
    </row>
    <row r="70" customFormat="false" ht="15" hidden="false" customHeight="false" outlineLevel="0" collapsed="false">
      <c r="H70" s="16"/>
      <c r="J70" s="12" t="str">
        <f aca="false">IF(A70="","",COUNTIF('Weekly Log'!$C:$C,A70))</f>
        <v/>
      </c>
      <c r="K70" s="12" t="str">
        <f aca="false">IF(A70="","",COUNTIFS('Weekly Log'!$C:$C,A70,'Weekly Log'!$E:$E,"Yes"))</f>
        <v/>
      </c>
      <c r="L70" s="13" t="str">
        <f aca="false">IF(A70="","",IF(J70=0,"",K70/J70))</f>
        <v/>
      </c>
      <c r="M70" s="14" t="str">
        <f aca="false">IF(A70="","",IFERROR((SUMIFS('Weekly Log'!$F:$F,'Weekly Log'!$C:$C,A70)+SUMIFS('Weekly Log'!$G:$G,'Weekly Log'!$C:$C,A70))/(COUNTIFS('Weekly Log'!$C:$C,A70,'Weekly Log'!$F:$F,"&lt;&gt;")+COUNTIFS('Weekly Log'!$C:$C,A70,'Weekly Log'!$G:$G,"&lt;&gt;")),""))</f>
        <v/>
      </c>
      <c r="N70" s="15" t="str">
        <f aca="false">IF(A70="","",IF(K70=0,"",_xlfn.MAXIFS('Weekly Log'!$A:$A,'Weekly Log'!$C:$C,A70,'Weekly Log'!$E:$E,"Yes")))</f>
        <v/>
      </c>
      <c r="O70" s="12" t="str">
        <f aca="true">IF(N70="","",MAX(0,INT((TODAY()-N70)/7)))</f>
        <v/>
      </c>
      <c r="Q70" s="12" t="str">
        <f aca="false">IF(A70="","",IFERROR(LOOKUP(2,1/(('Weekly Log'!$C$4:$C$1003=A70)*('Weekly Log'!$I$4:$I$1003&lt;&gt;"")),'Weekly Log'!$I$4:$I$1003),""))</f>
        <v/>
      </c>
    </row>
    <row r="71" customFormat="false" ht="15" hidden="false" customHeight="false" outlineLevel="0" collapsed="false">
      <c r="H71" s="16"/>
      <c r="J71" s="12" t="str">
        <f aca="false">IF(A71="","",COUNTIF('Weekly Log'!$C:$C,A71))</f>
        <v/>
      </c>
      <c r="K71" s="12" t="str">
        <f aca="false">IF(A71="","",COUNTIFS('Weekly Log'!$C:$C,A71,'Weekly Log'!$E:$E,"Yes"))</f>
        <v/>
      </c>
      <c r="L71" s="13" t="str">
        <f aca="false">IF(A71="","",IF(J71=0,"",K71/J71))</f>
        <v/>
      </c>
      <c r="M71" s="14" t="str">
        <f aca="false">IF(A71="","",IFERROR((SUMIFS('Weekly Log'!$F:$F,'Weekly Log'!$C:$C,A71)+SUMIFS('Weekly Log'!$G:$G,'Weekly Log'!$C:$C,A71))/(COUNTIFS('Weekly Log'!$C:$C,A71,'Weekly Log'!$F:$F,"&lt;&gt;")+COUNTIFS('Weekly Log'!$C:$C,A71,'Weekly Log'!$G:$G,"&lt;&gt;")),""))</f>
        <v/>
      </c>
      <c r="N71" s="15" t="str">
        <f aca="false">IF(A71="","",IF(K71=0,"",_xlfn.MAXIFS('Weekly Log'!$A:$A,'Weekly Log'!$C:$C,A71,'Weekly Log'!$E:$E,"Yes")))</f>
        <v/>
      </c>
      <c r="O71" s="12" t="str">
        <f aca="true">IF(N71="","",MAX(0,INT((TODAY()-N71)/7)))</f>
        <v/>
      </c>
      <c r="Q71" s="12" t="str">
        <f aca="false">IF(A71="","",IFERROR(LOOKUP(2,1/(('Weekly Log'!$C$4:$C$1003=A71)*('Weekly Log'!$I$4:$I$1003&lt;&gt;"")),'Weekly Log'!$I$4:$I$1003),""))</f>
        <v/>
      </c>
    </row>
    <row r="72" customFormat="false" ht="15" hidden="false" customHeight="false" outlineLevel="0" collapsed="false">
      <c r="H72" s="16"/>
      <c r="J72" s="12" t="str">
        <f aca="false">IF(A72="","",COUNTIF('Weekly Log'!$C:$C,A72))</f>
        <v/>
      </c>
      <c r="K72" s="12" t="str">
        <f aca="false">IF(A72="","",COUNTIFS('Weekly Log'!$C:$C,A72,'Weekly Log'!$E:$E,"Yes"))</f>
        <v/>
      </c>
      <c r="L72" s="13" t="str">
        <f aca="false">IF(A72="","",IF(J72=0,"",K72/J72))</f>
        <v/>
      </c>
      <c r="M72" s="14" t="str">
        <f aca="false">IF(A72="","",IFERROR((SUMIFS('Weekly Log'!$F:$F,'Weekly Log'!$C:$C,A72)+SUMIFS('Weekly Log'!$G:$G,'Weekly Log'!$C:$C,A72))/(COUNTIFS('Weekly Log'!$C:$C,A72,'Weekly Log'!$F:$F,"&lt;&gt;")+COUNTIFS('Weekly Log'!$C:$C,A72,'Weekly Log'!$G:$G,"&lt;&gt;")),""))</f>
        <v/>
      </c>
      <c r="N72" s="15" t="str">
        <f aca="false">IF(A72="","",IF(K72=0,"",_xlfn.MAXIFS('Weekly Log'!$A:$A,'Weekly Log'!$C:$C,A72,'Weekly Log'!$E:$E,"Yes")))</f>
        <v/>
      </c>
      <c r="O72" s="12" t="str">
        <f aca="true">IF(N72="","",MAX(0,INT((TODAY()-N72)/7)))</f>
        <v/>
      </c>
      <c r="Q72" s="12" t="str">
        <f aca="false">IF(A72="","",IFERROR(LOOKUP(2,1/(('Weekly Log'!$C$4:$C$1003=A72)*('Weekly Log'!$I$4:$I$1003&lt;&gt;"")),'Weekly Log'!$I$4:$I$1003),""))</f>
        <v/>
      </c>
    </row>
    <row r="73" customFormat="false" ht="15" hidden="false" customHeight="false" outlineLevel="0" collapsed="false">
      <c r="H73" s="16"/>
      <c r="J73" s="12" t="str">
        <f aca="false">IF(A73="","",COUNTIF('Weekly Log'!$C:$C,A73))</f>
        <v/>
      </c>
      <c r="K73" s="12" t="str">
        <f aca="false">IF(A73="","",COUNTIFS('Weekly Log'!$C:$C,A73,'Weekly Log'!$E:$E,"Yes"))</f>
        <v/>
      </c>
      <c r="L73" s="13" t="str">
        <f aca="false">IF(A73="","",IF(J73=0,"",K73/J73))</f>
        <v/>
      </c>
      <c r="M73" s="14" t="str">
        <f aca="false">IF(A73="","",IFERROR((SUMIFS('Weekly Log'!$F:$F,'Weekly Log'!$C:$C,A73)+SUMIFS('Weekly Log'!$G:$G,'Weekly Log'!$C:$C,A73))/(COUNTIFS('Weekly Log'!$C:$C,A73,'Weekly Log'!$F:$F,"&lt;&gt;")+COUNTIFS('Weekly Log'!$C:$C,A73,'Weekly Log'!$G:$G,"&lt;&gt;")),""))</f>
        <v/>
      </c>
      <c r="N73" s="15" t="str">
        <f aca="false">IF(A73="","",IF(K73=0,"",_xlfn.MAXIFS('Weekly Log'!$A:$A,'Weekly Log'!$C:$C,A73,'Weekly Log'!$E:$E,"Yes")))</f>
        <v/>
      </c>
      <c r="O73" s="12" t="str">
        <f aca="true">IF(N73="","",MAX(0,INT((TODAY()-N73)/7)))</f>
        <v/>
      </c>
      <c r="Q73" s="12" t="str">
        <f aca="false">IF(A73="","",IFERROR(LOOKUP(2,1/(('Weekly Log'!$C$4:$C$1003=A73)*('Weekly Log'!$I$4:$I$1003&lt;&gt;"")),'Weekly Log'!$I$4:$I$1003),""))</f>
        <v/>
      </c>
    </row>
    <row r="74" customFormat="false" ht="15" hidden="false" customHeight="false" outlineLevel="0" collapsed="false">
      <c r="H74" s="16"/>
      <c r="J74" s="12" t="str">
        <f aca="false">IF(A74="","",COUNTIF('Weekly Log'!$C:$C,A74))</f>
        <v/>
      </c>
      <c r="K74" s="12" t="str">
        <f aca="false">IF(A74="","",COUNTIFS('Weekly Log'!$C:$C,A74,'Weekly Log'!$E:$E,"Yes"))</f>
        <v/>
      </c>
      <c r="L74" s="13" t="str">
        <f aca="false">IF(A74="","",IF(J74=0,"",K74/J74))</f>
        <v/>
      </c>
      <c r="M74" s="14" t="str">
        <f aca="false">IF(A74="","",IFERROR((SUMIFS('Weekly Log'!$F:$F,'Weekly Log'!$C:$C,A74)+SUMIFS('Weekly Log'!$G:$G,'Weekly Log'!$C:$C,A74))/(COUNTIFS('Weekly Log'!$C:$C,A74,'Weekly Log'!$F:$F,"&lt;&gt;")+COUNTIFS('Weekly Log'!$C:$C,A74,'Weekly Log'!$G:$G,"&lt;&gt;")),""))</f>
        <v/>
      </c>
      <c r="N74" s="15" t="str">
        <f aca="false">IF(A74="","",IF(K74=0,"",_xlfn.MAXIFS('Weekly Log'!$A:$A,'Weekly Log'!$C:$C,A74,'Weekly Log'!$E:$E,"Yes")))</f>
        <v/>
      </c>
      <c r="O74" s="12" t="str">
        <f aca="true">IF(N74="","",MAX(0,INT((TODAY()-N74)/7)))</f>
        <v/>
      </c>
      <c r="Q74" s="12" t="str">
        <f aca="false">IF(A74="","",IFERROR(LOOKUP(2,1/(('Weekly Log'!$C$4:$C$1003=A74)*('Weekly Log'!$I$4:$I$1003&lt;&gt;"")),'Weekly Log'!$I$4:$I$1003),""))</f>
        <v/>
      </c>
    </row>
    <row r="75" customFormat="false" ht="15" hidden="false" customHeight="false" outlineLevel="0" collapsed="false">
      <c r="H75" s="16"/>
      <c r="J75" s="12" t="str">
        <f aca="false">IF(A75="","",COUNTIF('Weekly Log'!$C:$C,A75))</f>
        <v/>
      </c>
      <c r="K75" s="12" t="str">
        <f aca="false">IF(A75="","",COUNTIFS('Weekly Log'!$C:$C,A75,'Weekly Log'!$E:$E,"Yes"))</f>
        <v/>
      </c>
      <c r="L75" s="13" t="str">
        <f aca="false">IF(A75="","",IF(J75=0,"",K75/J75))</f>
        <v/>
      </c>
      <c r="M75" s="14" t="str">
        <f aca="false">IF(A75="","",IFERROR((SUMIFS('Weekly Log'!$F:$F,'Weekly Log'!$C:$C,A75)+SUMIFS('Weekly Log'!$G:$G,'Weekly Log'!$C:$C,A75))/(COUNTIFS('Weekly Log'!$C:$C,A75,'Weekly Log'!$F:$F,"&lt;&gt;")+COUNTIFS('Weekly Log'!$C:$C,A75,'Weekly Log'!$G:$G,"&lt;&gt;")),""))</f>
        <v/>
      </c>
      <c r="N75" s="15" t="str">
        <f aca="false">IF(A75="","",IF(K75=0,"",_xlfn.MAXIFS('Weekly Log'!$A:$A,'Weekly Log'!$C:$C,A75,'Weekly Log'!$E:$E,"Yes")))</f>
        <v/>
      </c>
      <c r="O75" s="12" t="str">
        <f aca="true">IF(N75="","",MAX(0,INT((TODAY()-N75)/7)))</f>
        <v/>
      </c>
      <c r="Q75" s="12" t="str">
        <f aca="false">IF(A75="","",IFERROR(LOOKUP(2,1/(('Weekly Log'!$C$4:$C$1003=A75)*('Weekly Log'!$I$4:$I$1003&lt;&gt;"")),'Weekly Log'!$I$4:$I$1003),""))</f>
        <v/>
      </c>
    </row>
    <row r="76" customFormat="false" ht="15" hidden="false" customHeight="false" outlineLevel="0" collapsed="false">
      <c r="H76" s="16"/>
      <c r="J76" s="12" t="str">
        <f aca="false">IF(A76="","",COUNTIF('Weekly Log'!$C:$C,A76))</f>
        <v/>
      </c>
      <c r="K76" s="12" t="str">
        <f aca="false">IF(A76="","",COUNTIFS('Weekly Log'!$C:$C,A76,'Weekly Log'!$E:$E,"Yes"))</f>
        <v/>
      </c>
      <c r="L76" s="13" t="str">
        <f aca="false">IF(A76="","",IF(J76=0,"",K76/J76))</f>
        <v/>
      </c>
      <c r="M76" s="14" t="str">
        <f aca="false">IF(A76="","",IFERROR((SUMIFS('Weekly Log'!$F:$F,'Weekly Log'!$C:$C,A76)+SUMIFS('Weekly Log'!$G:$G,'Weekly Log'!$C:$C,A76))/(COUNTIFS('Weekly Log'!$C:$C,A76,'Weekly Log'!$F:$F,"&lt;&gt;")+COUNTIFS('Weekly Log'!$C:$C,A76,'Weekly Log'!$G:$G,"&lt;&gt;")),""))</f>
        <v/>
      </c>
      <c r="N76" s="15" t="str">
        <f aca="false">IF(A76="","",IF(K76=0,"",_xlfn.MAXIFS('Weekly Log'!$A:$A,'Weekly Log'!$C:$C,A76,'Weekly Log'!$E:$E,"Yes")))</f>
        <v/>
      </c>
      <c r="O76" s="12" t="str">
        <f aca="true">IF(N76="","",MAX(0,INT((TODAY()-N76)/7)))</f>
        <v/>
      </c>
      <c r="Q76" s="12" t="str">
        <f aca="false">IF(A76="","",IFERROR(LOOKUP(2,1/(('Weekly Log'!$C$4:$C$1003=A76)*('Weekly Log'!$I$4:$I$1003&lt;&gt;"")),'Weekly Log'!$I$4:$I$1003),""))</f>
        <v/>
      </c>
    </row>
    <row r="77" customFormat="false" ht="15" hidden="false" customHeight="false" outlineLevel="0" collapsed="false">
      <c r="H77" s="16"/>
      <c r="J77" s="12" t="str">
        <f aca="false">IF(A77="","",COUNTIF('Weekly Log'!$C:$C,A77))</f>
        <v/>
      </c>
      <c r="K77" s="12" t="str">
        <f aca="false">IF(A77="","",COUNTIFS('Weekly Log'!$C:$C,A77,'Weekly Log'!$E:$E,"Yes"))</f>
        <v/>
      </c>
      <c r="L77" s="13" t="str">
        <f aca="false">IF(A77="","",IF(J77=0,"",K77/J77))</f>
        <v/>
      </c>
      <c r="M77" s="14" t="str">
        <f aca="false">IF(A77="","",IFERROR((SUMIFS('Weekly Log'!$F:$F,'Weekly Log'!$C:$C,A77)+SUMIFS('Weekly Log'!$G:$G,'Weekly Log'!$C:$C,A77))/(COUNTIFS('Weekly Log'!$C:$C,A77,'Weekly Log'!$F:$F,"&lt;&gt;")+COUNTIFS('Weekly Log'!$C:$C,A77,'Weekly Log'!$G:$G,"&lt;&gt;")),""))</f>
        <v/>
      </c>
      <c r="N77" s="15" t="str">
        <f aca="false">IF(A77="","",IF(K77=0,"",_xlfn.MAXIFS('Weekly Log'!$A:$A,'Weekly Log'!$C:$C,A77,'Weekly Log'!$E:$E,"Yes")))</f>
        <v/>
      </c>
      <c r="O77" s="12" t="str">
        <f aca="true">IF(N77="","",MAX(0,INT((TODAY()-N77)/7)))</f>
        <v/>
      </c>
      <c r="Q77" s="12" t="str">
        <f aca="false">IF(A77="","",IFERROR(LOOKUP(2,1/(('Weekly Log'!$C$4:$C$1003=A77)*('Weekly Log'!$I$4:$I$1003&lt;&gt;"")),'Weekly Log'!$I$4:$I$1003),""))</f>
        <v/>
      </c>
    </row>
    <row r="78" customFormat="false" ht="15" hidden="false" customHeight="false" outlineLevel="0" collapsed="false">
      <c r="H78" s="16"/>
      <c r="J78" s="12" t="str">
        <f aca="false">IF(A78="","",COUNTIF('Weekly Log'!$C:$C,A78))</f>
        <v/>
      </c>
      <c r="K78" s="12" t="str">
        <f aca="false">IF(A78="","",COUNTIFS('Weekly Log'!$C:$C,A78,'Weekly Log'!$E:$E,"Yes"))</f>
        <v/>
      </c>
      <c r="L78" s="13" t="str">
        <f aca="false">IF(A78="","",IF(J78=0,"",K78/J78))</f>
        <v/>
      </c>
      <c r="M78" s="14" t="str">
        <f aca="false">IF(A78="","",IFERROR((SUMIFS('Weekly Log'!$F:$F,'Weekly Log'!$C:$C,A78)+SUMIFS('Weekly Log'!$G:$G,'Weekly Log'!$C:$C,A78))/(COUNTIFS('Weekly Log'!$C:$C,A78,'Weekly Log'!$F:$F,"&lt;&gt;")+COUNTIFS('Weekly Log'!$C:$C,A78,'Weekly Log'!$G:$G,"&lt;&gt;")),""))</f>
        <v/>
      </c>
      <c r="N78" s="15" t="str">
        <f aca="false">IF(A78="","",IF(K78=0,"",_xlfn.MAXIFS('Weekly Log'!$A:$A,'Weekly Log'!$C:$C,A78,'Weekly Log'!$E:$E,"Yes")))</f>
        <v/>
      </c>
      <c r="O78" s="12" t="str">
        <f aca="true">IF(N78="","",MAX(0,INT((TODAY()-N78)/7)))</f>
        <v/>
      </c>
      <c r="Q78" s="12" t="str">
        <f aca="false">IF(A78="","",IFERROR(LOOKUP(2,1/(('Weekly Log'!$C$4:$C$1003=A78)*('Weekly Log'!$I$4:$I$1003&lt;&gt;"")),'Weekly Log'!$I$4:$I$1003),""))</f>
        <v/>
      </c>
    </row>
    <row r="79" customFormat="false" ht="15" hidden="false" customHeight="false" outlineLevel="0" collapsed="false">
      <c r="H79" s="16"/>
      <c r="J79" s="12" t="str">
        <f aca="false">IF(A79="","",COUNTIF('Weekly Log'!$C:$C,A79))</f>
        <v/>
      </c>
      <c r="K79" s="12" t="str">
        <f aca="false">IF(A79="","",COUNTIFS('Weekly Log'!$C:$C,A79,'Weekly Log'!$E:$E,"Yes"))</f>
        <v/>
      </c>
      <c r="L79" s="13" t="str">
        <f aca="false">IF(A79="","",IF(J79=0,"",K79/J79))</f>
        <v/>
      </c>
      <c r="M79" s="14" t="str">
        <f aca="false">IF(A79="","",IFERROR((SUMIFS('Weekly Log'!$F:$F,'Weekly Log'!$C:$C,A79)+SUMIFS('Weekly Log'!$G:$G,'Weekly Log'!$C:$C,A79))/(COUNTIFS('Weekly Log'!$C:$C,A79,'Weekly Log'!$F:$F,"&lt;&gt;")+COUNTIFS('Weekly Log'!$C:$C,A79,'Weekly Log'!$G:$G,"&lt;&gt;")),""))</f>
        <v/>
      </c>
      <c r="N79" s="15" t="str">
        <f aca="false">IF(A79="","",IF(K79=0,"",_xlfn.MAXIFS('Weekly Log'!$A:$A,'Weekly Log'!$C:$C,A79,'Weekly Log'!$E:$E,"Yes")))</f>
        <v/>
      </c>
      <c r="O79" s="12" t="str">
        <f aca="true">IF(N79="","",MAX(0,INT((TODAY()-N79)/7)))</f>
        <v/>
      </c>
      <c r="Q79" s="12" t="str">
        <f aca="false">IF(A79="","",IFERROR(LOOKUP(2,1/(('Weekly Log'!$C$4:$C$1003=A79)*('Weekly Log'!$I$4:$I$1003&lt;&gt;"")),'Weekly Log'!$I$4:$I$1003),""))</f>
        <v/>
      </c>
    </row>
    <row r="80" customFormat="false" ht="15" hidden="false" customHeight="false" outlineLevel="0" collapsed="false">
      <c r="H80" s="16"/>
      <c r="J80" s="12" t="str">
        <f aca="false">IF(A80="","",COUNTIF('Weekly Log'!$C:$C,A80))</f>
        <v/>
      </c>
      <c r="K80" s="12" t="str">
        <f aca="false">IF(A80="","",COUNTIFS('Weekly Log'!$C:$C,A80,'Weekly Log'!$E:$E,"Yes"))</f>
        <v/>
      </c>
      <c r="L80" s="13" t="str">
        <f aca="false">IF(A80="","",IF(J80=0,"",K80/J80))</f>
        <v/>
      </c>
      <c r="M80" s="14" t="str">
        <f aca="false">IF(A80="","",IFERROR((SUMIFS('Weekly Log'!$F:$F,'Weekly Log'!$C:$C,A80)+SUMIFS('Weekly Log'!$G:$G,'Weekly Log'!$C:$C,A80))/(COUNTIFS('Weekly Log'!$C:$C,A80,'Weekly Log'!$F:$F,"&lt;&gt;")+COUNTIFS('Weekly Log'!$C:$C,A80,'Weekly Log'!$G:$G,"&lt;&gt;")),""))</f>
        <v/>
      </c>
      <c r="N80" s="15" t="str">
        <f aca="false">IF(A80="","",IF(K80=0,"",_xlfn.MAXIFS('Weekly Log'!$A:$A,'Weekly Log'!$C:$C,A80,'Weekly Log'!$E:$E,"Yes")))</f>
        <v/>
      </c>
      <c r="O80" s="12" t="str">
        <f aca="true">IF(N80="","",MAX(0,INT((TODAY()-N80)/7)))</f>
        <v/>
      </c>
      <c r="Q80" s="12" t="str">
        <f aca="false">IF(A80="","",IFERROR(LOOKUP(2,1/(('Weekly Log'!$C$4:$C$1003=A80)*('Weekly Log'!$I$4:$I$1003&lt;&gt;"")),'Weekly Log'!$I$4:$I$1003),""))</f>
        <v/>
      </c>
    </row>
    <row r="81" customFormat="false" ht="15" hidden="false" customHeight="false" outlineLevel="0" collapsed="false">
      <c r="H81" s="16"/>
      <c r="J81" s="12" t="str">
        <f aca="false">IF(A81="","",COUNTIF('Weekly Log'!$C:$C,A81))</f>
        <v/>
      </c>
      <c r="K81" s="12" t="str">
        <f aca="false">IF(A81="","",COUNTIFS('Weekly Log'!$C:$C,A81,'Weekly Log'!$E:$E,"Yes"))</f>
        <v/>
      </c>
      <c r="L81" s="13" t="str">
        <f aca="false">IF(A81="","",IF(J81=0,"",K81/J81))</f>
        <v/>
      </c>
      <c r="M81" s="14" t="str">
        <f aca="false">IF(A81="","",IFERROR((SUMIFS('Weekly Log'!$F:$F,'Weekly Log'!$C:$C,A81)+SUMIFS('Weekly Log'!$G:$G,'Weekly Log'!$C:$C,A81))/(COUNTIFS('Weekly Log'!$C:$C,A81,'Weekly Log'!$F:$F,"&lt;&gt;")+COUNTIFS('Weekly Log'!$C:$C,A81,'Weekly Log'!$G:$G,"&lt;&gt;")),""))</f>
        <v/>
      </c>
      <c r="N81" s="15" t="str">
        <f aca="false">IF(A81="","",IF(K81=0,"",_xlfn.MAXIFS('Weekly Log'!$A:$A,'Weekly Log'!$C:$C,A81,'Weekly Log'!$E:$E,"Yes")))</f>
        <v/>
      </c>
      <c r="O81" s="12" t="str">
        <f aca="true">IF(N81="","",MAX(0,INT((TODAY()-N81)/7)))</f>
        <v/>
      </c>
      <c r="Q81" s="12" t="str">
        <f aca="false">IF(A81="","",IFERROR(LOOKUP(2,1/(('Weekly Log'!$C$4:$C$1003=A81)*('Weekly Log'!$I$4:$I$1003&lt;&gt;"")),'Weekly Log'!$I$4:$I$1003),""))</f>
        <v/>
      </c>
    </row>
    <row r="82" customFormat="false" ht="15" hidden="false" customHeight="false" outlineLevel="0" collapsed="false">
      <c r="H82" s="16"/>
      <c r="J82" s="12" t="str">
        <f aca="false">IF(A82="","",COUNTIF('Weekly Log'!$C:$C,A82))</f>
        <v/>
      </c>
      <c r="K82" s="12" t="str">
        <f aca="false">IF(A82="","",COUNTIFS('Weekly Log'!$C:$C,A82,'Weekly Log'!$E:$E,"Yes"))</f>
        <v/>
      </c>
      <c r="L82" s="13" t="str">
        <f aca="false">IF(A82="","",IF(J82=0,"",K82/J82))</f>
        <v/>
      </c>
      <c r="M82" s="14" t="str">
        <f aca="false">IF(A82="","",IFERROR((SUMIFS('Weekly Log'!$F:$F,'Weekly Log'!$C:$C,A82)+SUMIFS('Weekly Log'!$G:$G,'Weekly Log'!$C:$C,A82))/(COUNTIFS('Weekly Log'!$C:$C,A82,'Weekly Log'!$F:$F,"&lt;&gt;")+COUNTIFS('Weekly Log'!$C:$C,A82,'Weekly Log'!$G:$G,"&lt;&gt;")),""))</f>
        <v/>
      </c>
      <c r="N82" s="15" t="str">
        <f aca="false">IF(A82="","",IF(K82=0,"",_xlfn.MAXIFS('Weekly Log'!$A:$A,'Weekly Log'!$C:$C,A82,'Weekly Log'!$E:$E,"Yes")))</f>
        <v/>
      </c>
      <c r="O82" s="12" t="str">
        <f aca="true">IF(N82="","",MAX(0,INT((TODAY()-N82)/7)))</f>
        <v/>
      </c>
      <c r="Q82" s="12" t="str">
        <f aca="false">IF(A82="","",IFERROR(LOOKUP(2,1/(('Weekly Log'!$C$4:$C$1003=A82)*('Weekly Log'!$I$4:$I$1003&lt;&gt;"")),'Weekly Log'!$I$4:$I$1003),""))</f>
        <v/>
      </c>
    </row>
    <row r="83" customFormat="false" ht="15" hidden="false" customHeight="false" outlineLevel="0" collapsed="false">
      <c r="H83" s="16"/>
      <c r="J83" s="12" t="str">
        <f aca="false">IF(A83="","",COUNTIF('Weekly Log'!$C:$C,A83))</f>
        <v/>
      </c>
      <c r="K83" s="12" t="str">
        <f aca="false">IF(A83="","",COUNTIFS('Weekly Log'!$C:$C,A83,'Weekly Log'!$E:$E,"Yes"))</f>
        <v/>
      </c>
      <c r="L83" s="13" t="str">
        <f aca="false">IF(A83="","",IF(J83=0,"",K83/J83))</f>
        <v/>
      </c>
      <c r="M83" s="14" t="str">
        <f aca="false">IF(A83="","",IFERROR((SUMIFS('Weekly Log'!$F:$F,'Weekly Log'!$C:$C,A83)+SUMIFS('Weekly Log'!$G:$G,'Weekly Log'!$C:$C,A83))/(COUNTIFS('Weekly Log'!$C:$C,A83,'Weekly Log'!$F:$F,"&lt;&gt;")+COUNTIFS('Weekly Log'!$C:$C,A83,'Weekly Log'!$G:$G,"&lt;&gt;")),""))</f>
        <v/>
      </c>
      <c r="N83" s="15" t="str">
        <f aca="false">IF(A83="","",IF(K83=0,"",_xlfn.MAXIFS('Weekly Log'!$A:$A,'Weekly Log'!$C:$C,A83,'Weekly Log'!$E:$E,"Yes")))</f>
        <v/>
      </c>
      <c r="O83" s="12" t="str">
        <f aca="true">IF(N83="","",MAX(0,INT((TODAY()-N83)/7)))</f>
        <v/>
      </c>
      <c r="Q83" s="12" t="str">
        <f aca="false">IF(A83="","",IFERROR(LOOKUP(2,1/(('Weekly Log'!$C$4:$C$1003=A83)*('Weekly Log'!$I$4:$I$1003&lt;&gt;"")),'Weekly Log'!$I$4:$I$1003),""))</f>
        <v/>
      </c>
    </row>
    <row r="84" customFormat="false" ht="15" hidden="false" customHeight="false" outlineLevel="0" collapsed="false">
      <c r="H84" s="16"/>
      <c r="J84" s="12" t="str">
        <f aca="false">IF(A84="","",COUNTIF('Weekly Log'!$C:$C,A84))</f>
        <v/>
      </c>
      <c r="K84" s="12" t="str">
        <f aca="false">IF(A84="","",COUNTIFS('Weekly Log'!$C:$C,A84,'Weekly Log'!$E:$E,"Yes"))</f>
        <v/>
      </c>
      <c r="L84" s="13" t="str">
        <f aca="false">IF(A84="","",IF(J84=0,"",K84/J84))</f>
        <v/>
      </c>
      <c r="M84" s="14" t="str">
        <f aca="false">IF(A84="","",IFERROR((SUMIFS('Weekly Log'!$F:$F,'Weekly Log'!$C:$C,A84)+SUMIFS('Weekly Log'!$G:$G,'Weekly Log'!$C:$C,A84))/(COUNTIFS('Weekly Log'!$C:$C,A84,'Weekly Log'!$F:$F,"&lt;&gt;")+COUNTIFS('Weekly Log'!$C:$C,A84,'Weekly Log'!$G:$G,"&lt;&gt;")),""))</f>
        <v/>
      </c>
      <c r="N84" s="15" t="str">
        <f aca="false">IF(A84="","",IF(K84=0,"",_xlfn.MAXIFS('Weekly Log'!$A:$A,'Weekly Log'!$C:$C,A84,'Weekly Log'!$E:$E,"Yes")))</f>
        <v/>
      </c>
      <c r="O84" s="12" t="str">
        <f aca="true">IF(N84="","",MAX(0,INT((TODAY()-N84)/7)))</f>
        <v/>
      </c>
      <c r="Q84" s="12" t="str">
        <f aca="false">IF(A84="","",IFERROR(LOOKUP(2,1/(('Weekly Log'!$C$4:$C$1003=A84)*('Weekly Log'!$I$4:$I$1003&lt;&gt;"")),'Weekly Log'!$I$4:$I$1003),""))</f>
        <v/>
      </c>
    </row>
    <row r="85" customFormat="false" ht="15" hidden="false" customHeight="false" outlineLevel="0" collapsed="false">
      <c r="H85" s="16"/>
      <c r="J85" s="12" t="str">
        <f aca="false">IF(A85="","",COUNTIF('Weekly Log'!$C:$C,A85))</f>
        <v/>
      </c>
      <c r="K85" s="12" t="str">
        <f aca="false">IF(A85="","",COUNTIFS('Weekly Log'!$C:$C,A85,'Weekly Log'!$E:$E,"Yes"))</f>
        <v/>
      </c>
      <c r="L85" s="13" t="str">
        <f aca="false">IF(A85="","",IF(J85=0,"",K85/J85))</f>
        <v/>
      </c>
      <c r="M85" s="14" t="str">
        <f aca="false">IF(A85="","",IFERROR((SUMIFS('Weekly Log'!$F:$F,'Weekly Log'!$C:$C,A85)+SUMIFS('Weekly Log'!$G:$G,'Weekly Log'!$C:$C,A85))/(COUNTIFS('Weekly Log'!$C:$C,A85,'Weekly Log'!$F:$F,"&lt;&gt;")+COUNTIFS('Weekly Log'!$C:$C,A85,'Weekly Log'!$G:$G,"&lt;&gt;")),""))</f>
        <v/>
      </c>
      <c r="N85" s="15" t="str">
        <f aca="false">IF(A85="","",IF(K85=0,"",_xlfn.MAXIFS('Weekly Log'!$A:$A,'Weekly Log'!$C:$C,A85,'Weekly Log'!$E:$E,"Yes")))</f>
        <v/>
      </c>
      <c r="O85" s="12" t="str">
        <f aca="true">IF(N85="","",MAX(0,INT((TODAY()-N85)/7)))</f>
        <v/>
      </c>
      <c r="Q85" s="12" t="str">
        <f aca="false">IF(A85="","",IFERROR(LOOKUP(2,1/(('Weekly Log'!$C$4:$C$1003=A85)*('Weekly Log'!$I$4:$I$1003&lt;&gt;"")),'Weekly Log'!$I$4:$I$1003),""))</f>
        <v/>
      </c>
    </row>
    <row r="86" customFormat="false" ht="15" hidden="false" customHeight="false" outlineLevel="0" collapsed="false">
      <c r="H86" s="16"/>
      <c r="J86" s="12" t="str">
        <f aca="false">IF(A86="","",COUNTIF('Weekly Log'!$C:$C,A86))</f>
        <v/>
      </c>
      <c r="K86" s="12" t="str">
        <f aca="false">IF(A86="","",COUNTIFS('Weekly Log'!$C:$C,A86,'Weekly Log'!$E:$E,"Yes"))</f>
        <v/>
      </c>
      <c r="L86" s="13" t="str">
        <f aca="false">IF(A86="","",IF(J86=0,"",K86/J86))</f>
        <v/>
      </c>
      <c r="M86" s="14" t="str">
        <f aca="false">IF(A86="","",IFERROR((SUMIFS('Weekly Log'!$F:$F,'Weekly Log'!$C:$C,A86)+SUMIFS('Weekly Log'!$G:$G,'Weekly Log'!$C:$C,A86))/(COUNTIFS('Weekly Log'!$C:$C,A86,'Weekly Log'!$F:$F,"&lt;&gt;")+COUNTIFS('Weekly Log'!$C:$C,A86,'Weekly Log'!$G:$G,"&lt;&gt;")),""))</f>
        <v/>
      </c>
      <c r="N86" s="15" t="str">
        <f aca="false">IF(A86="","",IF(K86=0,"",_xlfn.MAXIFS('Weekly Log'!$A:$A,'Weekly Log'!$C:$C,A86,'Weekly Log'!$E:$E,"Yes")))</f>
        <v/>
      </c>
      <c r="O86" s="12" t="str">
        <f aca="true">IF(N86="","",MAX(0,INT((TODAY()-N86)/7)))</f>
        <v/>
      </c>
      <c r="Q86" s="12" t="str">
        <f aca="false">IF(A86="","",IFERROR(LOOKUP(2,1/(('Weekly Log'!$C$4:$C$1003=A86)*('Weekly Log'!$I$4:$I$1003&lt;&gt;"")),'Weekly Log'!$I$4:$I$1003),""))</f>
        <v/>
      </c>
    </row>
    <row r="87" customFormat="false" ht="15" hidden="false" customHeight="false" outlineLevel="0" collapsed="false">
      <c r="H87" s="16"/>
      <c r="J87" s="12" t="str">
        <f aca="false">IF(A87="","",COUNTIF('Weekly Log'!$C:$C,A87))</f>
        <v/>
      </c>
      <c r="K87" s="12" t="str">
        <f aca="false">IF(A87="","",COUNTIFS('Weekly Log'!$C:$C,A87,'Weekly Log'!$E:$E,"Yes"))</f>
        <v/>
      </c>
      <c r="L87" s="13" t="str">
        <f aca="false">IF(A87="","",IF(J87=0,"",K87/J87))</f>
        <v/>
      </c>
      <c r="M87" s="14" t="str">
        <f aca="false">IF(A87="","",IFERROR((SUMIFS('Weekly Log'!$F:$F,'Weekly Log'!$C:$C,A87)+SUMIFS('Weekly Log'!$G:$G,'Weekly Log'!$C:$C,A87))/(COUNTIFS('Weekly Log'!$C:$C,A87,'Weekly Log'!$F:$F,"&lt;&gt;")+COUNTIFS('Weekly Log'!$C:$C,A87,'Weekly Log'!$G:$G,"&lt;&gt;")),""))</f>
        <v/>
      </c>
      <c r="N87" s="15" t="str">
        <f aca="false">IF(A87="","",IF(K87=0,"",_xlfn.MAXIFS('Weekly Log'!$A:$A,'Weekly Log'!$C:$C,A87,'Weekly Log'!$E:$E,"Yes")))</f>
        <v/>
      </c>
      <c r="O87" s="12" t="str">
        <f aca="true">IF(N87="","",MAX(0,INT((TODAY()-N87)/7)))</f>
        <v/>
      </c>
      <c r="Q87" s="12" t="str">
        <f aca="false">IF(A87="","",IFERROR(LOOKUP(2,1/(('Weekly Log'!$C$4:$C$1003=A87)*('Weekly Log'!$I$4:$I$1003&lt;&gt;"")),'Weekly Log'!$I$4:$I$1003),""))</f>
        <v/>
      </c>
    </row>
    <row r="88" customFormat="false" ht="15" hidden="false" customHeight="false" outlineLevel="0" collapsed="false">
      <c r="H88" s="16"/>
      <c r="J88" s="12" t="str">
        <f aca="false">IF(A88="","",COUNTIF('Weekly Log'!$C:$C,A88))</f>
        <v/>
      </c>
      <c r="K88" s="12" t="str">
        <f aca="false">IF(A88="","",COUNTIFS('Weekly Log'!$C:$C,A88,'Weekly Log'!$E:$E,"Yes"))</f>
        <v/>
      </c>
      <c r="L88" s="13" t="str">
        <f aca="false">IF(A88="","",IF(J88=0,"",K88/J88))</f>
        <v/>
      </c>
      <c r="M88" s="14" t="str">
        <f aca="false">IF(A88="","",IFERROR((SUMIFS('Weekly Log'!$F:$F,'Weekly Log'!$C:$C,A88)+SUMIFS('Weekly Log'!$G:$G,'Weekly Log'!$C:$C,A88))/(COUNTIFS('Weekly Log'!$C:$C,A88,'Weekly Log'!$F:$F,"&lt;&gt;")+COUNTIFS('Weekly Log'!$C:$C,A88,'Weekly Log'!$G:$G,"&lt;&gt;")),""))</f>
        <v/>
      </c>
      <c r="N88" s="15" t="str">
        <f aca="false">IF(A88="","",IF(K88=0,"",_xlfn.MAXIFS('Weekly Log'!$A:$A,'Weekly Log'!$C:$C,A88,'Weekly Log'!$E:$E,"Yes")))</f>
        <v/>
      </c>
      <c r="O88" s="12" t="str">
        <f aca="true">IF(N88="","",MAX(0,INT((TODAY()-N88)/7)))</f>
        <v/>
      </c>
      <c r="Q88" s="12" t="str">
        <f aca="false">IF(A88="","",IFERROR(LOOKUP(2,1/(('Weekly Log'!$C$4:$C$1003=A88)*('Weekly Log'!$I$4:$I$1003&lt;&gt;"")),'Weekly Log'!$I$4:$I$1003),""))</f>
        <v/>
      </c>
    </row>
    <row r="89" customFormat="false" ht="15" hidden="false" customHeight="false" outlineLevel="0" collapsed="false">
      <c r="H89" s="16"/>
      <c r="J89" s="12" t="str">
        <f aca="false">IF(A89="","",COUNTIF('Weekly Log'!$C:$C,A89))</f>
        <v/>
      </c>
      <c r="K89" s="12" t="str">
        <f aca="false">IF(A89="","",COUNTIFS('Weekly Log'!$C:$C,A89,'Weekly Log'!$E:$E,"Yes"))</f>
        <v/>
      </c>
      <c r="L89" s="13" t="str">
        <f aca="false">IF(A89="","",IF(J89=0,"",K89/J89))</f>
        <v/>
      </c>
      <c r="M89" s="14" t="str">
        <f aca="false">IF(A89="","",IFERROR((SUMIFS('Weekly Log'!$F:$F,'Weekly Log'!$C:$C,A89)+SUMIFS('Weekly Log'!$G:$G,'Weekly Log'!$C:$C,A89))/(COUNTIFS('Weekly Log'!$C:$C,A89,'Weekly Log'!$F:$F,"&lt;&gt;")+COUNTIFS('Weekly Log'!$C:$C,A89,'Weekly Log'!$G:$G,"&lt;&gt;")),""))</f>
        <v/>
      </c>
      <c r="N89" s="15" t="str">
        <f aca="false">IF(A89="","",IF(K89=0,"",_xlfn.MAXIFS('Weekly Log'!$A:$A,'Weekly Log'!$C:$C,A89,'Weekly Log'!$E:$E,"Yes")))</f>
        <v/>
      </c>
      <c r="O89" s="12" t="str">
        <f aca="true">IF(N89="","",MAX(0,INT((TODAY()-N89)/7)))</f>
        <v/>
      </c>
      <c r="Q89" s="12" t="str">
        <f aca="false">IF(A89="","",IFERROR(LOOKUP(2,1/(('Weekly Log'!$C$4:$C$1003=A89)*('Weekly Log'!$I$4:$I$1003&lt;&gt;"")),'Weekly Log'!$I$4:$I$1003),""))</f>
        <v/>
      </c>
    </row>
    <row r="90" customFormat="false" ht="15" hidden="false" customHeight="false" outlineLevel="0" collapsed="false">
      <c r="H90" s="16"/>
      <c r="J90" s="12" t="str">
        <f aca="false">IF(A90="","",COUNTIF('Weekly Log'!$C:$C,A90))</f>
        <v/>
      </c>
      <c r="K90" s="12" t="str">
        <f aca="false">IF(A90="","",COUNTIFS('Weekly Log'!$C:$C,A90,'Weekly Log'!$E:$E,"Yes"))</f>
        <v/>
      </c>
      <c r="L90" s="13" t="str">
        <f aca="false">IF(A90="","",IF(J90=0,"",K90/J90))</f>
        <v/>
      </c>
      <c r="M90" s="14" t="str">
        <f aca="false">IF(A90="","",IFERROR((SUMIFS('Weekly Log'!$F:$F,'Weekly Log'!$C:$C,A90)+SUMIFS('Weekly Log'!$G:$G,'Weekly Log'!$C:$C,A90))/(COUNTIFS('Weekly Log'!$C:$C,A90,'Weekly Log'!$F:$F,"&lt;&gt;")+COUNTIFS('Weekly Log'!$C:$C,A90,'Weekly Log'!$G:$G,"&lt;&gt;")),""))</f>
        <v/>
      </c>
      <c r="N90" s="15" t="str">
        <f aca="false">IF(A90="","",IF(K90=0,"",_xlfn.MAXIFS('Weekly Log'!$A:$A,'Weekly Log'!$C:$C,A90,'Weekly Log'!$E:$E,"Yes")))</f>
        <v/>
      </c>
      <c r="O90" s="12" t="str">
        <f aca="true">IF(N90="","",MAX(0,INT((TODAY()-N90)/7)))</f>
        <v/>
      </c>
      <c r="Q90" s="12" t="str">
        <f aca="false">IF(A90="","",IFERROR(LOOKUP(2,1/(('Weekly Log'!$C$4:$C$1003=A90)*('Weekly Log'!$I$4:$I$1003&lt;&gt;"")),'Weekly Log'!$I$4:$I$1003),""))</f>
        <v/>
      </c>
    </row>
    <row r="91" customFormat="false" ht="15" hidden="false" customHeight="false" outlineLevel="0" collapsed="false">
      <c r="H91" s="16"/>
      <c r="J91" s="12" t="str">
        <f aca="false">IF(A91="","",COUNTIF('Weekly Log'!$C:$C,A91))</f>
        <v/>
      </c>
      <c r="K91" s="12" t="str">
        <f aca="false">IF(A91="","",COUNTIFS('Weekly Log'!$C:$C,A91,'Weekly Log'!$E:$E,"Yes"))</f>
        <v/>
      </c>
      <c r="L91" s="13" t="str">
        <f aca="false">IF(A91="","",IF(J91=0,"",K91/J91))</f>
        <v/>
      </c>
      <c r="M91" s="14" t="str">
        <f aca="false">IF(A91="","",IFERROR((SUMIFS('Weekly Log'!$F:$F,'Weekly Log'!$C:$C,A91)+SUMIFS('Weekly Log'!$G:$G,'Weekly Log'!$C:$C,A91))/(COUNTIFS('Weekly Log'!$C:$C,A91,'Weekly Log'!$F:$F,"&lt;&gt;")+COUNTIFS('Weekly Log'!$C:$C,A91,'Weekly Log'!$G:$G,"&lt;&gt;")),""))</f>
        <v/>
      </c>
      <c r="N91" s="15" t="str">
        <f aca="false">IF(A91="","",IF(K91=0,"",_xlfn.MAXIFS('Weekly Log'!$A:$A,'Weekly Log'!$C:$C,A91,'Weekly Log'!$E:$E,"Yes")))</f>
        <v/>
      </c>
      <c r="O91" s="12" t="str">
        <f aca="true">IF(N91="","",MAX(0,INT((TODAY()-N91)/7)))</f>
        <v/>
      </c>
      <c r="Q91" s="12" t="str">
        <f aca="false">IF(A91="","",IFERROR(LOOKUP(2,1/(('Weekly Log'!$C$4:$C$1003=A91)*('Weekly Log'!$I$4:$I$1003&lt;&gt;"")),'Weekly Log'!$I$4:$I$1003),""))</f>
        <v/>
      </c>
    </row>
    <row r="92" customFormat="false" ht="15" hidden="false" customHeight="false" outlineLevel="0" collapsed="false">
      <c r="H92" s="16"/>
      <c r="J92" s="12" t="str">
        <f aca="false">IF(A92="","",COUNTIF('Weekly Log'!$C:$C,A92))</f>
        <v/>
      </c>
      <c r="K92" s="12" t="str">
        <f aca="false">IF(A92="","",COUNTIFS('Weekly Log'!$C:$C,A92,'Weekly Log'!$E:$E,"Yes"))</f>
        <v/>
      </c>
      <c r="L92" s="13" t="str">
        <f aca="false">IF(A92="","",IF(J92=0,"",K92/J92))</f>
        <v/>
      </c>
      <c r="M92" s="14" t="str">
        <f aca="false">IF(A92="","",IFERROR((SUMIFS('Weekly Log'!$F:$F,'Weekly Log'!$C:$C,A92)+SUMIFS('Weekly Log'!$G:$G,'Weekly Log'!$C:$C,A92))/(COUNTIFS('Weekly Log'!$C:$C,A92,'Weekly Log'!$F:$F,"&lt;&gt;")+COUNTIFS('Weekly Log'!$C:$C,A92,'Weekly Log'!$G:$G,"&lt;&gt;")),""))</f>
        <v/>
      </c>
      <c r="N92" s="15" t="str">
        <f aca="false">IF(A92="","",IF(K92=0,"",_xlfn.MAXIFS('Weekly Log'!$A:$A,'Weekly Log'!$C:$C,A92,'Weekly Log'!$E:$E,"Yes")))</f>
        <v/>
      </c>
      <c r="O92" s="12" t="str">
        <f aca="true">IF(N92="","",MAX(0,INT((TODAY()-N92)/7)))</f>
        <v/>
      </c>
      <c r="Q92" s="12" t="str">
        <f aca="false">IF(A92="","",IFERROR(LOOKUP(2,1/(('Weekly Log'!$C$4:$C$1003=A92)*('Weekly Log'!$I$4:$I$1003&lt;&gt;"")),'Weekly Log'!$I$4:$I$1003),""))</f>
        <v/>
      </c>
    </row>
    <row r="93" customFormat="false" ht="15" hidden="false" customHeight="false" outlineLevel="0" collapsed="false">
      <c r="H93" s="16"/>
      <c r="J93" s="12" t="str">
        <f aca="false">IF(A93="","",COUNTIF('Weekly Log'!$C:$C,A93))</f>
        <v/>
      </c>
      <c r="K93" s="12" t="str">
        <f aca="false">IF(A93="","",COUNTIFS('Weekly Log'!$C:$C,A93,'Weekly Log'!$E:$E,"Yes"))</f>
        <v/>
      </c>
      <c r="L93" s="13" t="str">
        <f aca="false">IF(A93="","",IF(J93=0,"",K93/J93))</f>
        <v/>
      </c>
      <c r="M93" s="14" t="str">
        <f aca="false">IF(A93="","",IFERROR((SUMIFS('Weekly Log'!$F:$F,'Weekly Log'!$C:$C,A93)+SUMIFS('Weekly Log'!$G:$G,'Weekly Log'!$C:$C,A93))/(COUNTIFS('Weekly Log'!$C:$C,A93,'Weekly Log'!$F:$F,"&lt;&gt;")+COUNTIFS('Weekly Log'!$C:$C,A93,'Weekly Log'!$G:$G,"&lt;&gt;")),""))</f>
        <v/>
      </c>
      <c r="N93" s="15" t="str">
        <f aca="false">IF(A93="","",IF(K93=0,"",_xlfn.MAXIFS('Weekly Log'!$A:$A,'Weekly Log'!$C:$C,A93,'Weekly Log'!$E:$E,"Yes")))</f>
        <v/>
      </c>
      <c r="O93" s="12" t="str">
        <f aca="true">IF(N93="","",MAX(0,INT((TODAY()-N93)/7)))</f>
        <v/>
      </c>
      <c r="Q93" s="12" t="str">
        <f aca="false">IF(A93="","",IFERROR(LOOKUP(2,1/(('Weekly Log'!$C$4:$C$1003=A93)*('Weekly Log'!$I$4:$I$1003&lt;&gt;"")),'Weekly Log'!$I$4:$I$1003),""))</f>
        <v/>
      </c>
    </row>
    <row r="94" customFormat="false" ht="15" hidden="false" customHeight="false" outlineLevel="0" collapsed="false">
      <c r="H94" s="16"/>
      <c r="J94" s="12" t="str">
        <f aca="false">IF(A94="","",COUNTIF('Weekly Log'!$C:$C,A94))</f>
        <v/>
      </c>
      <c r="K94" s="12" t="str">
        <f aca="false">IF(A94="","",COUNTIFS('Weekly Log'!$C:$C,A94,'Weekly Log'!$E:$E,"Yes"))</f>
        <v/>
      </c>
      <c r="L94" s="13" t="str">
        <f aca="false">IF(A94="","",IF(J94=0,"",K94/J94))</f>
        <v/>
      </c>
      <c r="M94" s="14" t="str">
        <f aca="false">IF(A94="","",IFERROR((SUMIFS('Weekly Log'!$F:$F,'Weekly Log'!$C:$C,A94)+SUMIFS('Weekly Log'!$G:$G,'Weekly Log'!$C:$C,A94))/(COUNTIFS('Weekly Log'!$C:$C,A94,'Weekly Log'!$F:$F,"&lt;&gt;")+COUNTIFS('Weekly Log'!$C:$C,A94,'Weekly Log'!$G:$G,"&lt;&gt;")),""))</f>
        <v/>
      </c>
      <c r="N94" s="15" t="str">
        <f aca="false">IF(A94="","",IF(K94=0,"",_xlfn.MAXIFS('Weekly Log'!$A:$A,'Weekly Log'!$C:$C,A94,'Weekly Log'!$E:$E,"Yes")))</f>
        <v/>
      </c>
      <c r="O94" s="12" t="str">
        <f aca="true">IF(N94="","",MAX(0,INT((TODAY()-N94)/7)))</f>
        <v/>
      </c>
      <c r="Q94" s="12" t="str">
        <f aca="false">IF(A94="","",IFERROR(LOOKUP(2,1/(('Weekly Log'!$C$4:$C$1003=A94)*('Weekly Log'!$I$4:$I$1003&lt;&gt;"")),'Weekly Log'!$I$4:$I$1003),""))</f>
        <v/>
      </c>
    </row>
    <row r="95" customFormat="false" ht="15" hidden="false" customHeight="false" outlineLevel="0" collapsed="false">
      <c r="H95" s="16"/>
      <c r="J95" s="12" t="str">
        <f aca="false">IF(A95="","",COUNTIF('Weekly Log'!$C:$C,A95))</f>
        <v/>
      </c>
      <c r="K95" s="12" t="str">
        <f aca="false">IF(A95="","",COUNTIFS('Weekly Log'!$C:$C,A95,'Weekly Log'!$E:$E,"Yes"))</f>
        <v/>
      </c>
      <c r="L95" s="13" t="str">
        <f aca="false">IF(A95="","",IF(J95=0,"",K95/J95))</f>
        <v/>
      </c>
      <c r="M95" s="14" t="str">
        <f aca="false">IF(A95="","",IFERROR((SUMIFS('Weekly Log'!$F:$F,'Weekly Log'!$C:$C,A95)+SUMIFS('Weekly Log'!$G:$G,'Weekly Log'!$C:$C,A95))/(COUNTIFS('Weekly Log'!$C:$C,A95,'Weekly Log'!$F:$F,"&lt;&gt;")+COUNTIFS('Weekly Log'!$C:$C,A95,'Weekly Log'!$G:$G,"&lt;&gt;")),""))</f>
        <v/>
      </c>
      <c r="N95" s="15" t="str">
        <f aca="false">IF(A95="","",IF(K95=0,"",_xlfn.MAXIFS('Weekly Log'!$A:$A,'Weekly Log'!$C:$C,A95,'Weekly Log'!$E:$E,"Yes")))</f>
        <v/>
      </c>
      <c r="O95" s="12" t="str">
        <f aca="true">IF(N95="","",MAX(0,INT((TODAY()-N95)/7)))</f>
        <v/>
      </c>
      <c r="Q95" s="12" t="str">
        <f aca="false">IF(A95="","",IFERROR(LOOKUP(2,1/(('Weekly Log'!$C$4:$C$1003=A95)*('Weekly Log'!$I$4:$I$1003&lt;&gt;"")),'Weekly Log'!$I$4:$I$1003),""))</f>
        <v/>
      </c>
    </row>
    <row r="96" customFormat="false" ht="15" hidden="false" customHeight="false" outlineLevel="0" collapsed="false">
      <c r="H96" s="16"/>
      <c r="J96" s="12" t="str">
        <f aca="false">IF(A96="","",COUNTIF('Weekly Log'!$C:$C,A96))</f>
        <v/>
      </c>
      <c r="K96" s="12" t="str">
        <f aca="false">IF(A96="","",COUNTIFS('Weekly Log'!$C:$C,A96,'Weekly Log'!$E:$E,"Yes"))</f>
        <v/>
      </c>
      <c r="L96" s="13" t="str">
        <f aca="false">IF(A96="","",IF(J96=0,"",K96/J96))</f>
        <v/>
      </c>
      <c r="M96" s="14" t="str">
        <f aca="false">IF(A96="","",IFERROR((SUMIFS('Weekly Log'!$F:$F,'Weekly Log'!$C:$C,A96)+SUMIFS('Weekly Log'!$G:$G,'Weekly Log'!$C:$C,A96))/(COUNTIFS('Weekly Log'!$C:$C,A96,'Weekly Log'!$F:$F,"&lt;&gt;")+COUNTIFS('Weekly Log'!$C:$C,A96,'Weekly Log'!$G:$G,"&lt;&gt;")),""))</f>
        <v/>
      </c>
      <c r="N96" s="15" t="str">
        <f aca="false">IF(A96="","",IF(K96=0,"",_xlfn.MAXIFS('Weekly Log'!$A:$A,'Weekly Log'!$C:$C,A96,'Weekly Log'!$E:$E,"Yes")))</f>
        <v/>
      </c>
      <c r="O96" s="12" t="str">
        <f aca="true">IF(N96="","",MAX(0,INT((TODAY()-N96)/7)))</f>
        <v/>
      </c>
      <c r="Q96" s="12" t="str">
        <f aca="false">IF(A96="","",IFERROR(LOOKUP(2,1/(('Weekly Log'!$C$4:$C$1003=A96)*('Weekly Log'!$I$4:$I$1003&lt;&gt;"")),'Weekly Log'!$I$4:$I$1003),""))</f>
        <v/>
      </c>
    </row>
    <row r="97" customFormat="false" ht="15" hidden="false" customHeight="false" outlineLevel="0" collapsed="false">
      <c r="H97" s="16"/>
      <c r="J97" s="12" t="str">
        <f aca="false">IF(A97="","",COUNTIF('Weekly Log'!$C:$C,A97))</f>
        <v/>
      </c>
      <c r="K97" s="12" t="str">
        <f aca="false">IF(A97="","",COUNTIFS('Weekly Log'!$C:$C,A97,'Weekly Log'!$E:$E,"Yes"))</f>
        <v/>
      </c>
      <c r="L97" s="13" t="str">
        <f aca="false">IF(A97="","",IF(J97=0,"",K97/J97))</f>
        <v/>
      </c>
      <c r="M97" s="14" t="str">
        <f aca="false">IF(A97="","",IFERROR((SUMIFS('Weekly Log'!$F:$F,'Weekly Log'!$C:$C,A97)+SUMIFS('Weekly Log'!$G:$G,'Weekly Log'!$C:$C,A97))/(COUNTIFS('Weekly Log'!$C:$C,A97,'Weekly Log'!$F:$F,"&lt;&gt;")+COUNTIFS('Weekly Log'!$C:$C,A97,'Weekly Log'!$G:$G,"&lt;&gt;")),""))</f>
        <v/>
      </c>
      <c r="N97" s="15" t="str">
        <f aca="false">IF(A97="","",IF(K97=0,"",_xlfn.MAXIFS('Weekly Log'!$A:$A,'Weekly Log'!$C:$C,A97,'Weekly Log'!$E:$E,"Yes")))</f>
        <v/>
      </c>
      <c r="O97" s="12" t="str">
        <f aca="true">IF(N97="","",MAX(0,INT((TODAY()-N97)/7)))</f>
        <v/>
      </c>
      <c r="Q97" s="12" t="str">
        <f aca="false">IF(A97="","",IFERROR(LOOKUP(2,1/(('Weekly Log'!$C$4:$C$1003=A97)*('Weekly Log'!$I$4:$I$1003&lt;&gt;"")),'Weekly Log'!$I$4:$I$1003),""))</f>
        <v/>
      </c>
    </row>
    <row r="98" customFormat="false" ht="15" hidden="false" customHeight="false" outlineLevel="0" collapsed="false">
      <c r="H98" s="16"/>
      <c r="J98" s="12" t="str">
        <f aca="false">IF(A98="","",COUNTIF('Weekly Log'!$C:$C,A98))</f>
        <v/>
      </c>
      <c r="K98" s="12" t="str">
        <f aca="false">IF(A98="","",COUNTIFS('Weekly Log'!$C:$C,A98,'Weekly Log'!$E:$E,"Yes"))</f>
        <v/>
      </c>
      <c r="L98" s="13" t="str">
        <f aca="false">IF(A98="","",IF(J98=0,"",K98/J98))</f>
        <v/>
      </c>
      <c r="M98" s="14" t="str">
        <f aca="false">IF(A98="","",IFERROR((SUMIFS('Weekly Log'!$F:$F,'Weekly Log'!$C:$C,A98)+SUMIFS('Weekly Log'!$G:$G,'Weekly Log'!$C:$C,A98))/(COUNTIFS('Weekly Log'!$C:$C,A98,'Weekly Log'!$F:$F,"&lt;&gt;")+COUNTIFS('Weekly Log'!$C:$C,A98,'Weekly Log'!$G:$G,"&lt;&gt;")),""))</f>
        <v/>
      </c>
      <c r="N98" s="15" t="str">
        <f aca="false">IF(A98="","",IF(K98=0,"",_xlfn.MAXIFS('Weekly Log'!$A:$A,'Weekly Log'!$C:$C,A98,'Weekly Log'!$E:$E,"Yes")))</f>
        <v/>
      </c>
      <c r="O98" s="12" t="str">
        <f aca="true">IF(N98="","",MAX(0,INT((TODAY()-N98)/7)))</f>
        <v/>
      </c>
      <c r="Q98" s="12" t="str">
        <f aca="false">IF(A98="","",IFERROR(LOOKUP(2,1/(('Weekly Log'!$C$4:$C$1003=A98)*('Weekly Log'!$I$4:$I$1003&lt;&gt;"")),'Weekly Log'!$I$4:$I$1003),""))</f>
        <v/>
      </c>
    </row>
    <row r="99" customFormat="false" ht="15" hidden="false" customHeight="false" outlineLevel="0" collapsed="false">
      <c r="H99" s="16"/>
      <c r="J99" s="12" t="str">
        <f aca="false">IF(A99="","",COUNTIF('Weekly Log'!$C:$C,A99))</f>
        <v/>
      </c>
      <c r="K99" s="12" t="str">
        <f aca="false">IF(A99="","",COUNTIFS('Weekly Log'!$C:$C,A99,'Weekly Log'!$E:$E,"Yes"))</f>
        <v/>
      </c>
      <c r="L99" s="13" t="str">
        <f aca="false">IF(A99="","",IF(J99=0,"",K99/J99))</f>
        <v/>
      </c>
      <c r="M99" s="14" t="str">
        <f aca="false">IF(A99="","",IFERROR((SUMIFS('Weekly Log'!$F:$F,'Weekly Log'!$C:$C,A99)+SUMIFS('Weekly Log'!$G:$G,'Weekly Log'!$C:$C,A99))/(COUNTIFS('Weekly Log'!$C:$C,A99,'Weekly Log'!$F:$F,"&lt;&gt;")+COUNTIFS('Weekly Log'!$C:$C,A99,'Weekly Log'!$G:$G,"&lt;&gt;")),""))</f>
        <v/>
      </c>
      <c r="N99" s="15" t="str">
        <f aca="false">IF(A99="","",IF(K99=0,"",_xlfn.MAXIFS('Weekly Log'!$A:$A,'Weekly Log'!$C:$C,A99,'Weekly Log'!$E:$E,"Yes")))</f>
        <v/>
      </c>
      <c r="O99" s="12" t="str">
        <f aca="true">IF(N99="","",MAX(0,INT((TODAY()-N99)/7)))</f>
        <v/>
      </c>
      <c r="Q99" s="12" t="str">
        <f aca="false">IF(A99="","",IFERROR(LOOKUP(2,1/(('Weekly Log'!$C$4:$C$1003=A99)*('Weekly Log'!$I$4:$I$1003&lt;&gt;"")),'Weekly Log'!$I$4:$I$1003),""))</f>
        <v/>
      </c>
    </row>
    <row r="100" customFormat="false" ht="15" hidden="false" customHeight="false" outlineLevel="0" collapsed="false">
      <c r="H100" s="16"/>
      <c r="J100" s="12" t="str">
        <f aca="false">IF(A100="","",COUNTIF('Weekly Log'!$C:$C,A100))</f>
        <v/>
      </c>
      <c r="K100" s="12" t="str">
        <f aca="false">IF(A100="","",COUNTIFS('Weekly Log'!$C:$C,A100,'Weekly Log'!$E:$E,"Yes"))</f>
        <v/>
      </c>
      <c r="L100" s="13" t="str">
        <f aca="false">IF(A100="","",IF(J100=0,"",K100/J100))</f>
        <v/>
      </c>
      <c r="M100" s="14" t="str">
        <f aca="false">IF(A100="","",IFERROR((SUMIFS('Weekly Log'!$F:$F,'Weekly Log'!$C:$C,A100)+SUMIFS('Weekly Log'!$G:$G,'Weekly Log'!$C:$C,A100))/(COUNTIFS('Weekly Log'!$C:$C,A100,'Weekly Log'!$F:$F,"&lt;&gt;")+COUNTIFS('Weekly Log'!$C:$C,A100,'Weekly Log'!$G:$G,"&lt;&gt;")),""))</f>
        <v/>
      </c>
      <c r="N100" s="15" t="str">
        <f aca="false">IF(A100="","",IF(K100=0,"",_xlfn.MAXIFS('Weekly Log'!$A:$A,'Weekly Log'!$C:$C,A100,'Weekly Log'!$E:$E,"Yes")))</f>
        <v/>
      </c>
      <c r="O100" s="12" t="str">
        <f aca="true">IF(N100="","",MAX(0,INT((TODAY()-N100)/7)))</f>
        <v/>
      </c>
      <c r="Q100" s="12" t="str">
        <f aca="false">IF(A100="","",IFERROR(LOOKUP(2,1/(('Weekly Log'!$C$4:$C$1003=A100)*('Weekly Log'!$I$4:$I$1003&lt;&gt;"")),'Weekly Log'!$I$4:$I$1003),""))</f>
        <v/>
      </c>
    </row>
    <row r="101" customFormat="false" ht="15" hidden="false" customHeight="false" outlineLevel="0" collapsed="false">
      <c r="H101" s="16"/>
      <c r="J101" s="12" t="str">
        <f aca="false">IF(A101="","",COUNTIF('Weekly Log'!$C:$C,A101))</f>
        <v/>
      </c>
      <c r="K101" s="12" t="str">
        <f aca="false">IF(A101="","",COUNTIFS('Weekly Log'!$C:$C,A101,'Weekly Log'!$E:$E,"Yes"))</f>
        <v/>
      </c>
      <c r="L101" s="13" t="str">
        <f aca="false">IF(A101="","",IF(J101=0,"",K101/J101))</f>
        <v/>
      </c>
      <c r="M101" s="14" t="str">
        <f aca="false">IF(A101="","",IFERROR((SUMIFS('Weekly Log'!$F:$F,'Weekly Log'!$C:$C,A101)+SUMIFS('Weekly Log'!$G:$G,'Weekly Log'!$C:$C,A101))/(COUNTIFS('Weekly Log'!$C:$C,A101,'Weekly Log'!$F:$F,"&lt;&gt;")+COUNTIFS('Weekly Log'!$C:$C,A101,'Weekly Log'!$G:$G,"&lt;&gt;")),""))</f>
        <v/>
      </c>
      <c r="N101" s="15" t="str">
        <f aca="false">IF(A101="","",IF(K101=0,"",_xlfn.MAXIFS('Weekly Log'!$A:$A,'Weekly Log'!$C:$C,A101,'Weekly Log'!$E:$E,"Yes")))</f>
        <v/>
      </c>
      <c r="O101" s="12" t="str">
        <f aca="true">IF(N101="","",MAX(0,INT((TODAY()-N101)/7)))</f>
        <v/>
      </c>
      <c r="Q101" s="12" t="str">
        <f aca="false">IF(A101="","",IFERROR(LOOKUP(2,1/(('Weekly Log'!$C$4:$C$1003=A101)*('Weekly Log'!$I$4:$I$1003&lt;&gt;"")),'Weekly Log'!$I$4:$I$1003),""))</f>
        <v/>
      </c>
    </row>
    <row r="102" customFormat="false" ht="15" hidden="false" customHeight="false" outlineLevel="0" collapsed="false">
      <c r="H102" s="16"/>
      <c r="J102" s="12" t="str">
        <f aca="false">IF(A102="","",COUNTIF('Weekly Log'!$C:$C,A102))</f>
        <v/>
      </c>
      <c r="K102" s="12" t="str">
        <f aca="false">IF(A102="","",COUNTIFS('Weekly Log'!$C:$C,A102,'Weekly Log'!$E:$E,"Yes"))</f>
        <v/>
      </c>
      <c r="L102" s="13" t="str">
        <f aca="false">IF(A102="","",IF(J102=0,"",K102/J102))</f>
        <v/>
      </c>
      <c r="M102" s="14" t="str">
        <f aca="false">IF(A102="","",IFERROR((SUMIFS('Weekly Log'!$F:$F,'Weekly Log'!$C:$C,A102)+SUMIFS('Weekly Log'!$G:$G,'Weekly Log'!$C:$C,A102))/(COUNTIFS('Weekly Log'!$C:$C,A102,'Weekly Log'!$F:$F,"&lt;&gt;")+COUNTIFS('Weekly Log'!$C:$C,A102,'Weekly Log'!$G:$G,"&lt;&gt;")),""))</f>
        <v/>
      </c>
      <c r="N102" s="15" t="str">
        <f aca="false">IF(A102="","",IF(K102=0,"",_xlfn.MAXIFS('Weekly Log'!$A:$A,'Weekly Log'!$C:$C,A102,'Weekly Log'!$E:$E,"Yes")))</f>
        <v/>
      </c>
      <c r="O102" s="12" t="str">
        <f aca="true">IF(N102="","",MAX(0,INT((TODAY()-N102)/7)))</f>
        <v/>
      </c>
      <c r="Q102" s="12" t="str">
        <f aca="false">IF(A102="","",IFERROR(LOOKUP(2,1/(('Weekly Log'!$C$4:$C$1003=A102)*('Weekly Log'!$I$4:$I$1003&lt;&gt;"")),'Weekly Log'!$I$4:$I$1003),""))</f>
        <v/>
      </c>
    </row>
    <row r="103" customFormat="false" ht="15" hidden="false" customHeight="false" outlineLevel="0" collapsed="false">
      <c r="H103" s="16"/>
      <c r="J103" s="12" t="str">
        <f aca="false">IF(A103="","",COUNTIF('Weekly Log'!$C:$C,A103))</f>
        <v/>
      </c>
      <c r="K103" s="12" t="str">
        <f aca="false">IF(A103="","",COUNTIFS('Weekly Log'!$C:$C,A103,'Weekly Log'!$E:$E,"Yes"))</f>
        <v/>
      </c>
      <c r="L103" s="13" t="str">
        <f aca="false">IF(A103="","",IF(J103=0,"",K103/J103))</f>
        <v/>
      </c>
      <c r="M103" s="14" t="str">
        <f aca="false">IF(A103="","",IFERROR((SUMIFS('Weekly Log'!$F:$F,'Weekly Log'!$C:$C,A103)+SUMIFS('Weekly Log'!$G:$G,'Weekly Log'!$C:$C,A103))/(COUNTIFS('Weekly Log'!$C:$C,A103,'Weekly Log'!$F:$F,"&lt;&gt;")+COUNTIFS('Weekly Log'!$C:$C,A103,'Weekly Log'!$G:$G,"&lt;&gt;")),""))</f>
        <v/>
      </c>
      <c r="N103" s="15" t="str">
        <f aca="false">IF(A103="","",IF(K103=0,"",_xlfn.MAXIFS('Weekly Log'!$A:$A,'Weekly Log'!$C:$C,A103,'Weekly Log'!$E:$E,"Yes")))</f>
        <v/>
      </c>
      <c r="O103" s="12" t="str">
        <f aca="true">IF(N103="","",MAX(0,INT((TODAY()-N103)/7)))</f>
        <v/>
      </c>
      <c r="Q103" s="12" t="str">
        <f aca="false">IF(A103="","",IFERROR(LOOKUP(2,1/(('Weekly Log'!$C$4:$C$1003=A103)*('Weekly Log'!$I$4:$I$1003&lt;&gt;"")),'Weekly Log'!$I$4:$I$1003),""))</f>
        <v/>
      </c>
    </row>
    <row r="104" customFormat="false" ht="15" hidden="false" customHeight="false" outlineLevel="0" collapsed="false">
      <c r="H104" s="16"/>
      <c r="J104" s="12" t="str">
        <f aca="false">IF(A104="","",COUNTIF('Weekly Log'!$C:$C,A104))</f>
        <v/>
      </c>
      <c r="K104" s="12" t="str">
        <f aca="false">IF(A104="","",COUNTIFS('Weekly Log'!$C:$C,A104,'Weekly Log'!$E:$E,"Yes"))</f>
        <v/>
      </c>
      <c r="L104" s="13" t="str">
        <f aca="false">IF(A104="","",IF(J104=0,"",K104/J104))</f>
        <v/>
      </c>
      <c r="M104" s="14" t="str">
        <f aca="false">IF(A104="","",IFERROR((SUMIFS('Weekly Log'!$F:$F,'Weekly Log'!$C:$C,A104)+SUMIFS('Weekly Log'!$G:$G,'Weekly Log'!$C:$C,A104))/(COUNTIFS('Weekly Log'!$C:$C,A104,'Weekly Log'!$F:$F,"&lt;&gt;")+COUNTIFS('Weekly Log'!$C:$C,A104,'Weekly Log'!$G:$G,"&lt;&gt;")),""))</f>
        <v/>
      </c>
      <c r="N104" s="15" t="str">
        <f aca="false">IF(A104="","",IF(K104=0,"",_xlfn.MAXIFS('Weekly Log'!$A:$A,'Weekly Log'!$C:$C,A104,'Weekly Log'!$E:$E,"Yes")))</f>
        <v/>
      </c>
      <c r="O104" s="12" t="str">
        <f aca="true">IF(N104="","",MAX(0,INT((TODAY()-N104)/7)))</f>
        <v/>
      </c>
      <c r="Q104" s="12" t="str">
        <f aca="false">IF(A104="","",IFERROR(LOOKUP(2,1/(('Weekly Log'!$C$4:$C$1003=A104)*('Weekly Log'!$I$4:$I$1003&lt;&gt;"")),'Weekly Log'!$I$4:$I$1003),""))</f>
        <v/>
      </c>
    </row>
    <row r="105" customFormat="false" ht="15" hidden="false" customHeight="false" outlineLevel="0" collapsed="false">
      <c r="H105" s="16"/>
      <c r="J105" s="12" t="str">
        <f aca="false">IF(A105="","",COUNTIF('Weekly Log'!$C:$C,A105))</f>
        <v/>
      </c>
      <c r="K105" s="12" t="str">
        <f aca="false">IF(A105="","",COUNTIFS('Weekly Log'!$C:$C,A105,'Weekly Log'!$E:$E,"Yes"))</f>
        <v/>
      </c>
      <c r="L105" s="13" t="str">
        <f aca="false">IF(A105="","",IF(J105=0,"",K105/J105))</f>
        <v/>
      </c>
      <c r="M105" s="14" t="str">
        <f aca="false">IF(A105="","",IFERROR((SUMIFS('Weekly Log'!$F:$F,'Weekly Log'!$C:$C,A105)+SUMIFS('Weekly Log'!$G:$G,'Weekly Log'!$C:$C,A105))/(COUNTIFS('Weekly Log'!$C:$C,A105,'Weekly Log'!$F:$F,"&lt;&gt;")+COUNTIFS('Weekly Log'!$C:$C,A105,'Weekly Log'!$G:$G,"&lt;&gt;")),""))</f>
        <v/>
      </c>
      <c r="N105" s="15" t="str">
        <f aca="false">IF(A105="","",IF(K105=0,"",_xlfn.MAXIFS('Weekly Log'!$A:$A,'Weekly Log'!$C:$C,A105,'Weekly Log'!$E:$E,"Yes")))</f>
        <v/>
      </c>
      <c r="O105" s="12" t="str">
        <f aca="true">IF(N105="","",MAX(0,INT((TODAY()-N105)/7)))</f>
        <v/>
      </c>
      <c r="Q105" s="12" t="str">
        <f aca="false">IF(A105="","",IFERROR(LOOKUP(2,1/(('Weekly Log'!$C$4:$C$1003=A105)*('Weekly Log'!$I$4:$I$1003&lt;&gt;"")),'Weekly Log'!$I$4:$I$1003),""))</f>
        <v/>
      </c>
    </row>
    <row r="106" customFormat="false" ht="15" hidden="false" customHeight="false" outlineLevel="0" collapsed="false">
      <c r="H106" s="16"/>
      <c r="J106" s="12" t="str">
        <f aca="false">IF(A106="","",COUNTIF('Weekly Log'!$C:$C,A106))</f>
        <v/>
      </c>
      <c r="K106" s="12" t="str">
        <f aca="false">IF(A106="","",COUNTIFS('Weekly Log'!$C:$C,A106,'Weekly Log'!$E:$E,"Yes"))</f>
        <v/>
      </c>
      <c r="L106" s="13" t="str">
        <f aca="false">IF(A106="","",IF(J106=0,"",K106/J106))</f>
        <v/>
      </c>
      <c r="M106" s="14" t="str">
        <f aca="false">IF(A106="","",IFERROR((SUMIFS('Weekly Log'!$F:$F,'Weekly Log'!$C:$C,A106)+SUMIFS('Weekly Log'!$G:$G,'Weekly Log'!$C:$C,A106))/(COUNTIFS('Weekly Log'!$C:$C,A106,'Weekly Log'!$F:$F,"&lt;&gt;")+COUNTIFS('Weekly Log'!$C:$C,A106,'Weekly Log'!$G:$G,"&lt;&gt;")),""))</f>
        <v/>
      </c>
      <c r="N106" s="15" t="str">
        <f aca="false">IF(A106="","",IF(K106=0,"",_xlfn.MAXIFS('Weekly Log'!$A:$A,'Weekly Log'!$C:$C,A106,'Weekly Log'!$E:$E,"Yes")))</f>
        <v/>
      </c>
      <c r="O106" s="12" t="str">
        <f aca="true">IF(N106="","",MAX(0,INT((TODAY()-N106)/7)))</f>
        <v/>
      </c>
      <c r="Q106" s="12" t="str">
        <f aca="false">IF(A106="","",IFERROR(LOOKUP(2,1/(('Weekly Log'!$C$4:$C$1003=A106)*('Weekly Log'!$I$4:$I$1003&lt;&gt;"")),'Weekly Log'!$I$4:$I$1003),""))</f>
        <v/>
      </c>
    </row>
    <row r="107" customFormat="false" ht="15" hidden="false" customHeight="false" outlineLevel="0" collapsed="false">
      <c r="H107" s="16"/>
      <c r="J107" s="12" t="str">
        <f aca="false">IF(A107="","",COUNTIF('Weekly Log'!$C:$C,A107))</f>
        <v/>
      </c>
      <c r="K107" s="12" t="str">
        <f aca="false">IF(A107="","",COUNTIFS('Weekly Log'!$C:$C,A107,'Weekly Log'!$E:$E,"Yes"))</f>
        <v/>
      </c>
      <c r="L107" s="13" t="str">
        <f aca="false">IF(A107="","",IF(J107=0,"",K107/J107))</f>
        <v/>
      </c>
      <c r="M107" s="14" t="str">
        <f aca="false">IF(A107="","",IFERROR((SUMIFS('Weekly Log'!$F:$F,'Weekly Log'!$C:$C,A107)+SUMIFS('Weekly Log'!$G:$G,'Weekly Log'!$C:$C,A107))/(COUNTIFS('Weekly Log'!$C:$C,A107,'Weekly Log'!$F:$F,"&lt;&gt;")+COUNTIFS('Weekly Log'!$C:$C,A107,'Weekly Log'!$G:$G,"&lt;&gt;")),""))</f>
        <v/>
      </c>
      <c r="N107" s="15" t="str">
        <f aca="false">IF(A107="","",IF(K107=0,"",_xlfn.MAXIFS('Weekly Log'!$A:$A,'Weekly Log'!$C:$C,A107,'Weekly Log'!$E:$E,"Yes")))</f>
        <v/>
      </c>
      <c r="O107" s="12" t="str">
        <f aca="true">IF(N107="","",MAX(0,INT((TODAY()-N107)/7)))</f>
        <v/>
      </c>
      <c r="Q107" s="12" t="str">
        <f aca="false">IF(A107="","",IFERROR(LOOKUP(2,1/(('Weekly Log'!$C$4:$C$1003=A107)*('Weekly Log'!$I$4:$I$1003&lt;&gt;"")),'Weekly Log'!$I$4:$I$1003),""))</f>
        <v/>
      </c>
    </row>
    <row r="108" customFormat="false" ht="15" hidden="false" customHeight="false" outlineLevel="0" collapsed="false">
      <c r="H108" s="16"/>
      <c r="J108" s="12" t="str">
        <f aca="false">IF(A108="","",COUNTIF('Weekly Log'!$C:$C,A108))</f>
        <v/>
      </c>
      <c r="K108" s="12" t="str">
        <f aca="false">IF(A108="","",COUNTIFS('Weekly Log'!$C:$C,A108,'Weekly Log'!$E:$E,"Yes"))</f>
        <v/>
      </c>
      <c r="L108" s="13" t="str">
        <f aca="false">IF(A108="","",IF(J108=0,"",K108/J108))</f>
        <v/>
      </c>
      <c r="M108" s="14" t="str">
        <f aca="false">IF(A108="","",IFERROR((SUMIFS('Weekly Log'!$F:$F,'Weekly Log'!$C:$C,A108)+SUMIFS('Weekly Log'!$G:$G,'Weekly Log'!$C:$C,A108))/(COUNTIFS('Weekly Log'!$C:$C,A108,'Weekly Log'!$F:$F,"&lt;&gt;")+COUNTIFS('Weekly Log'!$C:$C,A108,'Weekly Log'!$G:$G,"&lt;&gt;")),""))</f>
        <v/>
      </c>
      <c r="N108" s="15" t="str">
        <f aca="false">IF(A108="","",IF(K108=0,"",_xlfn.MAXIFS('Weekly Log'!$A:$A,'Weekly Log'!$C:$C,A108,'Weekly Log'!$E:$E,"Yes")))</f>
        <v/>
      </c>
      <c r="O108" s="12" t="str">
        <f aca="true">IF(N108="","",MAX(0,INT((TODAY()-N108)/7)))</f>
        <v/>
      </c>
      <c r="Q108" s="12" t="str">
        <f aca="false">IF(A108="","",IFERROR(LOOKUP(2,1/(('Weekly Log'!$C$4:$C$1003=A108)*('Weekly Log'!$I$4:$I$1003&lt;&gt;"")),'Weekly Log'!$I$4:$I$1003),""))</f>
        <v/>
      </c>
    </row>
    <row r="109" customFormat="false" ht="15" hidden="false" customHeight="false" outlineLevel="0" collapsed="false">
      <c r="H109" s="16"/>
      <c r="J109" s="12" t="str">
        <f aca="false">IF(A109="","",COUNTIF('Weekly Log'!$C:$C,A109))</f>
        <v/>
      </c>
      <c r="K109" s="12" t="str">
        <f aca="false">IF(A109="","",COUNTIFS('Weekly Log'!$C:$C,A109,'Weekly Log'!$E:$E,"Yes"))</f>
        <v/>
      </c>
      <c r="L109" s="13" t="str">
        <f aca="false">IF(A109="","",IF(J109=0,"",K109/J109))</f>
        <v/>
      </c>
      <c r="M109" s="14" t="str">
        <f aca="false">IF(A109="","",IFERROR((SUMIFS('Weekly Log'!$F:$F,'Weekly Log'!$C:$C,A109)+SUMIFS('Weekly Log'!$G:$G,'Weekly Log'!$C:$C,A109))/(COUNTIFS('Weekly Log'!$C:$C,A109,'Weekly Log'!$F:$F,"&lt;&gt;")+COUNTIFS('Weekly Log'!$C:$C,A109,'Weekly Log'!$G:$G,"&lt;&gt;")),""))</f>
        <v/>
      </c>
      <c r="N109" s="15" t="str">
        <f aca="false">IF(A109="","",IF(K109=0,"",_xlfn.MAXIFS('Weekly Log'!$A:$A,'Weekly Log'!$C:$C,A109,'Weekly Log'!$E:$E,"Yes")))</f>
        <v/>
      </c>
      <c r="O109" s="12" t="str">
        <f aca="true">IF(N109="","",MAX(0,INT((TODAY()-N109)/7)))</f>
        <v/>
      </c>
      <c r="Q109" s="12" t="str">
        <f aca="false">IF(A109="","",IFERROR(LOOKUP(2,1/(('Weekly Log'!$C$4:$C$1003=A109)*('Weekly Log'!$I$4:$I$1003&lt;&gt;"")),'Weekly Log'!$I$4:$I$1003),""))</f>
        <v/>
      </c>
    </row>
    <row r="110" customFormat="false" ht="15" hidden="false" customHeight="false" outlineLevel="0" collapsed="false">
      <c r="H110" s="16"/>
      <c r="J110" s="12" t="str">
        <f aca="false">IF(A110="","",COUNTIF('Weekly Log'!$C:$C,A110))</f>
        <v/>
      </c>
      <c r="K110" s="12" t="str">
        <f aca="false">IF(A110="","",COUNTIFS('Weekly Log'!$C:$C,A110,'Weekly Log'!$E:$E,"Yes"))</f>
        <v/>
      </c>
      <c r="L110" s="13" t="str">
        <f aca="false">IF(A110="","",IF(J110=0,"",K110/J110))</f>
        <v/>
      </c>
      <c r="M110" s="14" t="str">
        <f aca="false">IF(A110="","",IFERROR((SUMIFS('Weekly Log'!$F:$F,'Weekly Log'!$C:$C,A110)+SUMIFS('Weekly Log'!$G:$G,'Weekly Log'!$C:$C,A110))/(COUNTIFS('Weekly Log'!$C:$C,A110,'Weekly Log'!$F:$F,"&lt;&gt;")+COUNTIFS('Weekly Log'!$C:$C,A110,'Weekly Log'!$G:$G,"&lt;&gt;")),""))</f>
        <v/>
      </c>
      <c r="N110" s="15" t="str">
        <f aca="false">IF(A110="","",IF(K110=0,"",_xlfn.MAXIFS('Weekly Log'!$A:$A,'Weekly Log'!$C:$C,A110,'Weekly Log'!$E:$E,"Yes")))</f>
        <v/>
      </c>
      <c r="O110" s="12" t="str">
        <f aca="true">IF(N110="","",MAX(0,INT((TODAY()-N110)/7)))</f>
        <v/>
      </c>
      <c r="Q110" s="12" t="str">
        <f aca="false">IF(A110="","",IFERROR(LOOKUP(2,1/(('Weekly Log'!$C$4:$C$1003=A110)*('Weekly Log'!$I$4:$I$1003&lt;&gt;"")),'Weekly Log'!$I$4:$I$1003),""))</f>
        <v/>
      </c>
    </row>
    <row r="111" customFormat="false" ht="15" hidden="false" customHeight="false" outlineLevel="0" collapsed="false">
      <c r="H111" s="16"/>
      <c r="J111" s="12" t="str">
        <f aca="false">IF(A111="","",COUNTIF('Weekly Log'!$C:$C,A111))</f>
        <v/>
      </c>
      <c r="K111" s="12" t="str">
        <f aca="false">IF(A111="","",COUNTIFS('Weekly Log'!$C:$C,A111,'Weekly Log'!$E:$E,"Yes"))</f>
        <v/>
      </c>
      <c r="L111" s="13" t="str">
        <f aca="false">IF(A111="","",IF(J111=0,"",K111/J111))</f>
        <v/>
      </c>
      <c r="M111" s="14" t="str">
        <f aca="false">IF(A111="","",IFERROR((SUMIFS('Weekly Log'!$F:$F,'Weekly Log'!$C:$C,A111)+SUMIFS('Weekly Log'!$G:$G,'Weekly Log'!$C:$C,A111))/(COUNTIFS('Weekly Log'!$C:$C,A111,'Weekly Log'!$F:$F,"&lt;&gt;")+COUNTIFS('Weekly Log'!$C:$C,A111,'Weekly Log'!$G:$G,"&lt;&gt;")),""))</f>
        <v/>
      </c>
      <c r="N111" s="15" t="str">
        <f aca="false">IF(A111="","",IF(K111=0,"",_xlfn.MAXIFS('Weekly Log'!$A:$A,'Weekly Log'!$C:$C,A111,'Weekly Log'!$E:$E,"Yes")))</f>
        <v/>
      </c>
      <c r="O111" s="12" t="str">
        <f aca="true">IF(N111="","",MAX(0,INT((TODAY()-N111)/7)))</f>
        <v/>
      </c>
      <c r="Q111" s="12" t="str">
        <f aca="false">IF(A111="","",IFERROR(LOOKUP(2,1/(('Weekly Log'!$C$4:$C$1003=A111)*('Weekly Log'!$I$4:$I$1003&lt;&gt;"")),'Weekly Log'!$I$4:$I$1003),""))</f>
        <v/>
      </c>
    </row>
    <row r="112" customFormat="false" ht="15" hidden="false" customHeight="false" outlineLevel="0" collapsed="false">
      <c r="H112" s="16"/>
      <c r="J112" s="12" t="str">
        <f aca="false">IF(A112="","",COUNTIF('Weekly Log'!$C:$C,A112))</f>
        <v/>
      </c>
      <c r="K112" s="12" t="str">
        <f aca="false">IF(A112="","",COUNTIFS('Weekly Log'!$C:$C,A112,'Weekly Log'!$E:$E,"Yes"))</f>
        <v/>
      </c>
      <c r="L112" s="13" t="str">
        <f aca="false">IF(A112="","",IF(J112=0,"",K112/J112))</f>
        <v/>
      </c>
      <c r="M112" s="14" t="str">
        <f aca="false">IF(A112="","",IFERROR((SUMIFS('Weekly Log'!$F:$F,'Weekly Log'!$C:$C,A112)+SUMIFS('Weekly Log'!$G:$G,'Weekly Log'!$C:$C,A112))/(COUNTIFS('Weekly Log'!$C:$C,A112,'Weekly Log'!$F:$F,"&lt;&gt;")+COUNTIFS('Weekly Log'!$C:$C,A112,'Weekly Log'!$G:$G,"&lt;&gt;")),""))</f>
        <v/>
      </c>
      <c r="N112" s="15" t="str">
        <f aca="false">IF(A112="","",IF(K112=0,"",_xlfn.MAXIFS('Weekly Log'!$A:$A,'Weekly Log'!$C:$C,A112,'Weekly Log'!$E:$E,"Yes")))</f>
        <v/>
      </c>
      <c r="O112" s="12" t="str">
        <f aca="true">IF(N112="","",MAX(0,INT((TODAY()-N112)/7)))</f>
        <v/>
      </c>
      <c r="Q112" s="12" t="str">
        <f aca="false">IF(A112="","",IFERROR(LOOKUP(2,1/(('Weekly Log'!$C$4:$C$1003=A112)*('Weekly Log'!$I$4:$I$1003&lt;&gt;"")),'Weekly Log'!$I$4:$I$1003),""))</f>
        <v/>
      </c>
    </row>
    <row r="113" customFormat="false" ht="15" hidden="false" customHeight="false" outlineLevel="0" collapsed="false">
      <c r="H113" s="16"/>
      <c r="J113" s="12" t="str">
        <f aca="false">IF(A113="","",COUNTIF('Weekly Log'!$C:$C,A113))</f>
        <v/>
      </c>
      <c r="K113" s="12" t="str">
        <f aca="false">IF(A113="","",COUNTIFS('Weekly Log'!$C:$C,A113,'Weekly Log'!$E:$E,"Yes"))</f>
        <v/>
      </c>
      <c r="L113" s="13" t="str">
        <f aca="false">IF(A113="","",IF(J113=0,"",K113/J113))</f>
        <v/>
      </c>
      <c r="M113" s="14" t="str">
        <f aca="false">IF(A113="","",IFERROR((SUMIFS('Weekly Log'!$F:$F,'Weekly Log'!$C:$C,A113)+SUMIFS('Weekly Log'!$G:$G,'Weekly Log'!$C:$C,A113))/(COUNTIFS('Weekly Log'!$C:$C,A113,'Weekly Log'!$F:$F,"&lt;&gt;")+COUNTIFS('Weekly Log'!$C:$C,A113,'Weekly Log'!$G:$G,"&lt;&gt;")),""))</f>
        <v/>
      </c>
      <c r="N113" s="15" t="str">
        <f aca="false">IF(A113="","",IF(K113=0,"",_xlfn.MAXIFS('Weekly Log'!$A:$A,'Weekly Log'!$C:$C,A113,'Weekly Log'!$E:$E,"Yes")))</f>
        <v/>
      </c>
      <c r="O113" s="12" t="str">
        <f aca="true">IF(N113="","",MAX(0,INT((TODAY()-N113)/7)))</f>
        <v/>
      </c>
      <c r="Q113" s="12" t="str">
        <f aca="false">IF(A113="","",IFERROR(LOOKUP(2,1/(('Weekly Log'!$C$4:$C$1003=A113)*('Weekly Log'!$I$4:$I$1003&lt;&gt;"")),'Weekly Log'!$I$4:$I$1003),""))</f>
        <v/>
      </c>
    </row>
    <row r="114" customFormat="false" ht="15" hidden="false" customHeight="false" outlineLevel="0" collapsed="false">
      <c r="H114" s="16"/>
      <c r="J114" s="12" t="str">
        <f aca="false">IF(A114="","",COUNTIF('Weekly Log'!$C:$C,A114))</f>
        <v/>
      </c>
      <c r="K114" s="12" t="str">
        <f aca="false">IF(A114="","",COUNTIFS('Weekly Log'!$C:$C,A114,'Weekly Log'!$E:$E,"Yes"))</f>
        <v/>
      </c>
      <c r="L114" s="13" t="str">
        <f aca="false">IF(A114="","",IF(J114=0,"",K114/J114))</f>
        <v/>
      </c>
      <c r="M114" s="14" t="str">
        <f aca="false">IF(A114="","",IFERROR((SUMIFS('Weekly Log'!$F:$F,'Weekly Log'!$C:$C,A114)+SUMIFS('Weekly Log'!$G:$G,'Weekly Log'!$C:$C,A114))/(COUNTIFS('Weekly Log'!$C:$C,A114,'Weekly Log'!$F:$F,"&lt;&gt;")+COUNTIFS('Weekly Log'!$C:$C,A114,'Weekly Log'!$G:$G,"&lt;&gt;")),""))</f>
        <v/>
      </c>
      <c r="N114" s="15" t="str">
        <f aca="false">IF(A114="","",IF(K114=0,"",_xlfn.MAXIFS('Weekly Log'!$A:$A,'Weekly Log'!$C:$C,A114,'Weekly Log'!$E:$E,"Yes")))</f>
        <v/>
      </c>
      <c r="O114" s="12" t="str">
        <f aca="true">IF(N114="","",MAX(0,INT((TODAY()-N114)/7)))</f>
        <v/>
      </c>
      <c r="Q114" s="12" t="str">
        <f aca="false">IF(A114="","",IFERROR(LOOKUP(2,1/(('Weekly Log'!$C$4:$C$1003=A114)*('Weekly Log'!$I$4:$I$1003&lt;&gt;"")),'Weekly Log'!$I$4:$I$1003),""))</f>
        <v/>
      </c>
    </row>
    <row r="115" customFormat="false" ht="15" hidden="false" customHeight="false" outlineLevel="0" collapsed="false">
      <c r="H115" s="16"/>
      <c r="J115" s="12" t="str">
        <f aca="false">IF(A115="","",COUNTIF('Weekly Log'!$C:$C,A115))</f>
        <v/>
      </c>
      <c r="K115" s="12" t="str">
        <f aca="false">IF(A115="","",COUNTIFS('Weekly Log'!$C:$C,A115,'Weekly Log'!$E:$E,"Yes"))</f>
        <v/>
      </c>
      <c r="L115" s="13" t="str">
        <f aca="false">IF(A115="","",IF(J115=0,"",K115/J115))</f>
        <v/>
      </c>
      <c r="M115" s="14" t="str">
        <f aca="false">IF(A115="","",IFERROR((SUMIFS('Weekly Log'!$F:$F,'Weekly Log'!$C:$C,A115)+SUMIFS('Weekly Log'!$G:$G,'Weekly Log'!$C:$C,A115))/(COUNTIFS('Weekly Log'!$C:$C,A115,'Weekly Log'!$F:$F,"&lt;&gt;")+COUNTIFS('Weekly Log'!$C:$C,A115,'Weekly Log'!$G:$G,"&lt;&gt;")),""))</f>
        <v/>
      </c>
      <c r="N115" s="15" t="str">
        <f aca="false">IF(A115="","",IF(K115=0,"",_xlfn.MAXIFS('Weekly Log'!$A:$A,'Weekly Log'!$C:$C,A115,'Weekly Log'!$E:$E,"Yes")))</f>
        <v/>
      </c>
      <c r="O115" s="12" t="str">
        <f aca="true">IF(N115="","",MAX(0,INT((TODAY()-N115)/7)))</f>
        <v/>
      </c>
      <c r="Q115" s="12" t="str">
        <f aca="false">IF(A115="","",IFERROR(LOOKUP(2,1/(('Weekly Log'!$C$4:$C$1003=A115)*('Weekly Log'!$I$4:$I$1003&lt;&gt;"")),'Weekly Log'!$I$4:$I$1003),""))</f>
        <v/>
      </c>
    </row>
    <row r="116" customFormat="false" ht="15" hidden="false" customHeight="false" outlineLevel="0" collapsed="false">
      <c r="H116" s="16"/>
      <c r="J116" s="12" t="str">
        <f aca="false">IF(A116="","",COUNTIF('Weekly Log'!$C:$C,A116))</f>
        <v/>
      </c>
      <c r="K116" s="12" t="str">
        <f aca="false">IF(A116="","",COUNTIFS('Weekly Log'!$C:$C,A116,'Weekly Log'!$E:$E,"Yes"))</f>
        <v/>
      </c>
      <c r="L116" s="13" t="str">
        <f aca="false">IF(A116="","",IF(J116=0,"",K116/J116))</f>
        <v/>
      </c>
      <c r="M116" s="14" t="str">
        <f aca="false">IF(A116="","",IFERROR((SUMIFS('Weekly Log'!$F:$F,'Weekly Log'!$C:$C,A116)+SUMIFS('Weekly Log'!$G:$G,'Weekly Log'!$C:$C,A116))/(COUNTIFS('Weekly Log'!$C:$C,A116,'Weekly Log'!$F:$F,"&lt;&gt;")+COUNTIFS('Weekly Log'!$C:$C,A116,'Weekly Log'!$G:$G,"&lt;&gt;")),""))</f>
        <v/>
      </c>
      <c r="N116" s="15" t="str">
        <f aca="false">IF(A116="","",IF(K116=0,"",_xlfn.MAXIFS('Weekly Log'!$A:$A,'Weekly Log'!$C:$C,A116,'Weekly Log'!$E:$E,"Yes")))</f>
        <v/>
      </c>
      <c r="O116" s="12" t="str">
        <f aca="true">IF(N116="","",MAX(0,INT((TODAY()-N116)/7)))</f>
        <v/>
      </c>
      <c r="Q116" s="12" t="str">
        <f aca="false">IF(A116="","",IFERROR(LOOKUP(2,1/(('Weekly Log'!$C$4:$C$1003=A116)*('Weekly Log'!$I$4:$I$1003&lt;&gt;"")),'Weekly Log'!$I$4:$I$1003),""))</f>
        <v/>
      </c>
    </row>
    <row r="117" customFormat="false" ht="15" hidden="false" customHeight="false" outlineLevel="0" collapsed="false">
      <c r="H117" s="16"/>
      <c r="J117" s="12" t="str">
        <f aca="false">IF(A117="","",COUNTIF('Weekly Log'!$C:$C,A117))</f>
        <v/>
      </c>
      <c r="K117" s="12" t="str">
        <f aca="false">IF(A117="","",COUNTIFS('Weekly Log'!$C:$C,A117,'Weekly Log'!$E:$E,"Yes"))</f>
        <v/>
      </c>
      <c r="L117" s="13" t="str">
        <f aca="false">IF(A117="","",IF(J117=0,"",K117/J117))</f>
        <v/>
      </c>
      <c r="M117" s="14" t="str">
        <f aca="false">IF(A117="","",IFERROR((SUMIFS('Weekly Log'!$F:$F,'Weekly Log'!$C:$C,A117)+SUMIFS('Weekly Log'!$G:$G,'Weekly Log'!$C:$C,A117))/(COUNTIFS('Weekly Log'!$C:$C,A117,'Weekly Log'!$F:$F,"&lt;&gt;")+COUNTIFS('Weekly Log'!$C:$C,A117,'Weekly Log'!$G:$G,"&lt;&gt;")),""))</f>
        <v/>
      </c>
      <c r="N117" s="15" t="str">
        <f aca="false">IF(A117="","",IF(K117=0,"",_xlfn.MAXIFS('Weekly Log'!$A:$A,'Weekly Log'!$C:$C,A117,'Weekly Log'!$E:$E,"Yes")))</f>
        <v/>
      </c>
      <c r="O117" s="12" t="str">
        <f aca="true">IF(N117="","",MAX(0,INT((TODAY()-N117)/7)))</f>
        <v/>
      </c>
      <c r="Q117" s="12" t="str">
        <f aca="false">IF(A117="","",IFERROR(LOOKUP(2,1/(('Weekly Log'!$C$4:$C$1003=A117)*('Weekly Log'!$I$4:$I$1003&lt;&gt;"")),'Weekly Log'!$I$4:$I$1003),""))</f>
        <v/>
      </c>
    </row>
    <row r="118" customFormat="false" ht="15" hidden="false" customHeight="false" outlineLevel="0" collapsed="false">
      <c r="H118" s="16"/>
      <c r="J118" s="12" t="str">
        <f aca="false">IF(A118="","",COUNTIF('Weekly Log'!$C:$C,A118))</f>
        <v/>
      </c>
      <c r="K118" s="12" t="str">
        <f aca="false">IF(A118="","",COUNTIFS('Weekly Log'!$C:$C,A118,'Weekly Log'!$E:$E,"Yes"))</f>
        <v/>
      </c>
      <c r="L118" s="13" t="str">
        <f aca="false">IF(A118="","",IF(J118=0,"",K118/J118))</f>
        <v/>
      </c>
      <c r="M118" s="14" t="str">
        <f aca="false">IF(A118="","",IFERROR((SUMIFS('Weekly Log'!$F:$F,'Weekly Log'!$C:$C,A118)+SUMIFS('Weekly Log'!$G:$G,'Weekly Log'!$C:$C,A118))/(COUNTIFS('Weekly Log'!$C:$C,A118,'Weekly Log'!$F:$F,"&lt;&gt;")+COUNTIFS('Weekly Log'!$C:$C,A118,'Weekly Log'!$G:$G,"&lt;&gt;")),""))</f>
        <v/>
      </c>
      <c r="N118" s="15" t="str">
        <f aca="false">IF(A118="","",IF(K118=0,"",_xlfn.MAXIFS('Weekly Log'!$A:$A,'Weekly Log'!$C:$C,A118,'Weekly Log'!$E:$E,"Yes")))</f>
        <v/>
      </c>
      <c r="O118" s="12" t="str">
        <f aca="true">IF(N118="","",MAX(0,INT((TODAY()-N118)/7)))</f>
        <v/>
      </c>
      <c r="Q118" s="12" t="str">
        <f aca="false">IF(A118="","",IFERROR(LOOKUP(2,1/(('Weekly Log'!$C$4:$C$1003=A118)*('Weekly Log'!$I$4:$I$1003&lt;&gt;"")),'Weekly Log'!$I$4:$I$1003),""))</f>
        <v/>
      </c>
    </row>
    <row r="119" customFormat="false" ht="15" hidden="false" customHeight="false" outlineLevel="0" collapsed="false">
      <c r="H119" s="16"/>
      <c r="J119" s="12" t="str">
        <f aca="false">IF(A119="","",COUNTIF('Weekly Log'!$C:$C,A119))</f>
        <v/>
      </c>
      <c r="K119" s="12" t="str">
        <f aca="false">IF(A119="","",COUNTIFS('Weekly Log'!$C:$C,A119,'Weekly Log'!$E:$E,"Yes"))</f>
        <v/>
      </c>
      <c r="L119" s="13" t="str">
        <f aca="false">IF(A119="","",IF(J119=0,"",K119/J119))</f>
        <v/>
      </c>
      <c r="M119" s="14" t="str">
        <f aca="false">IF(A119="","",IFERROR((SUMIFS('Weekly Log'!$F:$F,'Weekly Log'!$C:$C,A119)+SUMIFS('Weekly Log'!$G:$G,'Weekly Log'!$C:$C,A119))/(COUNTIFS('Weekly Log'!$C:$C,A119,'Weekly Log'!$F:$F,"&lt;&gt;")+COUNTIFS('Weekly Log'!$C:$C,A119,'Weekly Log'!$G:$G,"&lt;&gt;")),""))</f>
        <v/>
      </c>
      <c r="N119" s="15" t="str">
        <f aca="false">IF(A119="","",IF(K119=0,"",_xlfn.MAXIFS('Weekly Log'!$A:$A,'Weekly Log'!$C:$C,A119,'Weekly Log'!$E:$E,"Yes")))</f>
        <v/>
      </c>
      <c r="O119" s="12" t="str">
        <f aca="true">IF(N119="","",MAX(0,INT((TODAY()-N119)/7)))</f>
        <v/>
      </c>
      <c r="Q119" s="12" t="str">
        <f aca="false">IF(A119="","",IFERROR(LOOKUP(2,1/(('Weekly Log'!$C$4:$C$1003=A119)*('Weekly Log'!$I$4:$I$1003&lt;&gt;"")),'Weekly Log'!$I$4:$I$1003),""))</f>
        <v/>
      </c>
    </row>
    <row r="120" customFormat="false" ht="15" hidden="false" customHeight="false" outlineLevel="0" collapsed="false">
      <c r="H120" s="16"/>
      <c r="J120" s="12" t="str">
        <f aca="false">IF(A120="","",COUNTIF('Weekly Log'!$C:$C,A120))</f>
        <v/>
      </c>
      <c r="K120" s="12" t="str">
        <f aca="false">IF(A120="","",COUNTIFS('Weekly Log'!$C:$C,A120,'Weekly Log'!$E:$E,"Yes"))</f>
        <v/>
      </c>
      <c r="L120" s="13" t="str">
        <f aca="false">IF(A120="","",IF(J120=0,"",K120/J120))</f>
        <v/>
      </c>
      <c r="M120" s="14" t="str">
        <f aca="false">IF(A120="","",IFERROR((SUMIFS('Weekly Log'!$F:$F,'Weekly Log'!$C:$C,A120)+SUMIFS('Weekly Log'!$G:$G,'Weekly Log'!$C:$C,A120))/(COUNTIFS('Weekly Log'!$C:$C,A120,'Weekly Log'!$F:$F,"&lt;&gt;")+COUNTIFS('Weekly Log'!$C:$C,A120,'Weekly Log'!$G:$G,"&lt;&gt;")),""))</f>
        <v/>
      </c>
      <c r="N120" s="15" t="str">
        <f aca="false">IF(A120="","",IF(K120=0,"",_xlfn.MAXIFS('Weekly Log'!$A:$A,'Weekly Log'!$C:$C,A120,'Weekly Log'!$E:$E,"Yes")))</f>
        <v/>
      </c>
      <c r="O120" s="12" t="str">
        <f aca="true">IF(N120="","",MAX(0,INT((TODAY()-N120)/7)))</f>
        <v/>
      </c>
      <c r="Q120" s="12" t="str">
        <f aca="false">IF(A120="","",IFERROR(LOOKUP(2,1/(('Weekly Log'!$C$4:$C$1003=A120)*('Weekly Log'!$I$4:$I$1003&lt;&gt;"")),'Weekly Log'!$I$4:$I$1003),""))</f>
        <v/>
      </c>
    </row>
    <row r="121" customFormat="false" ht="15" hidden="false" customHeight="false" outlineLevel="0" collapsed="false">
      <c r="H121" s="16"/>
      <c r="J121" s="12" t="str">
        <f aca="false">IF(A121="","",COUNTIF('Weekly Log'!$C:$C,A121))</f>
        <v/>
      </c>
      <c r="K121" s="12" t="str">
        <f aca="false">IF(A121="","",COUNTIFS('Weekly Log'!$C:$C,A121,'Weekly Log'!$E:$E,"Yes"))</f>
        <v/>
      </c>
      <c r="L121" s="13" t="str">
        <f aca="false">IF(A121="","",IF(J121=0,"",K121/J121))</f>
        <v/>
      </c>
      <c r="M121" s="14" t="str">
        <f aca="false">IF(A121="","",IFERROR((SUMIFS('Weekly Log'!$F:$F,'Weekly Log'!$C:$C,A121)+SUMIFS('Weekly Log'!$G:$G,'Weekly Log'!$C:$C,A121))/(COUNTIFS('Weekly Log'!$C:$C,A121,'Weekly Log'!$F:$F,"&lt;&gt;")+COUNTIFS('Weekly Log'!$C:$C,A121,'Weekly Log'!$G:$G,"&lt;&gt;")),""))</f>
        <v/>
      </c>
      <c r="N121" s="15" t="str">
        <f aca="false">IF(A121="","",IF(K121=0,"",_xlfn.MAXIFS('Weekly Log'!$A:$A,'Weekly Log'!$C:$C,A121,'Weekly Log'!$E:$E,"Yes")))</f>
        <v/>
      </c>
      <c r="O121" s="12" t="str">
        <f aca="true">IF(N121="","",MAX(0,INT((TODAY()-N121)/7)))</f>
        <v/>
      </c>
      <c r="Q121" s="12" t="str">
        <f aca="false">IF(A121="","",IFERROR(LOOKUP(2,1/(('Weekly Log'!$C$4:$C$1003=A121)*('Weekly Log'!$I$4:$I$1003&lt;&gt;"")),'Weekly Log'!$I$4:$I$1003),""))</f>
        <v/>
      </c>
    </row>
    <row r="122" customFormat="false" ht="15" hidden="false" customHeight="false" outlineLevel="0" collapsed="false">
      <c r="H122" s="16"/>
      <c r="J122" s="12" t="str">
        <f aca="false">IF(A122="","",COUNTIF('Weekly Log'!$C:$C,A122))</f>
        <v/>
      </c>
      <c r="K122" s="12" t="str">
        <f aca="false">IF(A122="","",COUNTIFS('Weekly Log'!$C:$C,A122,'Weekly Log'!$E:$E,"Yes"))</f>
        <v/>
      </c>
      <c r="L122" s="13" t="str">
        <f aca="false">IF(A122="","",IF(J122=0,"",K122/J122))</f>
        <v/>
      </c>
      <c r="M122" s="14" t="str">
        <f aca="false">IF(A122="","",IFERROR((SUMIFS('Weekly Log'!$F:$F,'Weekly Log'!$C:$C,A122)+SUMIFS('Weekly Log'!$G:$G,'Weekly Log'!$C:$C,A122))/(COUNTIFS('Weekly Log'!$C:$C,A122,'Weekly Log'!$F:$F,"&lt;&gt;")+COUNTIFS('Weekly Log'!$C:$C,A122,'Weekly Log'!$G:$G,"&lt;&gt;")),""))</f>
        <v/>
      </c>
      <c r="N122" s="15" t="str">
        <f aca="false">IF(A122="","",IF(K122=0,"",_xlfn.MAXIFS('Weekly Log'!$A:$A,'Weekly Log'!$C:$C,A122,'Weekly Log'!$E:$E,"Yes")))</f>
        <v/>
      </c>
      <c r="O122" s="12" t="str">
        <f aca="true">IF(N122="","",MAX(0,INT((TODAY()-N122)/7)))</f>
        <v/>
      </c>
      <c r="Q122" s="12" t="str">
        <f aca="false">IF(A122="","",IFERROR(LOOKUP(2,1/(('Weekly Log'!$C$4:$C$1003=A122)*('Weekly Log'!$I$4:$I$1003&lt;&gt;"")),'Weekly Log'!$I$4:$I$1003),""))</f>
        <v/>
      </c>
    </row>
    <row r="123" customFormat="false" ht="15" hidden="false" customHeight="false" outlineLevel="0" collapsed="false">
      <c r="H123" s="16"/>
      <c r="J123" s="12" t="str">
        <f aca="false">IF(A123="","",COUNTIF('Weekly Log'!$C:$C,A123))</f>
        <v/>
      </c>
      <c r="K123" s="12" t="str">
        <f aca="false">IF(A123="","",COUNTIFS('Weekly Log'!$C:$C,A123,'Weekly Log'!$E:$E,"Yes"))</f>
        <v/>
      </c>
      <c r="L123" s="13" t="str">
        <f aca="false">IF(A123="","",IF(J123=0,"",K123/J123))</f>
        <v/>
      </c>
      <c r="M123" s="14" t="str">
        <f aca="false">IF(A123="","",IFERROR((SUMIFS('Weekly Log'!$F:$F,'Weekly Log'!$C:$C,A123)+SUMIFS('Weekly Log'!$G:$G,'Weekly Log'!$C:$C,A123))/(COUNTIFS('Weekly Log'!$C:$C,A123,'Weekly Log'!$F:$F,"&lt;&gt;")+COUNTIFS('Weekly Log'!$C:$C,A123,'Weekly Log'!$G:$G,"&lt;&gt;")),""))</f>
        <v/>
      </c>
      <c r="N123" s="15" t="str">
        <f aca="false">IF(A123="","",IF(K123=0,"",_xlfn.MAXIFS('Weekly Log'!$A:$A,'Weekly Log'!$C:$C,A123,'Weekly Log'!$E:$E,"Yes")))</f>
        <v/>
      </c>
      <c r="O123" s="12" t="str">
        <f aca="true">IF(N123="","",MAX(0,INT((TODAY()-N123)/7)))</f>
        <v/>
      </c>
      <c r="Q123" s="12" t="str">
        <f aca="false">IF(A123="","",IFERROR(LOOKUP(2,1/(('Weekly Log'!$C$4:$C$1003=A123)*('Weekly Log'!$I$4:$I$1003&lt;&gt;"")),'Weekly Log'!$I$4:$I$1003),""))</f>
        <v/>
      </c>
    </row>
    <row r="124" customFormat="false" ht="15" hidden="false" customHeight="false" outlineLevel="0" collapsed="false">
      <c r="H124" s="16"/>
      <c r="J124" s="12" t="str">
        <f aca="false">IF(A124="","",COUNTIF('Weekly Log'!$C:$C,A124))</f>
        <v/>
      </c>
      <c r="K124" s="12" t="str">
        <f aca="false">IF(A124="","",COUNTIFS('Weekly Log'!$C:$C,A124,'Weekly Log'!$E:$E,"Yes"))</f>
        <v/>
      </c>
      <c r="L124" s="13" t="str">
        <f aca="false">IF(A124="","",IF(J124=0,"",K124/J124))</f>
        <v/>
      </c>
      <c r="M124" s="14" t="str">
        <f aca="false">IF(A124="","",IFERROR((SUMIFS('Weekly Log'!$F:$F,'Weekly Log'!$C:$C,A124)+SUMIFS('Weekly Log'!$G:$G,'Weekly Log'!$C:$C,A124))/(COUNTIFS('Weekly Log'!$C:$C,A124,'Weekly Log'!$F:$F,"&lt;&gt;")+COUNTIFS('Weekly Log'!$C:$C,A124,'Weekly Log'!$G:$G,"&lt;&gt;")),""))</f>
        <v/>
      </c>
      <c r="N124" s="15" t="str">
        <f aca="false">IF(A124="","",IF(K124=0,"",_xlfn.MAXIFS('Weekly Log'!$A:$A,'Weekly Log'!$C:$C,A124,'Weekly Log'!$E:$E,"Yes")))</f>
        <v/>
      </c>
      <c r="O124" s="12" t="str">
        <f aca="true">IF(N124="","",MAX(0,INT((TODAY()-N124)/7)))</f>
        <v/>
      </c>
      <c r="Q124" s="12" t="str">
        <f aca="false">IF(A124="","",IFERROR(LOOKUP(2,1/(('Weekly Log'!$C$4:$C$1003=A124)*('Weekly Log'!$I$4:$I$1003&lt;&gt;"")),'Weekly Log'!$I$4:$I$1003),""))</f>
        <v/>
      </c>
    </row>
    <row r="125" customFormat="false" ht="15" hidden="false" customHeight="false" outlineLevel="0" collapsed="false">
      <c r="H125" s="16"/>
      <c r="J125" s="12" t="str">
        <f aca="false">IF(A125="","",COUNTIF('Weekly Log'!$C:$C,A125))</f>
        <v/>
      </c>
      <c r="K125" s="12" t="str">
        <f aca="false">IF(A125="","",COUNTIFS('Weekly Log'!$C:$C,A125,'Weekly Log'!$E:$E,"Yes"))</f>
        <v/>
      </c>
      <c r="L125" s="13" t="str">
        <f aca="false">IF(A125="","",IF(J125=0,"",K125/J125))</f>
        <v/>
      </c>
      <c r="M125" s="14" t="str">
        <f aca="false">IF(A125="","",IFERROR((SUMIFS('Weekly Log'!$F:$F,'Weekly Log'!$C:$C,A125)+SUMIFS('Weekly Log'!$G:$G,'Weekly Log'!$C:$C,A125))/(COUNTIFS('Weekly Log'!$C:$C,A125,'Weekly Log'!$F:$F,"&lt;&gt;")+COUNTIFS('Weekly Log'!$C:$C,A125,'Weekly Log'!$G:$G,"&lt;&gt;")),""))</f>
        <v/>
      </c>
      <c r="N125" s="15" t="str">
        <f aca="false">IF(A125="","",IF(K125=0,"",_xlfn.MAXIFS('Weekly Log'!$A:$A,'Weekly Log'!$C:$C,A125,'Weekly Log'!$E:$E,"Yes")))</f>
        <v/>
      </c>
      <c r="O125" s="12" t="str">
        <f aca="true">IF(N125="","",MAX(0,INT((TODAY()-N125)/7)))</f>
        <v/>
      </c>
      <c r="Q125" s="12" t="str">
        <f aca="false">IF(A125="","",IFERROR(LOOKUP(2,1/(('Weekly Log'!$C$4:$C$1003=A125)*('Weekly Log'!$I$4:$I$1003&lt;&gt;"")),'Weekly Log'!$I$4:$I$1003),""))</f>
        <v/>
      </c>
    </row>
    <row r="126" customFormat="false" ht="15" hidden="false" customHeight="false" outlineLevel="0" collapsed="false">
      <c r="H126" s="16"/>
      <c r="J126" s="12" t="str">
        <f aca="false">IF(A126="","",COUNTIF('Weekly Log'!$C:$C,A126))</f>
        <v/>
      </c>
      <c r="K126" s="12" t="str">
        <f aca="false">IF(A126="","",COUNTIFS('Weekly Log'!$C:$C,A126,'Weekly Log'!$E:$E,"Yes"))</f>
        <v/>
      </c>
      <c r="L126" s="13" t="str">
        <f aca="false">IF(A126="","",IF(J126=0,"",K126/J126))</f>
        <v/>
      </c>
      <c r="M126" s="14" t="str">
        <f aca="false">IF(A126="","",IFERROR((SUMIFS('Weekly Log'!$F:$F,'Weekly Log'!$C:$C,A126)+SUMIFS('Weekly Log'!$G:$G,'Weekly Log'!$C:$C,A126))/(COUNTIFS('Weekly Log'!$C:$C,A126,'Weekly Log'!$F:$F,"&lt;&gt;")+COUNTIFS('Weekly Log'!$C:$C,A126,'Weekly Log'!$G:$G,"&lt;&gt;")),""))</f>
        <v/>
      </c>
      <c r="N126" s="15" t="str">
        <f aca="false">IF(A126="","",IF(K126=0,"",_xlfn.MAXIFS('Weekly Log'!$A:$A,'Weekly Log'!$C:$C,A126,'Weekly Log'!$E:$E,"Yes")))</f>
        <v/>
      </c>
      <c r="O126" s="12" t="str">
        <f aca="true">IF(N126="","",MAX(0,INT((TODAY()-N126)/7)))</f>
        <v/>
      </c>
      <c r="Q126" s="12" t="str">
        <f aca="false">IF(A126="","",IFERROR(LOOKUP(2,1/(('Weekly Log'!$C$4:$C$1003=A126)*('Weekly Log'!$I$4:$I$1003&lt;&gt;"")),'Weekly Log'!$I$4:$I$1003),""))</f>
        <v/>
      </c>
    </row>
    <row r="127" customFormat="false" ht="15" hidden="false" customHeight="false" outlineLevel="0" collapsed="false">
      <c r="H127" s="16"/>
      <c r="J127" s="12" t="str">
        <f aca="false">IF(A127="","",COUNTIF('Weekly Log'!$C:$C,A127))</f>
        <v/>
      </c>
      <c r="K127" s="12" t="str">
        <f aca="false">IF(A127="","",COUNTIFS('Weekly Log'!$C:$C,A127,'Weekly Log'!$E:$E,"Yes"))</f>
        <v/>
      </c>
      <c r="L127" s="13" t="str">
        <f aca="false">IF(A127="","",IF(J127=0,"",K127/J127))</f>
        <v/>
      </c>
      <c r="M127" s="14" t="str">
        <f aca="false">IF(A127="","",IFERROR((SUMIFS('Weekly Log'!$F:$F,'Weekly Log'!$C:$C,A127)+SUMIFS('Weekly Log'!$G:$G,'Weekly Log'!$C:$C,A127))/(COUNTIFS('Weekly Log'!$C:$C,A127,'Weekly Log'!$F:$F,"&lt;&gt;")+COUNTIFS('Weekly Log'!$C:$C,A127,'Weekly Log'!$G:$G,"&lt;&gt;")),""))</f>
        <v/>
      </c>
      <c r="N127" s="15" t="str">
        <f aca="false">IF(A127="","",IF(K127=0,"",_xlfn.MAXIFS('Weekly Log'!$A:$A,'Weekly Log'!$C:$C,A127,'Weekly Log'!$E:$E,"Yes")))</f>
        <v/>
      </c>
      <c r="O127" s="12" t="str">
        <f aca="true">IF(N127="","",MAX(0,INT((TODAY()-N127)/7)))</f>
        <v/>
      </c>
      <c r="Q127" s="12" t="str">
        <f aca="false">IF(A127="","",IFERROR(LOOKUP(2,1/(('Weekly Log'!$C$4:$C$1003=A127)*('Weekly Log'!$I$4:$I$1003&lt;&gt;"")),'Weekly Log'!$I$4:$I$1003),""))</f>
        <v/>
      </c>
    </row>
    <row r="128" customFormat="false" ht="15" hidden="false" customHeight="false" outlineLevel="0" collapsed="false">
      <c r="H128" s="16"/>
      <c r="J128" s="12" t="str">
        <f aca="false">IF(A128="","",COUNTIF('Weekly Log'!$C:$C,A128))</f>
        <v/>
      </c>
      <c r="K128" s="12" t="str">
        <f aca="false">IF(A128="","",COUNTIFS('Weekly Log'!$C:$C,A128,'Weekly Log'!$E:$E,"Yes"))</f>
        <v/>
      </c>
      <c r="L128" s="13" t="str">
        <f aca="false">IF(A128="","",IF(J128=0,"",K128/J128))</f>
        <v/>
      </c>
      <c r="M128" s="14" t="str">
        <f aca="false">IF(A128="","",IFERROR((SUMIFS('Weekly Log'!$F:$F,'Weekly Log'!$C:$C,A128)+SUMIFS('Weekly Log'!$G:$G,'Weekly Log'!$C:$C,A128))/(COUNTIFS('Weekly Log'!$C:$C,A128,'Weekly Log'!$F:$F,"&lt;&gt;")+COUNTIFS('Weekly Log'!$C:$C,A128,'Weekly Log'!$G:$G,"&lt;&gt;")),""))</f>
        <v/>
      </c>
      <c r="N128" s="15" t="str">
        <f aca="false">IF(A128="","",IF(K128=0,"",_xlfn.MAXIFS('Weekly Log'!$A:$A,'Weekly Log'!$C:$C,A128,'Weekly Log'!$E:$E,"Yes")))</f>
        <v/>
      </c>
      <c r="O128" s="12" t="str">
        <f aca="true">IF(N128="","",MAX(0,INT((TODAY()-N128)/7)))</f>
        <v/>
      </c>
      <c r="Q128" s="12" t="str">
        <f aca="false">IF(A128="","",IFERROR(LOOKUP(2,1/(('Weekly Log'!$C$4:$C$1003=A128)*('Weekly Log'!$I$4:$I$1003&lt;&gt;"")),'Weekly Log'!$I$4:$I$1003),""))</f>
        <v/>
      </c>
    </row>
    <row r="129" customFormat="false" ht="15" hidden="false" customHeight="false" outlineLevel="0" collapsed="false">
      <c r="H129" s="16"/>
      <c r="J129" s="12" t="str">
        <f aca="false">IF(A129="","",COUNTIF('Weekly Log'!$C:$C,A129))</f>
        <v/>
      </c>
      <c r="K129" s="12" t="str">
        <f aca="false">IF(A129="","",COUNTIFS('Weekly Log'!$C:$C,A129,'Weekly Log'!$E:$E,"Yes"))</f>
        <v/>
      </c>
      <c r="L129" s="13" t="str">
        <f aca="false">IF(A129="","",IF(J129=0,"",K129/J129))</f>
        <v/>
      </c>
      <c r="M129" s="14" t="str">
        <f aca="false">IF(A129="","",IFERROR((SUMIFS('Weekly Log'!$F:$F,'Weekly Log'!$C:$C,A129)+SUMIFS('Weekly Log'!$G:$G,'Weekly Log'!$C:$C,A129))/(COUNTIFS('Weekly Log'!$C:$C,A129,'Weekly Log'!$F:$F,"&lt;&gt;")+COUNTIFS('Weekly Log'!$C:$C,A129,'Weekly Log'!$G:$G,"&lt;&gt;")),""))</f>
        <v/>
      </c>
      <c r="N129" s="15" t="str">
        <f aca="false">IF(A129="","",IF(K129=0,"",_xlfn.MAXIFS('Weekly Log'!$A:$A,'Weekly Log'!$C:$C,A129,'Weekly Log'!$E:$E,"Yes")))</f>
        <v/>
      </c>
      <c r="O129" s="12" t="str">
        <f aca="true">IF(N129="","",MAX(0,INT((TODAY()-N129)/7)))</f>
        <v/>
      </c>
      <c r="Q129" s="12" t="str">
        <f aca="false">IF(A129="","",IFERROR(LOOKUP(2,1/(('Weekly Log'!$C$4:$C$1003=A129)*('Weekly Log'!$I$4:$I$1003&lt;&gt;"")),'Weekly Log'!$I$4:$I$1003),""))</f>
        <v/>
      </c>
    </row>
    <row r="130" customFormat="false" ht="15" hidden="false" customHeight="false" outlineLevel="0" collapsed="false">
      <c r="H130" s="16"/>
      <c r="J130" s="12" t="str">
        <f aca="false">IF(A130="","",COUNTIF('Weekly Log'!$C:$C,A130))</f>
        <v/>
      </c>
      <c r="K130" s="12" t="str">
        <f aca="false">IF(A130="","",COUNTIFS('Weekly Log'!$C:$C,A130,'Weekly Log'!$E:$E,"Yes"))</f>
        <v/>
      </c>
      <c r="L130" s="13" t="str">
        <f aca="false">IF(A130="","",IF(J130=0,"",K130/J130))</f>
        <v/>
      </c>
      <c r="M130" s="14" t="str">
        <f aca="false">IF(A130="","",IFERROR((SUMIFS('Weekly Log'!$F:$F,'Weekly Log'!$C:$C,A130)+SUMIFS('Weekly Log'!$G:$G,'Weekly Log'!$C:$C,A130))/(COUNTIFS('Weekly Log'!$C:$C,A130,'Weekly Log'!$F:$F,"&lt;&gt;")+COUNTIFS('Weekly Log'!$C:$C,A130,'Weekly Log'!$G:$G,"&lt;&gt;")),""))</f>
        <v/>
      </c>
      <c r="N130" s="15" t="str">
        <f aca="false">IF(A130="","",IF(K130=0,"",_xlfn.MAXIFS('Weekly Log'!$A:$A,'Weekly Log'!$C:$C,A130,'Weekly Log'!$E:$E,"Yes")))</f>
        <v/>
      </c>
      <c r="O130" s="12" t="str">
        <f aca="true">IF(N130="","",MAX(0,INT((TODAY()-N130)/7)))</f>
        <v/>
      </c>
      <c r="Q130" s="12" t="str">
        <f aca="false">IF(A130="","",IFERROR(LOOKUP(2,1/(('Weekly Log'!$C$4:$C$1003=A130)*('Weekly Log'!$I$4:$I$1003&lt;&gt;"")),'Weekly Log'!$I$4:$I$1003),""))</f>
        <v/>
      </c>
    </row>
    <row r="131" customFormat="false" ht="15" hidden="false" customHeight="false" outlineLevel="0" collapsed="false">
      <c r="H131" s="16"/>
      <c r="J131" s="12" t="str">
        <f aca="false">IF(A131="","",COUNTIF('Weekly Log'!$C:$C,A131))</f>
        <v/>
      </c>
      <c r="K131" s="12" t="str">
        <f aca="false">IF(A131="","",COUNTIFS('Weekly Log'!$C:$C,A131,'Weekly Log'!$E:$E,"Yes"))</f>
        <v/>
      </c>
      <c r="L131" s="13" t="str">
        <f aca="false">IF(A131="","",IF(J131=0,"",K131/J131))</f>
        <v/>
      </c>
      <c r="M131" s="14" t="str">
        <f aca="false">IF(A131="","",IFERROR((SUMIFS('Weekly Log'!$F:$F,'Weekly Log'!$C:$C,A131)+SUMIFS('Weekly Log'!$G:$G,'Weekly Log'!$C:$C,A131))/(COUNTIFS('Weekly Log'!$C:$C,A131,'Weekly Log'!$F:$F,"&lt;&gt;")+COUNTIFS('Weekly Log'!$C:$C,A131,'Weekly Log'!$G:$G,"&lt;&gt;")),""))</f>
        <v/>
      </c>
      <c r="N131" s="15" t="str">
        <f aca="false">IF(A131="","",IF(K131=0,"",_xlfn.MAXIFS('Weekly Log'!$A:$A,'Weekly Log'!$C:$C,A131,'Weekly Log'!$E:$E,"Yes")))</f>
        <v/>
      </c>
      <c r="O131" s="12" t="str">
        <f aca="true">IF(N131="","",MAX(0,INT((TODAY()-N131)/7)))</f>
        <v/>
      </c>
      <c r="Q131" s="12" t="str">
        <f aca="false">IF(A131="","",IFERROR(LOOKUP(2,1/(('Weekly Log'!$C$4:$C$1003=A131)*('Weekly Log'!$I$4:$I$1003&lt;&gt;"")),'Weekly Log'!$I$4:$I$1003),""))</f>
        <v/>
      </c>
    </row>
    <row r="132" customFormat="false" ht="15" hidden="false" customHeight="false" outlineLevel="0" collapsed="false">
      <c r="H132" s="16"/>
      <c r="J132" s="12" t="str">
        <f aca="false">IF(A132="","",COUNTIF('Weekly Log'!$C:$C,A132))</f>
        <v/>
      </c>
      <c r="K132" s="12" t="str">
        <f aca="false">IF(A132="","",COUNTIFS('Weekly Log'!$C:$C,A132,'Weekly Log'!$E:$E,"Yes"))</f>
        <v/>
      </c>
      <c r="L132" s="13" t="str">
        <f aca="false">IF(A132="","",IF(J132=0,"",K132/J132))</f>
        <v/>
      </c>
      <c r="M132" s="14" t="str">
        <f aca="false">IF(A132="","",IFERROR((SUMIFS('Weekly Log'!$F:$F,'Weekly Log'!$C:$C,A132)+SUMIFS('Weekly Log'!$G:$G,'Weekly Log'!$C:$C,A132))/(COUNTIFS('Weekly Log'!$C:$C,A132,'Weekly Log'!$F:$F,"&lt;&gt;")+COUNTIFS('Weekly Log'!$C:$C,A132,'Weekly Log'!$G:$G,"&lt;&gt;")),""))</f>
        <v/>
      </c>
      <c r="N132" s="15" t="str">
        <f aca="false">IF(A132="","",IF(K132=0,"",_xlfn.MAXIFS('Weekly Log'!$A:$A,'Weekly Log'!$C:$C,A132,'Weekly Log'!$E:$E,"Yes")))</f>
        <v/>
      </c>
      <c r="O132" s="12" t="str">
        <f aca="true">IF(N132="","",MAX(0,INT((TODAY()-N132)/7)))</f>
        <v/>
      </c>
      <c r="Q132" s="12" t="str">
        <f aca="false">IF(A132="","",IFERROR(LOOKUP(2,1/(('Weekly Log'!$C$4:$C$1003=A132)*('Weekly Log'!$I$4:$I$1003&lt;&gt;"")),'Weekly Log'!$I$4:$I$1003),""))</f>
        <v/>
      </c>
    </row>
    <row r="133" customFormat="false" ht="15" hidden="false" customHeight="false" outlineLevel="0" collapsed="false">
      <c r="H133" s="16"/>
      <c r="J133" s="12" t="str">
        <f aca="false">IF(A133="","",COUNTIF('Weekly Log'!$C:$C,A133))</f>
        <v/>
      </c>
      <c r="K133" s="12" t="str">
        <f aca="false">IF(A133="","",COUNTIFS('Weekly Log'!$C:$C,A133,'Weekly Log'!$E:$E,"Yes"))</f>
        <v/>
      </c>
      <c r="L133" s="13" t="str">
        <f aca="false">IF(A133="","",IF(J133=0,"",K133/J133))</f>
        <v/>
      </c>
      <c r="M133" s="14" t="str">
        <f aca="false">IF(A133="","",IFERROR((SUMIFS('Weekly Log'!$F:$F,'Weekly Log'!$C:$C,A133)+SUMIFS('Weekly Log'!$G:$G,'Weekly Log'!$C:$C,A133))/(COUNTIFS('Weekly Log'!$C:$C,A133,'Weekly Log'!$F:$F,"&lt;&gt;")+COUNTIFS('Weekly Log'!$C:$C,A133,'Weekly Log'!$G:$G,"&lt;&gt;")),""))</f>
        <v/>
      </c>
      <c r="N133" s="15" t="str">
        <f aca="false">IF(A133="","",IF(K133=0,"",_xlfn.MAXIFS('Weekly Log'!$A:$A,'Weekly Log'!$C:$C,A133,'Weekly Log'!$E:$E,"Yes")))</f>
        <v/>
      </c>
      <c r="O133" s="12" t="str">
        <f aca="true">IF(N133="","",MAX(0,INT((TODAY()-N133)/7)))</f>
        <v/>
      </c>
      <c r="Q133" s="12" t="str">
        <f aca="false">IF(A133="","",IFERROR(LOOKUP(2,1/(('Weekly Log'!$C$4:$C$1003=A133)*('Weekly Log'!$I$4:$I$1003&lt;&gt;"")),'Weekly Log'!$I$4:$I$1003),""))</f>
        <v/>
      </c>
    </row>
    <row r="134" customFormat="false" ht="15" hidden="false" customHeight="false" outlineLevel="0" collapsed="false">
      <c r="H134" s="16"/>
      <c r="J134" s="12" t="str">
        <f aca="false">IF(A134="","",COUNTIF('Weekly Log'!$C:$C,A134))</f>
        <v/>
      </c>
      <c r="K134" s="12" t="str">
        <f aca="false">IF(A134="","",COUNTIFS('Weekly Log'!$C:$C,A134,'Weekly Log'!$E:$E,"Yes"))</f>
        <v/>
      </c>
      <c r="L134" s="13" t="str">
        <f aca="false">IF(A134="","",IF(J134=0,"",K134/J134))</f>
        <v/>
      </c>
      <c r="M134" s="14" t="str">
        <f aca="false">IF(A134="","",IFERROR((SUMIFS('Weekly Log'!$F:$F,'Weekly Log'!$C:$C,A134)+SUMIFS('Weekly Log'!$G:$G,'Weekly Log'!$C:$C,A134))/(COUNTIFS('Weekly Log'!$C:$C,A134,'Weekly Log'!$F:$F,"&lt;&gt;")+COUNTIFS('Weekly Log'!$C:$C,A134,'Weekly Log'!$G:$G,"&lt;&gt;")),""))</f>
        <v/>
      </c>
      <c r="N134" s="15" t="str">
        <f aca="false">IF(A134="","",IF(K134=0,"",_xlfn.MAXIFS('Weekly Log'!$A:$A,'Weekly Log'!$C:$C,A134,'Weekly Log'!$E:$E,"Yes")))</f>
        <v/>
      </c>
      <c r="O134" s="12" t="str">
        <f aca="true">IF(N134="","",MAX(0,INT((TODAY()-N134)/7)))</f>
        <v/>
      </c>
      <c r="Q134" s="12" t="str">
        <f aca="false">IF(A134="","",IFERROR(LOOKUP(2,1/(('Weekly Log'!$C$4:$C$1003=A134)*('Weekly Log'!$I$4:$I$1003&lt;&gt;"")),'Weekly Log'!$I$4:$I$1003),""))</f>
        <v/>
      </c>
    </row>
    <row r="135" customFormat="false" ht="15" hidden="false" customHeight="false" outlineLevel="0" collapsed="false">
      <c r="H135" s="16"/>
      <c r="J135" s="12" t="str">
        <f aca="false">IF(A135="","",COUNTIF('Weekly Log'!$C:$C,A135))</f>
        <v/>
      </c>
      <c r="K135" s="12" t="str">
        <f aca="false">IF(A135="","",COUNTIFS('Weekly Log'!$C:$C,A135,'Weekly Log'!$E:$E,"Yes"))</f>
        <v/>
      </c>
      <c r="L135" s="13" t="str">
        <f aca="false">IF(A135="","",IF(J135=0,"",K135/J135))</f>
        <v/>
      </c>
      <c r="M135" s="14" t="str">
        <f aca="false">IF(A135="","",IFERROR((SUMIFS('Weekly Log'!$F:$F,'Weekly Log'!$C:$C,A135)+SUMIFS('Weekly Log'!$G:$G,'Weekly Log'!$C:$C,A135))/(COUNTIFS('Weekly Log'!$C:$C,A135,'Weekly Log'!$F:$F,"&lt;&gt;")+COUNTIFS('Weekly Log'!$C:$C,A135,'Weekly Log'!$G:$G,"&lt;&gt;")),""))</f>
        <v/>
      </c>
      <c r="N135" s="15" t="str">
        <f aca="false">IF(A135="","",IF(K135=0,"",_xlfn.MAXIFS('Weekly Log'!$A:$A,'Weekly Log'!$C:$C,A135,'Weekly Log'!$E:$E,"Yes")))</f>
        <v/>
      </c>
      <c r="O135" s="12" t="str">
        <f aca="true">IF(N135="","",MAX(0,INT((TODAY()-N135)/7)))</f>
        <v/>
      </c>
      <c r="Q135" s="12" t="str">
        <f aca="false">IF(A135="","",IFERROR(LOOKUP(2,1/(('Weekly Log'!$C$4:$C$1003=A135)*('Weekly Log'!$I$4:$I$1003&lt;&gt;"")),'Weekly Log'!$I$4:$I$1003),""))</f>
        <v/>
      </c>
    </row>
    <row r="136" customFormat="false" ht="15" hidden="false" customHeight="false" outlineLevel="0" collapsed="false">
      <c r="H136" s="16"/>
      <c r="J136" s="12" t="str">
        <f aca="false">IF(A136="","",COUNTIF('Weekly Log'!$C:$C,A136))</f>
        <v/>
      </c>
      <c r="K136" s="12" t="str">
        <f aca="false">IF(A136="","",COUNTIFS('Weekly Log'!$C:$C,A136,'Weekly Log'!$E:$E,"Yes"))</f>
        <v/>
      </c>
      <c r="L136" s="13" t="str">
        <f aca="false">IF(A136="","",IF(J136=0,"",K136/J136))</f>
        <v/>
      </c>
      <c r="M136" s="14" t="str">
        <f aca="false">IF(A136="","",IFERROR((SUMIFS('Weekly Log'!$F:$F,'Weekly Log'!$C:$C,A136)+SUMIFS('Weekly Log'!$G:$G,'Weekly Log'!$C:$C,A136))/(COUNTIFS('Weekly Log'!$C:$C,A136,'Weekly Log'!$F:$F,"&lt;&gt;")+COUNTIFS('Weekly Log'!$C:$C,A136,'Weekly Log'!$G:$G,"&lt;&gt;")),""))</f>
        <v/>
      </c>
      <c r="N136" s="15" t="str">
        <f aca="false">IF(A136="","",IF(K136=0,"",_xlfn.MAXIFS('Weekly Log'!$A:$A,'Weekly Log'!$C:$C,A136,'Weekly Log'!$E:$E,"Yes")))</f>
        <v/>
      </c>
      <c r="O136" s="12" t="str">
        <f aca="true">IF(N136="","",MAX(0,INT((TODAY()-N136)/7)))</f>
        <v/>
      </c>
      <c r="Q136" s="12" t="str">
        <f aca="false">IF(A136="","",IFERROR(LOOKUP(2,1/(('Weekly Log'!$C$4:$C$1003=A136)*('Weekly Log'!$I$4:$I$1003&lt;&gt;"")),'Weekly Log'!$I$4:$I$1003),""))</f>
        <v/>
      </c>
    </row>
    <row r="137" customFormat="false" ht="15" hidden="false" customHeight="false" outlineLevel="0" collapsed="false">
      <c r="H137" s="16"/>
      <c r="J137" s="12" t="str">
        <f aca="false">IF(A137="","",COUNTIF('Weekly Log'!$C:$C,A137))</f>
        <v/>
      </c>
      <c r="K137" s="12" t="str">
        <f aca="false">IF(A137="","",COUNTIFS('Weekly Log'!$C:$C,A137,'Weekly Log'!$E:$E,"Yes"))</f>
        <v/>
      </c>
      <c r="L137" s="13" t="str">
        <f aca="false">IF(A137="","",IF(J137=0,"",K137/J137))</f>
        <v/>
      </c>
      <c r="M137" s="14" t="str">
        <f aca="false">IF(A137="","",IFERROR((SUMIFS('Weekly Log'!$F:$F,'Weekly Log'!$C:$C,A137)+SUMIFS('Weekly Log'!$G:$G,'Weekly Log'!$C:$C,A137))/(COUNTIFS('Weekly Log'!$C:$C,A137,'Weekly Log'!$F:$F,"&lt;&gt;")+COUNTIFS('Weekly Log'!$C:$C,A137,'Weekly Log'!$G:$G,"&lt;&gt;")),""))</f>
        <v/>
      </c>
      <c r="N137" s="15" t="str">
        <f aca="false">IF(A137="","",IF(K137=0,"",_xlfn.MAXIFS('Weekly Log'!$A:$A,'Weekly Log'!$C:$C,A137,'Weekly Log'!$E:$E,"Yes")))</f>
        <v/>
      </c>
      <c r="O137" s="12" t="str">
        <f aca="true">IF(N137="","",MAX(0,INT((TODAY()-N137)/7)))</f>
        <v/>
      </c>
      <c r="Q137" s="12" t="str">
        <f aca="false">IF(A137="","",IFERROR(LOOKUP(2,1/(('Weekly Log'!$C$4:$C$1003=A137)*('Weekly Log'!$I$4:$I$1003&lt;&gt;"")),'Weekly Log'!$I$4:$I$1003),""))</f>
        <v/>
      </c>
    </row>
    <row r="138" customFormat="false" ht="15" hidden="false" customHeight="false" outlineLevel="0" collapsed="false">
      <c r="H138" s="16"/>
      <c r="J138" s="12" t="str">
        <f aca="false">IF(A138="","",COUNTIF('Weekly Log'!$C:$C,A138))</f>
        <v/>
      </c>
      <c r="K138" s="12" t="str">
        <f aca="false">IF(A138="","",COUNTIFS('Weekly Log'!$C:$C,A138,'Weekly Log'!$E:$E,"Yes"))</f>
        <v/>
      </c>
      <c r="L138" s="13" t="str">
        <f aca="false">IF(A138="","",IF(J138=0,"",K138/J138))</f>
        <v/>
      </c>
      <c r="M138" s="14" t="str">
        <f aca="false">IF(A138="","",IFERROR((SUMIFS('Weekly Log'!$F:$F,'Weekly Log'!$C:$C,A138)+SUMIFS('Weekly Log'!$G:$G,'Weekly Log'!$C:$C,A138))/(COUNTIFS('Weekly Log'!$C:$C,A138,'Weekly Log'!$F:$F,"&lt;&gt;")+COUNTIFS('Weekly Log'!$C:$C,A138,'Weekly Log'!$G:$G,"&lt;&gt;")),""))</f>
        <v/>
      </c>
      <c r="N138" s="15" t="str">
        <f aca="false">IF(A138="","",IF(K138=0,"",_xlfn.MAXIFS('Weekly Log'!$A:$A,'Weekly Log'!$C:$C,A138,'Weekly Log'!$E:$E,"Yes")))</f>
        <v/>
      </c>
      <c r="O138" s="12" t="str">
        <f aca="true">IF(N138="","",MAX(0,INT((TODAY()-N138)/7)))</f>
        <v/>
      </c>
      <c r="Q138" s="12" t="str">
        <f aca="false">IF(A138="","",IFERROR(LOOKUP(2,1/(('Weekly Log'!$C$4:$C$1003=A138)*('Weekly Log'!$I$4:$I$1003&lt;&gt;"")),'Weekly Log'!$I$4:$I$1003),""))</f>
        <v/>
      </c>
    </row>
    <row r="139" customFormat="false" ht="15" hidden="false" customHeight="false" outlineLevel="0" collapsed="false">
      <c r="H139" s="16"/>
      <c r="J139" s="12" t="str">
        <f aca="false">IF(A139="","",COUNTIF('Weekly Log'!$C:$C,A139))</f>
        <v/>
      </c>
      <c r="K139" s="12" t="str">
        <f aca="false">IF(A139="","",COUNTIFS('Weekly Log'!$C:$C,A139,'Weekly Log'!$E:$E,"Yes"))</f>
        <v/>
      </c>
      <c r="L139" s="13" t="str">
        <f aca="false">IF(A139="","",IF(J139=0,"",K139/J139))</f>
        <v/>
      </c>
      <c r="M139" s="14" t="str">
        <f aca="false">IF(A139="","",IFERROR((SUMIFS('Weekly Log'!$F:$F,'Weekly Log'!$C:$C,A139)+SUMIFS('Weekly Log'!$G:$G,'Weekly Log'!$C:$C,A139))/(COUNTIFS('Weekly Log'!$C:$C,A139,'Weekly Log'!$F:$F,"&lt;&gt;")+COUNTIFS('Weekly Log'!$C:$C,A139,'Weekly Log'!$G:$G,"&lt;&gt;")),""))</f>
        <v/>
      </c>
      <c r="N139" s="15" t="str">
        <f aca="false">IF(A139="","",IF(K139=0,"",_xlfn.MAXIFS('Weekly Log'!$A:$A,'Weekly Log'!$C:$C,A139,'Weekly Log'!$E:$E,"Yes")))</f>
        <v/>
      </c>
      <c r="O139" s="12" t="str">
        <f aca="true">IF(N139="","",MAX(0,INT((TODAY()-N139)/7)))</f>
        <v/>
      </c>
      <c r="Q139" s="12" t="str">
        <f aca="false">IF(A139="","",IFERROR(LOOKUP(2,1/(('Weekly Log'!$C$4:$C$1003=A139)*('Weekly Log'!$I$4:$I$1003&lt;&gt;"")),'Weekly Log'!$I$4:$I$1003),""))</f>
        <v/>
      </c>
    </row>
    <row r="140" customFormat="false" ht="15" hidden="false" customHeight="false" outlineLevel="0" collapsed="false">
      <c r="H140" s="16"/>
      <c r="J140" s="12" t="str">
        <f aca="false">IF(A140="","",COUNTIF('Weekly Log'!$C:$C,A140))</f>
        <v/>
      </c>
      <c r="K140" s="12" t="str">
        <f aca="false">IF(A140="","",COUNTIFS('Weekly Log'!$C:$C,A140,'Weekly Log'!$E:$E,"Yes"))</f>
        <v/>
      </c>
      <c r="L140" s="13" t="str">
        <f aca="false">IF(A140="","",IF(J140=0,"",K140/J140))</f>
        <v/>
      </c>
      <c r="M140" s="14" t="str">
        <f aca="false">IF(A140="","",IFERROR((SUMIFS('Weekly Log'!$F:$F,'Weekly Log'!$C:$C,A140)+SUMIFS('Weekly Log'!$G:$G,'Weekly Log'!$C:$C,A140))/(COUNTIFS('Weekly Log'!$C:$C,A140,'Weekly Log'!$F:$F,"&lt;&gt;")+COUNTIFS('Weekly Log'!$C:$C,A140,'Weekly Log'!$G:$G,"&lt;&gt;")),""))</f>
        <v/>
      </c>
      <c r="N140" s="15" t="str">
        <f aca="false">IF(A140="","",IF(K140=0,"",_xlfn.MAXIFS('Weekly Log'!$A:$A,'Weekly Log'!$C:$C,A140,'Weekly Log'!$E:$E,"Yes")))</f>
        <v/>
      </c>
      <c r="O140" s="12" t="str">
        <f aca="true">IF(N140="","",MAX(0,INT((TODAY()-N140)/7)))</f>
        <v/>
      </c>
      <c r="Q140" s="12" t="str">
        <f aca="false">IF(A140="","",IFERROR(LOOKUP(2,1/(('Weekly Log'!$C$4:$C$1003=A140)*('Weekly Log'!$I$4:$I$1003&lt;&gt;"")),'Weekly Log'!$I$4:$I$1003),""))</f>
        <v/>
      </c>
    </row>
    <row r="141" customFormat="false" ht="15" hidden="false" customHeight="false" outlineLevel="0" collapsed="false">
      <c r="H141" s="16"/>
      <c r="J141" s="12" t="str">
        <f aca="false">IF(A141="","",COUNTIF('Weekly Log'!$C:$C,A141))</f>
        <v/>
      </c>
      <c r="K141" s="12" t="str">
        <f aca="false">IF(A141="","",COUNTIFS('Weekly Log'!$C:$C,A141,'Weekly Log'!$E:$E,"Yes"))</f>
        <v/>
      </c>
      <c r="L141" s="13" t="str">
        <f aca="false">IF(A141="","",IF(J141=0,"",K141/J141))</f>
        <v/>
      </c>
      <c r="M141" s="14" t="str">
        <f aca="false">IF(A141="","",IFERROR((SUMIFS('Weekly Log'!$F:$F,'Weekly Log'!$C:$C,A141)+SUMIFS('Weekly Log'!$G:$G,'Weekly Log'!$C:$C,A141))/(COUNTIFS('Weekly Log'!$C:$C,A141,'Weekly Log'!$F:$F,"&lt;&gt;")+COUNTIFS('Weekly Log'!$C:$C,A141,'Weekly Log'!$G:$G,"&lt;&gt;")),""))</f>
        <v/>
      </c>
      <c r="N141" s="15" t="str">
        <f aca="false">IF(A141="","",IF(K141=0,"",_xlfn.MAXIFS('Weekly Log'!$A:$A,'Weekly Log'!$C:$C,A141,'Weekly Log'!$E:$E,"Yes")))</f>
        <v/>
      </c>
      <c r="O141" s="12" t="str">
        <f aca="true">IF(N141="","",MAX(0,INT((TODAY()-N141)/7)))</f>
        <v/>
      </c>
      <c r="Q141" s="12" t="str">
        <f aca="false">IF(A141="","",IFERROR(LOOKUP(2,1/(('Weekly Log'!$C$4:$C$1003=A141)*('Weekly Log'!$I$4:$I$1003&lt;&gt;"")),'Weekly Log'!$I$4:$I$1003),""))</f>
        <v/>
      </c>
    </row>
    <row r="142" customFormat="false" ht="15" hidden="false" customHeight="false" outlineLevel="0" collapsed="false">
      <c r="H142" s="16"/>
      <c r="J142" s="12" t="str">
        <f aca="false">IF(A142="","",COUNTIF('Weekly Log'!$C:$C,A142))</f>
        <v/>
      </c>
      <c r="K142" s="12" t="str">
        <f aca="false">IF(A142="","",COUNTIFS('Weekly Log'!$C:$C,A142,'Weekly Log'!$E:$E,"Yes"))</f>
        <v/>
      </c>
      <c r="L142" s="13" t="str">
        <f aca="false">IF(A142="","",IF(J142=0,"",K142/J142))</f>
        <v/>
      </c>
      <c r="M142" s="14" t="str">
        <f aca="false">IF(A142="","",IFERROR((SUMIFS('Weekly Log'!$F:$F,'Weekly Log'!$C:$C,A142)+SUMIFS('Weekly Log'!$G:$G,'Weekly Log'!$C:$C,A142))/(COUNTIFS('Weekly Log'!$C:$C,A142,'Weekly Log'!$F:$F,"&lt;&gt;")+COUNTIFS('Weekly Log'!$C:$C,A142,'Weekly Log'!$G:$G,"&lt;&gt;")),""))</f>
        <v/>
      </c>
      <c r="N142" s="15" t="str">
        <f aca="false">IF(A142="","",IF(K142=0,"",_xlfn.MAXIFS('Weekly Log'!$A:$A,'Weekly Log'!$C:$C,A142,'Weekly Log'!$E:$E,"Yes")))</f>
        <v/>
      </c>
      <c r="O142" s="12" t="str">
        <f aca="true">IF(N142="","",MAX(0,INT((TODAY()-N142)/7)))</f>
        <v/>
      </c>
      <c r="Q142" s="12" t="str">
        <f aca="false">IF(A142="","",IFERROR(LOOKUP(2,1/(('Weekly Log'!$C$4:$C$1003=A142)*('Weekly Log'!$I$4:$I$1003&lt;&gt;"")),'Weekly Log'!$I$4:$I$1003),""))</f>
        <v/>
      </c>
    </row>
    <row r="143" customFormat="false" ht="15" hidden="false" customHeight="false" outlineLevel="0" collapsed="false">
      <c r="H143" s="16"/>
      <c r="J143" s="12" t="str">
        <f aca="false">IF(A143="","",COUNTIF('Weekly Log'!$C:$C,A143))</f>
        <v/>
      </c>
      <c r="K143" s="12" t="str">
        <f aca="false">IF(A143="","",COUNTIFS('Weekly Log'!$C:$C,A143,'Weekly Log'!$E:$E,"Yes"))</f>
        <v/>
      </c>
      <c r="L143" s="13" t="str">
        <f aca="false">IF(A143="","",IF(J143=0,"",K143/J143))</f>
        <v/>
      </c>
      <c r="M143" s="14" t="str">
        <f aca="false">IF(A143="","",IFERROR((SUMIFS('Weekly Log'!$F:$F,'Weekly Log'!$C:$C,A143)+SUMIFS('Weekly Log'!$G:$G,'Weekly Log'!$C:$C,A143))/(COUNTIFS('Weekly Log'!$C:$C,A143,'Weekly Log'!$F:$F,"&lt;&gt;")+COUNTIFS('Weekly Log'!$C:$C,A143,'Weekly Log'!$G:$G,"&lt;&gt;")),""))</f>
        <v/>
      </c>
      <c r="N143" s="15" t="str">
        <f aca="false">IF(A143="","",IF(K143=0,"",_xlfn.MAXIFS('Weekly Log'!$A:$A,'Weekly Log'!$C:$C,A143,'Weekly Log'!$E:$E,"Yes")))</f>
        <v/>
      </c>
      <c r="O143" s="12" t="str">
        <f aca="true">IF(N143="","",MAX(0,INT((TODAY()-N143)/7)))</f>
        <v/>
      </c>
      <c r="Q143" s="12" t="str">
        <f aca="false">IF(A143="","",IFERROR(LOOKUP(2,1/(('Weekly Log'!$C$4:$C$1003=A143)*('Weekly Log'!$I$4:$I$1003&lt;&gt;"")),'Weekly Log'!$I$4:$I$1003),""))</f>
        <v/>
      </c>
    </row>
    <row r="144" customFormat="false" ht="15" hidden="false" customHeight="false" outlineLevel="0" collapsed="false">
      <c r="H144" s="16"/>
      <c r="J144" s="12" t="str">
        <f aca="false">IF(A144="","",COUNTIF('Weekly Log'!$C:$C,A144))</f>
        <v/>
      </c>
      <c r="K144" s="12" t="str">
        <f aca="false">IF(A144="","",COUNTIFS('Weekly Log'!$C:$C,A144,'Weekly Log'!$E:$E,"Yes"))</f>
        <v/>
      </c>
      <c r="L144" s="13" t="str">
        <f aca="false">IF(A144="","",IF(J144=0,"",K144/J144))</f>
        <v/>
      </c>
      <c r="M144" s="14" t="str">
        <f aca="false">IF(A144="","",IFERROR((SUMIFS('Weekly Log'!$F:$F,'Weekly Log'!$C:$C,A144)+SUMIFS('Weekly Log'!$G:$G,'Weekly Log'!$C:$C,A144))/(COUNTIFS('Weekly Log'!$C:$C,A144,'Weekly Log'!$F:$F,"&lt;&gt;")+COUNTIFS('Weekly Log'!$C:$C,A144,'Weekly Log'!$G:$G,"&lt;&gt;")),""))</f>
        <v/>
      </c>
      <c r="N144" s="15" t="str">
        <f aca="false">IF(A144="","",IF(K144=0,"",_xlfn.MAXIFS('Weekly Log'!$A:$A,'Weekly Log'!$C:$C,A144,'Weekly Log'!$E:$E,"Yes")))</f>
        <v/>
      </c>
      <c r="O144" s="12" t="str">
        <f aca="true">IF(N144="","",MAX(0,INT((TODAY()-N144)/7)))</f>
        <v/>
      </c>
      <c r="Q144" s="12" t="str">
        <f aca="false">IF(A144="","",IFERROR(LOOKUP(2,1/(('Weekly Log'!$C$4:$C$1003=A144)*('Weekly Log'!$I$4:$I$1003&lt;&gt;"")),'Weekly Log'!$I$4:$I$1003),""))</f>
        <v/>
      </c>
    </row>
    <row r="145" customFormat="false" ht="15" hidden="false" customHeight="false" outlineLevel="0" collapsed="false">
      <c r="H145" s="16"/>
      <c r="J145" s="12" t="str">
        <f aca="false">IF(A145="","",COUNTIF('Weekly Log'!$C:$C,A145))</f>
        <v/>
      </c>
      <c r="K145" s="12" t="str">
        <f aca="false">IF(A145="","",COUNTIFS('Weekly Log'!$C:$C,A145,'Weekly Log'!$E:$E,"Yes"))</f>
        <v/>
      </c>
      <c r="L145" s="13" t="str">
        <f aca="false">IF(A145="","",IF(J145=0,"",K145/J145))</f>
        <v/>
      </c>
      <c r="M145" s="14" t="str">
        <f aca="false">IF(A145="","",IFERROR((SUMIFS('Weekly Log'!$F:$F,'Weekly Log'!$C:$C,A145)+SUMIFS('Weekly Log'!$G:$G,'Weekly Log'!$C:$C,A145))/(COUNTIFS('Weekly Log'!$C:$C,A145,'Weekly Log'!$F:$F,"&lt;&gt;")+COUNTIFS('Weekly Log'!$C:$C,A145,'Weekly Log'!$G:$G,"&lt;&gt;")),""))</f>
        <v/>
      </c>
      <c r="N145" s="15" t="str">
        <f aca="false">IF(A145="","",IF(K145=0,"",_xlfn.MAXIFS('Weekly Log'!$A:$A,'Weekly Log'!$C:$C,A145,'Weekly Log'!$E:$E,"Yes")))</f>
        <v/>
      </c>
      <c r="O145" s="12" t="str">
        <f aca="true">IF(N145="","",MAX(0,INT((TODAY()-N145)/7)))</f>
        <v/>
      </c>
      <c r="Q145" s="12" t="str">
        <f aca="false">IF(A145="","",IFERROR(LOOKUP(2,1/(('Weekly Log'!$C$4:$C$1003=A145)*('Weekly Log'!$I$4:$I$1003&lt;&gt;"")),'Weekly Log'!$I$4:$I$1003),""))</f>
        <v/>
      </c>
    </row>
    <row r="146" customFormat="false" ht="15" hidden="false" customHeight="false" outlineLevel="0" collapsed="false">
      <c r="H146" s="16"/>
      <c r="J146" s="12" t="str">
        <f aca="false">IF(A146="","",COUNTIF('Weekly Log'!$C:$C,A146))</f>
        <v/>
      </c>
      <c r="K146" s="12" t="str">
        <f aca="false">IF(A146="","",COUNTIFS('Weekly Log'!$C:$C,A146,'Weekly Log'!$E:$E,"Yes"))</f>
        <v/>
      </c>
      <c r="L146" s="13" t="str">
        <f aca="false">IF(A146="","",IF(J146=0,"",K146/J146))</f>
        <v/>
      </c>
      <c r="M146" s="14" t="str">
        <f aca="false">IF(A146="","",IFERROR((SUMIFS('Weekly Log'!$F:$F,'Weekly Log'!$C:$C,A146)+SUMIFS('Weekly Log'!$G:$G,'Weekly Log'!$C:$C,A146))/(COUNTIFS('Weekly Log'!$C:$C,A146,'Weekly Log'!$F:$F,"&lt;&gt;")+COUNTIFS('Weekly Log'!$C:$C,A146,'Weekly Log'!$G:$G,"&lt;&gt;")),""))</f>
        <v/>
      </c>
      <c r="N146" s="15" t="str">
        <f aca="false">IF(A146="","",IF(K146=0,"",_xlfn.MAXIFS('Weekly Log'!$A:$A,'Weekly Log'!$C:$C,A146,'Weekly Log'!$E:$E,"Yes")))</f>
        <v/>
      </c>
      <c r="O146" s="12" t="str">
        <f aca="true">IF(N146="","",MAX(0,INT((TODAY()-N146)/7)))</f>
        <v/>
      </c>
      <c r="Q146" s="12" t="str">
        <f aca="false">IF(A146="","",IFERROR(LOOKUP(2,1/(('Weekly Log'!$C$4:$C$1003=A146)*('Weekly Log'!$I$4:$I$1003&lt;&gt;"")),'Weekly Log'!$I$4:$I$1003),""))</f>
        <v/>
      </c>
    </row>
    <row r="147" customFormat="false" ht="15" hidden="false" customHeight="false" outlineLevel="0" collapsed="false">
      <c r="H147" s="16"/>
      <c r="J147" s="12" t="str">
        <f aca="false">IF(A147="","",COUNTIF('Weekly Log'!$C:$C,A147))</f>
        <v/>
      </c>
      <c r="K147" s="12" t="str">
        <f aca="false">IF(A147="","",COUNTIFS('Weekly Log'!$C:$C,A147,'Weekly Log'!$E:$E,"Yes"))</f>
        <v/>
      </c>
      <c r="L147" s="13" t="str">
        <f aca="false">IF(A147="","",IF(J147=0,"",K147/J147))</f>
        <v/>
      </c>
      <c r="M147" s="14" t="str">
        <f aca="false">IF(A147="","",IFERROR((SUMIFS('Weekly Log'!$F:$F,'Weekly Log'!$C:$C,A147)+SUMIFS('Weekly Log'!$G:$G,'Weekly Log'!$C:$C,A147))/(COUNTIFS('Weekly Log'!$C:$C,A147,'Weekly Log'!$F:$F,"&lt;&gt;")+COUNTIFS('Weekly Log'!$C:$C,A147,'Weekly Log'!$G:$G,"&lt;&gt;")),""))</f>
        <v/>
      </c>
      <c r="N147" s="15" t="str">
        <f aca="false">IF(A147="","",IF(K147=0,"",_xlfn.MAXIFS('Weekly Log'!$A:$A,'Weekly Log'!$C:$C,A147,'Weekly Log'!$E:$E,"Yes")))</f>
        <v/>
      </c>
      <c r="O147" s="12" t="str">
        <f aca="true">IF(N147="","",MAX(0,INT((TODAY()-N147)/7)))</f>
        <v/>
      </c>
      <c r="Q147" s="12" t="str">
        <f aca="false">IF(A147="","",IFERROR(LOOKUP(2,1/(('Weekly Log'!$C$4:$C$1003=A147)*('Weekly Log'!$I$4:$I$1003&lt;&gt;"")),'Weekly Log'!$I$4:$I$1003),""))</f>
        <v/>
      </c>
    </row>
    <row r="148" customFormat="false" ht="15" hidden="false" customHeight="false" outlineLevel="0" collapsed="false">
      <c r="H148" s="16"/>
      <c r="J148" s="12" t="str">
        <f aca="false">IF(A148="","",COUNTIF('Weekly Log'!$C:$C,A148))</f>
        <v/>
      </c>
      <c r="K148" s="12" t="str">
        <f aca="false">IF(A148="","",COUNTIFS('Weekly Log'!$C:$C,A148,'Weekly Log'!$E:$E,"Yes"))</f>
        <v/>
      </c>
      <c r="L148" s="13" t="str">
        <f aca="false">IF(A148="","",IF(J148=0,"",K148/J148))</f>
        <v/>
      </c>
      <c r="M148" s="14" t="str">
        <f aca="false">IF(A148="","",IFERROR((SUMIFS('Weekly Log'!$F:$F,'Weekly Log'!$C:$C,A148)+SUMIFS('Weekly Log'!$G:$G,'Weekly Log'!$C:$C,A148))/(COUNTIFS('Weekly Log'!$C:$C,A148,'Weekly Log'!$F:$F,"&lt;&gt;")+COUNTIFS('Weekly Log'!$C:$C,A148,'Weekly Log'!$G:$G,"&lt;&gt;")),""))</f>
        <v/>
      </c>
      <c r="N148" s="15" t="str">
        <f aca="false">IF(A148="","",IF(K148=0,"",_xlfn.MAXIFS('Weekly Log'!$A:$A,'Weekly Log'!$C:$C,A148,'Weekly Log'!$E:$E,"Yes")))</f>
        <v/>
      </c>
      <c r="O148" s="12" t="str">
        <f aca="true">IF(N148="","",MAX(0,INT((TODAY()-N148)/7)))</f>
        <v/>
      </c>
      <c r="Q148" s="12" t="str">
        <f aca="false">IF(A148="","",IFERROR(LOOKUP(2,1/(('Weekly Log'!$C$4:$C$1003=A148)*('Weekly Log'!$I$4:$I$1003&lt;&gt;"")),'Weekly Log'!$I$4:$I$1003),""))</f>
        <v/>
      </c>
    </row>
    <row r="149" customFormat="false" ht="15" hidden="false" customHeight="false" outlineLevel="0" collapsed="false">
      <c r="H149" s="16"/>
      <c r="J149" s="12" t="str">
        <f aca="false">IF(A149="","",COUNTIF('Weekly Log'!$C:$C,A149))</f>
        <v/>
      </c>
      <c r="K149" s="12" t="str">
        <f aca="false">IF(A149="","",COUNTIFS('Weekly Log'!$C:$C,A149,'Weekly Log'!$E:$E,"Yes"))</f>
        <v/>
      </c>
      <c r="L149" s="13" t="str">
        <f aca="false">IF(A149="","",IF(J149=0,"",K149/J149))</f>
        <v/>
      </c>
      <c r="M149" s="14" t="str">
        <f aca="false">IF(A149="","",IFERROR((SUMIFS('Weekly Log'!$F:$F,'Weekly Log'!$C:$C,A149)+SUMIFS('Weekly Log'!$G:$G,'Weekly Log'!$C:$C,A149))/(COUNTIFS('Weekly Log'!$C:$C,A149,'Weekly Log'!$F:$F,"&lt;&gt;")+COUNTIFS('Weekly Log'!$C:$C,A149,'Weekly Log'!$G:$G,"&lt;&gt;")),""))</f>
        <v/>
      </c>
      <c r="N149" s="15" t="str">
        <f aca="false">IF(A149="","",IF(K149=0,"",_xlfn.MAXIFS('Weekly Log'!$A:$A,'Weekly Log'!$C:$C,A149,'Weekly Log'!$E:$E,"Yes")))</f>
        <v/>
      </c>
      <c r="O149" s="12" t="str">
        <f aca="true">IF(N149="","",MAX(0,INT((TODAY()-N149)/7)))</f>
        <v/>
      </c>
      <c r="Q149" s="12" t="str">
        <f aca="false">IF(A149="","",IFERROR(LOOKUP(2,1/(('Weekly Log'!$C$4:$C$1003=A149)*('Weekly Log'!$I$4:$I$1003&lt;&gt;"")),'Weekly Log'!$I$4:$I$1003),""))</f>
        <v/>
      </c>
    </row>
    <row r="150" customFormat="false" ht="15" hidden="false" customHeight="false" outlineLevel="0" collapsed="false">
      <c r="H150" s="16"/>
      <c r="J150" s="12" t="str">
        <f aca="false">IF(A150="","",COUNTIF('Weekly Log'!$C:$C,A150))</f>
        <v/>
      </c>
      <c r="K150" s="12" t="str">
        <f aca="false">IF(A150="","",COUNTIFS('Weekly Log'!$C:$C,A150,'Weekly Log'!$E:$E,"Yes"))</f>
        <v/>
      </c>
      <c r="L150" s="13" t="str">
        <f aca="false">IF(A150="","",IF(J150=0,"",K150/J150))</f>
        <v/>
      </c>
      <c r="M150" s="14" t="str">
        <f aca="false">IF(A150="","",IFERROR((SUMIFS('Weekly Log'!$F:$F,'Weekly Log'!$C:$C,A150)+SUMIFS('Weekly Log'!$G:$G,'Weekly Log'!$C:$C,A150))/(COUNTIFS('Weekly Log'!$C:$C,A150,'Weekly Log'!$F:$F,"&lt;&gt;")+COUNTIFS('Weekly Log'!$C:$C,A150,'Weekly Log'!$G:$G,"&lt;&gt;")),""))</f>
        <v/>
      </c>
      <c r="N150" s="15" t="str">
        <f aca="false">IF(A150="","",IF(K150=0,"",_xlfn.MAXIFS('Weekly Log'!$A:$A,'Weekly Log'!$C:$C,A150,'Weekly Log'!$E:$E,"Yes")))</f>
        <v/>
      </c>
      <c r="O150" s="12" t="str">
        <f aca="true">IF(N150="","",MAX(0,INT((TODAY()-N150)/7)))</f>
        <v/>
      </c>
      <c r="Q150" s="12" t="str">
        <f aca="false">IF(A150="","",IFERROR(LOOKUP(2,1/(('Weekly Log'!$C$4:$C$1003=A150)*('Weekly Log'!$I$4:$I$1003&lt;&gt;"")),'Weekly Log'!$I$4:$I$1003),""))</f>
        <v/>
      </c>
    </row>
    <row r="151" customFormat="false" ht="15" hidden="false" customHeight="false" outlineLevel="0" collapsed="false">
      <c r="H151" s="16"/>
      <c r="J151" s="12" t="str">
        <f aca="false">IF(A151="","",COUNTIF('Weekly Log'!$C:$C,A151))</f>
        <v/>
      </c>
      <c r="K151" s="12" t="str">
        <f aca="false">IF(A151="","",COUNTIFS('Weekly Log'!$C:$C,A151,'Weekly Log'!$E:$E,"Yes"))</f>
        <v/>
      </c>
      <c r="L151" s="13" t="str">
        <f aca="false">IF(A151="","",IF(J151=0,"",K151/J151))</f>
        <v/>
      </c>
      <c r="M151" s="14" t="str">
        <f aca="false">IF(A151="","",IFERROR((SUMIFS('Weekly Log'!$F:$F,'Weekly Log'!$C:$C,A151)+SUMIFS('Weekly Log'!$G:$G,'Weekly Log'!$C:$C,A151))/(COUNTIFS('Weekly Log'!$C:$C,A151,'Weekly Log'!$F:$F,"&lt;&gt;")+COUNTIFS('Weekly Log'!$C:$C,A151,'Weekly Log'!$G:$G,"&lt;&gt;")),""))</f>
        <v/>
      </c>
      <c r="N151" s="15" t="str">
        <f aca="false">IF(A151="","",IF(K151=0,"",_xlfn.MAXIFS('Weekly Log'!$A:$A,'Weekly Log'!$C:$C,A151,'Weekly Log'!$E:$E,"Yes")))</f>
        <v/>
      </c>
      <c r="O151" s="12" t="str">
        <f aca="true">IF(N151="","",MAX(0,INT((TODAY()-N151)/7)))</f>
        <v/>
      </c>
      <c r="Q151" s="12" t="str">
        <f aca="false">IF(A151="","",IFERROR(LOOKUP(2,1/(('Weekly Log'!$C$4:$C$1003=A151)*('Weekly Log'!$I$4:$I$1003&lt;&gt;"")),'Weekly Log'!$I$4:$I$1003),""))</f>
        <v/>
      </c>
    </row>
    <row r="152" customFormat="false" ht="15" hidden="false" customHeight="false" outlineLevel="0" collapsed="false">
      <c r="H152" s="16"/>
      <c r="J152" s="12" t="str">
        <f aca="false">IF(A152="","",COUNTIF('Weekly Log'!$C:$C,A152))</f>
        <v/>
      </c>
      <c r="K152" s="12" t="str">
        <f aca="false">IF(A152="","",COUNTIFS('Weekly Log'!$C:$C,A152,'Weekly Log'!$E:$E,"Yes"))</f>
        <v/>
      </c>
      <c r="L152" s="13" t="str">
        <f aca="false">IF(A152="","",IF(J152=0,"",K152/J152))</f>
        <v/>
      </c>
      <c r="M152" s="14" t="str">
        <f aca="false">IF(A152="","",IFERROR((SUMIFS('Weekly Log'!$F:$F,'Weekly Log'!$C:$C,A152)+SUMIFS('Weekly Log'!$G:$G,'Weekly Log'!$C:$C,A152))/(COUNTIFS('Weekly Log'!$C:$C,A152,'Weekly Log'!$F:$F,"&lt;&gt;")+COUNTIFS('Weekly Log'!$C:$C,A152,'Weekly Log'!$G:$G,"&lt;&gt;")),""))</f>
        <v/>
      </c>
      <c r="N152" s="15" t="str">
        <f aca="false">IF(A152="","",IF(K152=0,"",_xlfn.MAXIFS('Weekly Log'!$A:$A,'Weekly Log'!$C:$C,A152,'Weekly Log'!$E:$E,"Yes")))</f>
        <v/>
      </c>
      <c r="O152" s="12" t="str">
        <f aca="true">IF(N152="","",MAX(0,INT((TODAY()-N152)/7)))</f>
        <v/>
      </c>
      <c r="Q152" s="12" t="str">
        <f aca="false">IF(A152="","",IFERROR(LOOKUP(2,1/(('Weekly Log'!$C$4:$C$1003=A152)*('Weekly Log'!$I$4:$I$1003&lt;&gt;"")),'Weekly Log'!$I$4:$I$1003),""))</f>
        <v/>
      </c>
    </row>
    <row r="153" customFormat="false" ht="15" hidden="false" customHeight="false" outlineLevel="0" collapsed="false">
      <c r="H153" s="16"/>
      <c r="J153" s="12" t="str">
        <f aca="false">IF(A153="","",COUNTIF('Weekly Log'!$C:$C,A153))</f>
        <v/>
      </c>
      <c r="K153" s="12" t="str">
        <f aca="false">IF(A153="","",COUNTIFS('Weekly Log'!$C:$C,A153,'Weekly Log'!$E:$E,"Yes"))</f>
        <v/>
      </c>
      <c r="L153" s="13" t="str">
        <f aca="false">IF(A153="","",IF(J153=0,"",K153/J153))</f>
        <v/>
      </c>
      <c r="M153" s="14" t="str">
        <f aca="false">IF(A153="","",IFERROR((SUMIFS('Weekly Log'!$F:$F,'Weekly Log'!$C:$C,A153)+SUMIFS('Weekly Log'!$G:$G,'Weekly Log'!$C:$C,A153))/(COUNTIFS('Weekly Log'!$C:$C,A153,'Weekly Log'!$F:$F,"&lt;&gt;")+COUNTIFS('Weekly Log'!$C:$C,A153,'Weekly Log'!$G:$G,"&lt;&gt;")),""))</f>
        <v/>
      </c>
      <c r="N153" s="15" t="str">
        <f aca="false">IF(A153="","",IF(K153=0,"",_xlfn.MAXIFS('Weekly Log'!$A:$A,'Weekly Log'!$C:$C,A153,'Weekly Log'!$E:$E,"Yes")))</f>
        <v/>
      </c>
      <c r="O153" s="12" t="str">
        <f aca="true">IF(N153="","",MAX(0,INT((TODAY()-N153)/7)))</f>
        <v/>
      </c>
      <c r="Q153" s="12" t="str">
        <f aca="false">IF(A153="","",IFERROR(LOOKUP(2,1/(('Weekly Log'!$C$4:$C$1003=A153)*('Weekly Log'!$I$4:$I$1003&lt;&gt;"")),'Weekly Log'!$I$4:$I$1003),""))</f>
        <v/>
      </c>
    </row>
    <row r="154" customFormat="false" ht="15" hidden="false" customHeight="false" outlineLevel="0" collapsed="false">
      <c r="H154" s="16"/>
      <c r="J154" s="12" t="str">
        <f aca="false">IF(A154="","",COUNTIF('Weekly Log'!$C:$C,A154))</f>
        <v/>
      </c>
      <c r="K154" s="12" t="str">
        <f aca="false">IF(A154="","",COUNTIFS('Weekly Log'!$C:$C,A154,'Weekly Log'!$E:$E,"Yes"))</f>
        <v/>
      </c>
      <c r="L154" s="13" t="str">
        <f aca="false">IF(A154="","",IF(J154=0,"",K154/J154))</f>
        <v/>
      </c>
      <c r="M154" s="14" t="str">
        <f aca="false">IF(A154="","",IFERROR((SUMIFS('Weekly Log'!$F:$F,'Weekly Log'!$C:$C,A154)+SUMIFS('Weekly Log'!$G:$G,'Weekly Log'!$C:$C,A154))/(COUNTIFS('Weekly Log'!$C:$C,A154,'Weekly Log'!$F:$F,"&lt;&gt;")+COUNTIFS('Weekly Log'!$C:$C,A154,'Weekly Log'!$G:$G,"&lt;&gt;")),""))</f>
        <v/>
      </c>
      <c r="N154" s="15" t="str">
        <f aca="false">IF(A154="","",IF(K154=0,"",_xlfn.MAXIFS('Weekly Log'!$A:$A,'Weekly Log'!$C:$C,A154,'Weekly Log'!$E:$E,"Yes")))</f>
        <v/>
      </c>
      <c r="O154" s="12" t="str">
        <f aca="true">IF(N154="","",MAX(0,INT((TODAY()-N154)/7)))</f>
        <v/>
      </c>
      <c r="Q154" s="12" t="str">
        <f aca="false">IF(A154="","",IFERROR(LOOKUP(2,1/(('Weekly Log'!$C$4:$C$1003=A154)*('Weekly Log'!$I$4:$I$1003&lt;&gt;"")),'Weekly Log'!$I$4:$I$1003),""))</f>
        <v/>
      </c>
    </row>
    <row r="155" customFormat="false" ht="15" hidden="false" customHeight="false" outlineLevel="0" collapsed="false">
      <c r="H155" s="16"/>
      <c r="J155" s="12" t="str">
        <f aca="false">IF(A155="","",COUNTIF('Weekly Log'!$C:$C,A155))</f>
        <v/>
      </c>
      <c r="K155" s="12" t="str">
        <f aca="false">IF(A155="","",COUNTIFS('Weekly Log'!$C:$C,A155,'Weekly Log'!$E:$E,"Yes"))</f>
        <v/>
      </c>
      <c r="L155" s="13" t="str">
        <f aca="false">IF(A155="","",IF(J155=0,"",K155/J155))</f>
        <v/>
      </c>
      <c r="M155" s="14" t="str">
        <f aca="false">IF(A155="","",IFERROR((SUMIFS('Weekly Log'!$F:$F,'Weekly Log'!$C:$C,A155)+SUMIFS('Weekly Log'!$G:$G,'Weekly Log'!$C:$C,A155))/(COUNTIFS('Weekly Log'!$C:$C,A155,'Weekly Log'!$F:$F,"&lt;&gt;")+COUNTIFS('Weekly Log'!$C:$C,A155,'Weekly Log'!$G:$G,"&lt;&gt;")),""))</f>
        <v/>
      </c>
      <c r="N155" s="15" t="str">
        <f aca="false">IF(A155="","",IF(K155=0,"",_xlfn.MAXIFS('Weekly Log'!$A:$A,'Weekly Log'!$C:$C,A155,'Weekly Log'!$E:$E,"Yes")))</f>
        <v/>
      </c>
      <c r="O155" s="12" t="str">
        <f aca="true">IF(N155="","",MAX(0,INT((TODAY()-N155)/7)))</f>
        <v/>
      </c>
      <c r="Q155" s="12" t="str">
        <f aca="false">IF(A155="","",IFERROR(LOOKUP(2,1/(('Weekly Log'!$C$4:$C$1003=A155)*('Weekly Log'!$I$4:$I$1003&lt;&gt;"")),'Weekly Log'!$I$4:$I$1003),""))</f>
        <v/>
      </c>
    </row>
    <row r="156" customFormat="false" ht="15" hidden="false" customHeight="false" outlineLevel="0" collapsed="false">
      <c r="H156" s="16"/>
      <c r="J156" s="12" t="str">
        <f aca="false">IF(A156="","",COUNTIF('Weekly Log'!$C:$C,A156))</f>
        <v/>
      </c>
      <c r="K156" s="12" t="str">
        <f aca="false">IF(A156="","",COUNTIFS('Weekly Log'!$C:$C,A156,'Weekly Log'!$E:$E,"Yes"))</f>
        <v/>
      </c>
      <c r="L156" s="13" t="str">
        <f aca="false">IF(A156="","",IF(J156=0,"",K156/J156))</f>
        <v/>
      </c>
      <c r="M156" s="14" t="str">
        <f aca="false">IF(A156="","",IFERROR((SUMIFS('Weekly Log'!$F:$F,'Weekly Log'!$C:$C,A156)+SUMIFS('Weekly Log'!$G:$G,'Weekly Log'!$C:$C,A156))/(COUNTIFS('Weekly Log'!$C:$C,A156,'Weekly Log'!$F:$F,"&lt;&gt;")+COUNTIFS('Weekly Log'!$C:$C,A156,'Weekly Log'!$G:$G,"&lt;&gt;")),""))</f>
        <v/>
      </c>
      <c r="N156" s="15" t="str">
        <f aca="false">IF(A156="","",IF(K156=0,"",_xlfn.MAXIFS('Weekly Log'!$A:$A,'Weekly Log'!$C:$C,A156,'Weekly Log'!$E:$E,"Yes")))</f>
        <v/>
      </c>
      <c r="O156" s="12" t="str">
        <f aca="true">IF(N156="","",MAX(0,INT((TODAY()-N156)/7)))</f>
        <v/>
      </c>
      <c r="Q156" s="12" t="str">
        <f aca="false">IF(A156="","",IFERROR(LOOKUP(2,1/(('Weekly Log'!$C$4:$C$1003=A156)*('Weekly Log'!$I$4:$I$1003&lt;&gt;"")),'Weekly Log'!$I$4:$I$1003),""))</f>
        <v/>
      </c>
    </row>
    <row r="157" customFormat="false" ht="15" hidden="false" customHeight="false" outlineLevel="0" collapsed="false">
      <c r="H157" s="16"/>
      <c r="J157" s="12" t="str">
        <f aca="false">IF(A157="","",COUNTIF('Weekly Log'!$C:$C,A157))</f>
        <v/>
      </c>
      <c r="K157" s="12" t="str">
        <f aca="false">IF(A157="","",COUNTIFS('Weekly Log'!$C:$C,A157,'Weekly Log'!$E:$E,"Yes"))</f>
        <v/>
      </c>
      <c r="L157" s="13" t="str">
        <f aca="false">IF(A157="","",IF(J157=0,"",K157/J157))</f>
        <v/>
      </c>
      <c r="M157" s="14" t="str">
        <f aca="false">IF(A157="","",IFERROR((SUMIFS('Weekly Log'!$F:$F,'Weekly Log'!$C:$C,A157)+SUMIFS('Weekly Log'!$G:$G,'Weekly Log'!$C:$C,A157))/(COUNTIFS('Weekly Log'!$C:$C,A157,'Weekly Log'!$F:$F,"&lt;&gt;")+COUNTIFS('Weekly Log'!$C:$C,A157,'Weekly Log'!$G:$G,"&lt;&gt;")),""))</f>
        <v/>
      </c>
      <c r="N157" s="15" t="str">
        <f aca="false">IF(A157="","",IF(K157=0,"",_xlfn.MAXIFS('Weekly Log'!$A:$A,'Weekly Log'!$C:$C,A157,'Weekly Log'!$E:$E,"Yes")))</f>
        <v/>
      </c>
      <c r="O157" s="12" t="str">
        <f aca="true">IF(N157="","",MAX(0,INT((TODAY()-N157)/7)))</f>
        <v/>
      </c>
      <c r="Q157" s="12" t="str">
        <f aca="false">IF(A157="","",IFERROR(LOOKUP(2,1/(('Weekly Log'!$C$4:$C$1003=A157)*('Weekly Log'!$I$4:$I$1003&lt;&gt;"")),'Weekly Log'!$I$4:$I$1003),""))</f>
        <v/>
      </c>
    </row>
    <row r="158" customFormat="false" ht="15" hidden="false" customHeight="false" outlineLevel="0" collapsed="false">
      <c r="H158" s="16"/>
      <c r="J158" s="12" t="str">
        <f aca="false">IF(A158="","",COUNTIF('Weekly Log'!$C:$C,A158))</f>
        <v/>
      </c>
      <c r="K158" s="12" t="str">
        <f aca="false">IF(A158="","",COUNTIFS('Weekly Log'!$C:$C,A158,'Weekly Log'!$E:$E,"Yes"))</f>
        <v/>
      </c>
      <c r="L158" s="13" t="str">
        <f aca="false">IF(A158="","",IF(J158=0,"",K158/J158))</f>
        <v/>
      </c>
      <c r="M158" s="14" t="str">
        <f aca="false">IF(A158="","",IFERROR((SUMIFS('Weekly Log'!$F:$F,'Weekly Log'!$C:$C,A158)+SUMIFS('Weekly Log'!$G:$G,'Weekly Log'!$C:$C,A158))/(COUNTIFS('Weekly Log'!$C:$C,A158,'Weekly Log'!$F:$F,"&lt;&gt;")+COUNTIFS('Weekly Log'!$C:$C,A158,'Weekly Log'!$G:$G,"&lt;&gt;")),""))</f>
        <v/>
      </c>
      <c r="N158" s="15" t="str">
        <f aca="false">IF(A158="","",IF(K158=0,"",_xlfn.MAXIFS('Weekly Log'!$A:$A,'Weekly Log'!$C:$C,A158,'Weekly Log'!$E:$E,"Yes")))</f>
        <v/>
      </c>
      <c r="O158" s="12" t="str">
        <f aca="true">IF(N158="","",MAX(0,INT((TODAY()-N158)/7)))</f>
        <v/>
      </c>
      <c r="Q158" s="12" t="str">
        <f aca="false">IF(A158="","",IFERROR(LOOKUP(2,1/(('Weekly Log'!$C$4:$C$1003=A158)*('Weekly Log'!$I$4:$I$1003&lt;&gt;"")),'Weekly Log'!$I$4:$I$1003),""))</f>
        <v/>
      </c>
    </row>
    <row r="159" customFormat="false" ht="15" hidden="false" customHeight="false" outlineLevel="0" collapsed="false">
      <c r="H159" s="16"/>
      <c r="J159" s="12" t="str">
        <f aca="false">IF(A159="","",COUNTIF('Weekly Log'!$C:$C,A159))</f>
        <v/>
      </c>
      <c r="K159" s="12" t="str">
        <f aca="false">IF(A159="","",COUNTIFS('Weekly Log'!$C:$C,A159,'Weekly Log'!$E:$E,"Yes"))</f>
        <v/>
      </c>
      <c r="L159" s="13" t="str">
        <f aca="false">IF(A159="","",IF(J159=0,"",K159/J159))</f>
        <v/>
      </c>
      <c r="M159" s="14" t="str">
        <f aca="false">IF(A159="","",IFERROR((SUMIFS('Weekly Log'!$F:$F,'Weekly Log'!$C:$C,A159)+SUMIFS('Weekly Log'!$G:$G,'Weekly Log'!$C:$C,A159))/(COUNTIFS('Weekly Log'!$C:$C,A159,'Weekly Log'!$F:$F,"&lt;&gt;")+COUNTIFS('Weekly Log'!$C:$C,A159,'Weekly Log'!$G:$G,"&lt;&gt;")),""))</f>
        <v/>
      </c>
      <c r="N159" s="15" t="str">
        <f aca="false">IF(A159="","",IF(K159=0,"",_xlfn.MAXIFS('Weekly Log'!$A:$A,'Weekly Log'!$C:$C,A159,'Weekly Log'!$E:$E,"Yes")))</f>
        <v/>
      </c>
      <c r="O159" s="12" t="str">
        <f aca="true">IF(N159="","",MAX(0,INT((TODAY()-N159)/7)))</f>
        <v/>
      </c>
      <c r="Q159" s="12" t="str">
        <f aca="false">IF(A159="","",IFERROR(LOOKUP(2,1/(('Weekly Log'!$C$4:$C$1003=A159)*('Weekly Log'!$I$4:$I$1003&lt;&gt;"")),'Weekly Log'!$I$4:$I$1003),""))</f>
        <v/>
      </c>
    </row>
    <row r="160" customFormat="false" ht="15" hidden="false" customHeight="false" outlineLevel="0" collapsed="false">
      <c r="H160" s="16"/>
      <c r="J160" s="12" t="str">
        <f aca="false">IF(A160="","",COUNTIF('Weekly Log'!$C:$C,A160))</f>
        <v/>
      </c>
      <c r="K160" s="12" t="str">
        <f aca="false">IF(A160="","",COUNTIFS('Weekly Log'!$C:$C,A160,'Weekly Log'!$E:$E,"Yes"))</f>
        <v/>
      </c>
      <c r="L160" s="13" t="str">
        <f aca="false">IF(A160="","",IF(J160=0,"",K160/J160))</f>
        <v/>
      </c>
      <c r="M160" s="14" t="str">
        <f aca="false">IF(A160="","",IFERROR((SUMIFS('Weekly Log'!$F:$F,'Weekly Log'!$C:$C,A160)+SUMIFS('Weekly Log'!$G:$G,'Weekly Log'!$C:$C,A160))/(COUNTIFS('Weekly Log'!$C:$C,A160,'Weekly Log'!$F:$F,"&lt;&gt;")+COUNTIFS('Weekly Log'!$C:$C,A160,'Weekly Log'!$G:$G,"&lt;&gt;")),""))</f>
        <v/>
      </c>
      <c r="N160" s="15" t="str">
        <f aca="false">IF(A160="","",IF(K160=0,"",_xlfn.MAXIFS('Weekly Log'!$A:$A,'Weekly Log'!$C:$C,A160,'Weekly Log'!$E:$E,"Yes")))</f>
        <v/>
      </c>
      <c r="O160" s="12" t="str">
        <f aca="true">IF(N160="","",MAX(0,INT((TODAY()-N160)/7)))</f>
        <v/>
      </c>
      <c r="Q160" s="12" t="str">
        <f aca="false">IF(A160="","",IFERROR(LOOKUP(2,1/(('Weekly Log'!$C$4:$C$1003=A160)*('Weekly Log'!$I$4:$I$1003&lt;&gt;"")),'Weekly Log'!$I$4:$I$1003),""))</f>
        <v/>
      </c>
    </row>
    <row r="161" customFormat="false" ht="15" hidden="false" customHeight="false" outlineLevel="0" collapsed="false">
      <c r="H161" s="16"/>
      <c r="J161" s="12" t="str">
        <f aca="false">IF(A161="","",COUNTIF('Weekly Log'!$C:$C,A161))</f>
        <v/>
      </c>
      <c r="K161" s="12" t="str">
        <f aca="false">IF(A161="","",COUNTIFS('Weekly Log'!$C:$C,A161,'Weekly Log'!$E:$E,"Yes"))</f>
        <v/>
      </c>
      <c r="L161" s="13" t="str">
        <f aca="false">IF(A161="","",IF(J161=0,"",K161/J161))</f>
        <v/>
      </c>
      <c r="M161" s="14" t="str">
        <f aca="false">IF(A161="","",IFERROR((SUMIFS('Weekly Log'!$F:$F,'Weekly Log'!$C:$C,A161)+SUMIFS('Weekly Log'!$G:$G,'Weekly Log'!$C:$C,A161))/(COUNTIFS('Weekly Log'!$C:$C,A161,'Weekly Log'!$F:$F,"&lt;&gt;")+COUNTIFS('Weekly Log'!$C:$C,A161,'Weekly Log'!$G:$G,"&lt;&gt;")),""))</f>
        <v/>
      </c>
      <c r="N161" s="15" t="str">
        <f aca="false">IF(A161="","",IF(K161=0,"",_xlfn.MAXIFS('Weekly Log'!$A:$A,'Weekly Log'!$C:$C,A161,'Weekly Log'!$E:$E,"Yes")))</f>
        <v/>
      </c>
      <c r="O161" s="12" t="str">
        <f aca="true">IF(N161="","",MAX(0,INT((TODAY()-N161)/7)))</f>
        <v/>
      </c>
      <c r="Q161" s="12" t="str">
        <f aca="false">IF(A161="","",IFERROR(LOOKUP(2,1/(('Weekly Log'!$C$4:$C$1003=A161)*('Weekly Log'!$I$4:$I$1003&lt;&gt;"")),'Weekly Log'!$I$4:$I$1003),""))</f>
        <v/>
      </c>
    </row>
    <row r="162" customFormat="false" ht="15" hidden="false" customHeight="false" outlineLevel="0" collapsed="false">
      <c r="H162" s="16"/>
      <c r="J162" s="12" t="str">
        <f aca="false">IF(A162="","",COUNTIF('Weekly Log'!$C:$C,A162))</f>
        <v/>
      </c>
      <c r="K162" s="12" t="str">
        <f aca="false">IF(A162="","",COUNTIFS('Weekly Log'!$C:$C,A162,'Weekly Log'!$E:$E,"Yes"))</f>
        <v/>
      </c>
      <c r="L162" s="13" t="str">
        <f aca="false">IF(A162="","",IF(J162=0,"",K162/J162))</f>
        <v/>
      </c>
      <c r="M162" s="14" t="str">
        <f aca="false">IF(A162="","",IFERROR((SUMIFS('Weekly Log'!$F:$F,'Weekly Log'!$C:$C,A162)+SUMIFS('Weekly Log'!$G:$G,'Weekly Log'!$C:$C,A162))/(COUNTIFS('Weekly Log'!$C:$C,A162,'Weekly Log'!$F:$F,"&lt;&gt;")+COUNTIFS('Weekly Log'!$C:$C,A162,'Weekly Log'!$G:$G,"&lt;&gt;")),""))</f>
        <v/>
      </c>
      <c r="N162" s="15" t="str">
        <f aca="false">IF(A162="","",IF(K162=0,"",_xlfn.MAXIFS('Weekly Log'!$A:$A,'Weekly Log'!$C:$C,A162,'Weekly Log'!$E:$E,"Yes")))</f>
        <v/>
      </c>
      <c r="O162" s="12" t="str">
        <f aca="true">IF(N162="","",MAX(0,INT((TODAY()-N162)/7)))</f>
        <v/>
      </c>
      <c r="Q162" s="12" t="str">
        <f aca="false">IF(A162="","",IFERROR(LOOKUP(2,1/(('Weekly Log'!$C$4:$C$1003=A162)*('Weekly Log'!$I$4:$I$1003&lt;&gt;"")),'Weekly Log'!$I$4:$I$1003),""))</f>
        <v/>
      </c>
    </row>
    <row r="163" customFormat="false" ht="15" hidden="false" customHeight="false" outlineLevel="0" collapsed="false">
      <c r="H163" s="16"/>
      <c r="J163" s="12" t="str">
        <f aca="false">IF(A163="","",COUNTIF('Weekly Log'!$C:$C,A163))</f>
        <v/>
      </c>
      <c r="K163" s="12" t="str">
        <f aca="false">IF(A163="","",COUNTIFS('Weekly Log'!$C:$C,A163,'Weekly Log'!$E:$E,"Yes"))</f>
        <v/>
      </c>
      <c r="L163" s="13" t="str">
        <f aca="false">IF(A163="","",IF(J163=0,"",K163/J163))</f>
        <v/>
      </c>
      <c r="M163" s="14" t="str">
        <f aca="false">IF(A163="","",IFERROR((SUMIFS('Weekly Log'!$F:$F,'Weekly Log'!$C:$C,A163)+SUMIFS('Weekly Log'!$G:$G,'Weekly Log'!$C:$C,A163))/(COUNTIFS('Weekly Log'!$C:$C,A163,'Weekly Log'!$F:$F,"&lt;&gt;")+COUNTIFS('Weekly Log'!$C:$C,A163,'Weekly Log'!$G:$G,"&lt;&gt;")),""))</f>
        <v/>
      </c>
      <c r="N163" s="15" t="str">
        <f aca="false">IF(A163="","",IF(K163=0,"",_xlfn.MAXIFS('Weekly Log'!$A:$A,'Weekly Log'!$C:$C,A163,'Weekly Log'!$E:$E,"Yes")))</f>
        <v/>
      </c>
      <c r="O163" s="12" t="str">
        <f aca="true">IF(N163="","",MAX(0,INT((TODAY()-N163)/7)))</f>
        <v/>
      </c>
      <c r="Q163" s="12" t="str">
        <f aca="false">IF(A163="","",IFERROR(LOOKUP(2,1/(('Weekly Log'!$C$4:$C$1003=A163)*('Weekly Log'!$I$4:$I$1003&lt;&gt;"")),'Weekly Log'!$I$4:$I$1003),""))</f>
        <v/>
      </c>
    </row>
    <row r="164" customFormat="false" ht="15" hidden="false" customHeight="false" outlineLevel="0" collapsed="false">
      <c r="H164" s="16"/>
      <c r="J164" s="12" t="str">
        <f aca="false">IF(A164="","",COUNTIF('Weekly Log'!$C:$C,A164))</f>
        <v/>
      </c>
      <c r="K164" s="12" t="str">
        <f aca="false">IF(A164="","",COUNTIFS('Weekly Log'!$C:$C,A164,'Weekly Log'!$E:$E,"Yes"))</f>
        <v/>
      </c>
      <c r="L164" s="13" t="str">
        <f aca="false">IF(A164="","",IF(J164=0,"",K164/J164))</f>
        <v/>
      </c>
      <c r="M164" s="14" t="str">
        <f aca="false">IF(A164="","",IFERROR((SUMIFS('Weekly Log'!$F:$F,'Weekly Log'!$C:$C,A164)+SUMIFS('Weekly Log'!$G:$G,'Weekly Log'!$C:$C,A164))/(COUNTIFS('Weekly Log'!$C:$C,A164,'Weekly Log'!$F:$F,"&lt;&gt;")+COUNTIFS('Weekly Log'!$C:$C,A164,'Weekly Log'!$G:$G,"&lt;&gt;")),""))</f>
        <v/>
      </c>
      <c r="N164" s="15" t="str">
        <f aca="false">IF(A164="","",IF(K164=0,"",_xlfn.MAXIFS('Weekly Log'!$A:$A,'Weekly Log'!$C:$C,A164,'Weekly Log'!$E:$E,"Yes")))</f>
        <v/>
      </c>
      <c r="O164" s="12" t="str">
        <f aca="true">IF(N164="","",MAX(0,INT((TODAY()-N164)/7)))</f>
        <v/>
      </c>
      <c r="Q164" s="12" t="str">
        <f aca="false">IF(A164="","",IFERROR(LOOKUP(2,1/(('Weekly Log'!$C$4:$C$1003=A164)*('Weekly Log'!$I$4:$I$1003&lt;&gt;"")),'Weekly Log'!$I$4:$I$1003),""))</f>
        <v/>
      </c>
    </row>
    <row r="165" customFormat="false" ht="15" hidden="false" customHeight="false" outlineLevel="0" collapsed="false">
      <c r="H165" s="16"/>
      <c r="J165" s="12" t="str">
        <f aca="false">IF(A165="","",COUNTIF('Weekly Log'!$C:$C,A165))</f>
        <v/>
      </c>
      <c r="K165" s="12" t="str">
        <f aca="false">IF(A165="","",COUNTIFS('Weekly Log'!$C:$C,A165,'Weekly Log'!$E:$E,"Yes"))</f>
        <v/>
      </c>
      <c r="L165" s="13" t="str">
        <f aca="false">IF(A165="","",IF(J165=0,"",K165/J165))</f>
        <v/>
      </c>
      <c r="M165" s="14" t="str">
        <f aca="false">IF(A165="","",IFERROR((SUMIFS('Weekly Log'!$F:$F,'Weekly Log'!$C:$C,A165)+SUMIFS('Weekly Log'!$G:$G,'Weekly Log'!$C:$C,A165))/(COUNTIFS('Weekly Log'!$C:$C,A165,'Weekly Log'!$F:$F,"&lt;&gt;")+COUNTIFS('Weekly Log'!$C:$C,A165,'Weekly Log'!$G:$G,"&lt;&gt;")),""))</f>
        <v/>
      </c>
      <c r="N165" s="15" t="str">
        <f aca="false">IF(A165="","",IF(K165=0,"",_xlfn.MAXIFS('Weekly Log'!$A:$A,'Weekly Log'!$C:$C,A165,'Weekly Log'!$E:$E,"Yes")))</f>
        <v/>
      </c>
      <c r="O165" s="12" t="str">
        <f aca="true">IF(N165="","",MAX(0,INT((TODAY()-N165)/7)))</f>
        <v/>
      </c>
      <c r="Q165" s="12" t="str">
        <f aca="false">IF(A165="","",IFERROR(LOOKUP(2,1/(('Weekly Log'!$C$4:$C$1003=A165)*('Weekly Log'!$I$4:$I$1003&lt;&gt;"")),'Weekly Log'!$I$4:$I$1003),""))</f>
        <v/>
      </c>
    </row>
    <row r="166" customFormat="false" ht="15" hidden="false" customHeight="false" outlineLevel="0" collapsed="false">
      <c r="H166" s="16"/>
      <c r="J166" s="12" t="str">
        <f aca="false">IF(A166="","",COUNTIF('Weekly Log'!$C:$C,A166))</f>
        <v/>
      </c>
      <c r="K166" s="12" t="str">
        <f aca="false">IF(A166="","",COUNTIFS('Weekly Log'!$C:$C,A166,'Weekly Log'!$E:$E,"Yes"))</f>
        <v/>
      </c>
      <c r="L166" s="13" t="str">
        <f aca="false">IF(A166="","",IF(J166=0,"",K166/J166))</f>
        <v/>
      </c>
      <c r="M166" s="14" t="str">
        <f aca="false">IF(A166="","",IFERROR((SUMIFS('Weekly Log'!$F:$F,'Weekly Log'!$C:$C,A166)+SUMIFS('Weekly Log'!$G:$G,'Weekly Log'!$C:$C,A166))/(COUNTIFS('Weekly Log'!$C:$C,A166,'Weekly Log'!$F:$F,"&lt;&gt;")+COUNTIFS('Weekly Log'!$C:$C,A166,'Weekly Log'!$G:$G,"&lt;&gt;")),""))</f>
        <v/>
      </c>
      <c r="N166" s="15" t="str">
        <f aca="false">IF(A166="","",IF(K166=0,"",_xlfn.MAXIFS('Weekly Log'!$A:$A,'Weekly Log'!$C:$C,A166,'Weekly Log'!$E:$E,"Yes")))</f>
        <v/>
      </c>
      <c r="O166" s="12" t="str">
        <f aca="true">IF(N166="","",MAX(0,INT((TODAY()-N166)/7)))</f>
        <v/>
      </c>
      <c r="Q166" s="12" t="str">
        <f aca="false">IF(A166="","",IFERROR(LOOKUP(2,1/(('Weekly Log'!$C$4:$C$1003=A166)*('Weekly Log'!$I$4:$I$1003&lt;&gt;"")),'Weekly Log'!$I$4:$I$1003),""))</f>
        <v/>
      </c>
    </row>
    <row r="167" customFormat="false" ht="15" hidden="false" customHeight="false" outlineLevel="0" collapsed="false">
      <c r="H167" s="16"/>
      <c r="J167" s="12" t="str">
        <f aca="false">IF(A167="","",COUNTIF('Weekly Log'!$C:$C,A167))</f>
        <v/>
      </c>
      <c r="K167" s="12" t="str">
        <f aca="false">IF(A167="","",COUNTIFS('Weekly Log'!$C:$C,A167,'Weekly Log'!$E:$E,"Yes"))</f>
        <v/>
      </c>
      <c r="L167" s="13" t="str">
        <f aca="false">IF(A167="","",IF(J167=0,"",K167/J167))</f>
        <v/>
      </c>
      <c r="M167" s="14" t="str">
        <f aca="false">IF(A167="","",IFERROR((SUMIFS('Weekly Log'!$F:$F,'Weekly Log'!$C:$C,A167)+SUMIFS('Weekly Log'!$G:$G,'Weekly Log'!$C:$C,A167))/(COUNTIFS('Weekly Log'!$C:$C,A167,'Weekly Log'!$F:$F,"&lt;&gt;")+COUNTIFS('Weekly Log'!$C:$C,A167,'Weekly Log'!$G:$G,"&lt;&gt;")),""))</f>
        <v/>
      </c>
      <c r="N167" s="15" t="str">
        <f aca="false">IF(A167="","",IF(K167=0,"",_xlfn.MAXIFS('Weekly Log'!$A:$A,'Weekly Log'!$C:$C,A167,'Weekly Log'!$E:$E,"Yes")))</f>
        <v/>
      </c>
      <c r="O167" s="12" t="str">
        <f aca="true">IF(N167="","",MAX(0,INT((TODAY()-N167)/7)))</f>
        <v/>
      </c>
      <c r="Q167" s="12" t="str">
        <f aca="false">IF(A167="","",IFERROR(LOOKUP(2,1/(('Weekly Log'!$C$4:$C$1003=A167)*('Weekly Log'!$I$4:$I$1003&lt;&gt;"")),'Weekly Log'!$I$4:$I$1003),""))</f>
        <v/>
      </c>
    </row>
    <row r="168" customFormat="false" ht="15" hidden="false" customHeight="false" outlineLevel="0" collapsed="false">
      <c r="H168" s="16"/>
      <c r="J168" s="12" t="str">
        <f aca="false">IF(A168="","",COUNTIF('Weekly Log'!$C:$C,A168))</f>
        <v/>
      </c>
      <c r="K168" s="12" t="str">
        <f aca="false">IF(A168="","",COUNTIFS('Weekly Log'!$C:$C,A168,'Weekly Log'!$E:$E,"Yes"))</f>
        <v/>
      </c>
      <c r="L168" s="13" t="str">
        <f aca="false">IF(A168="","",IF(J168=0,"",K168/J168))</f>
        <v/>
      </c>
      <c r="M168" s="14" t="str">
        <f aca="false">IF(A168="","",IFERROR((SUMIFS('Weekly Log'!$F:$F,'Weekly Log'!$C:$C,A168)+SUMIFS('Weekly Log'!$G:$G,'Weekly Log'!$C:$C,A168))/(COUNTIFS('Weekly Log'!$C:$C,A168,'Weekly Log'!$F:$F,"&lt;&gt;")+COUNTIFS('Weekly Log'!$C:$C,A168,'Weekly Log'!$G:$G,"&lt;&gt;")),""))</f>
        <v/>
      </c>
      <c r="N168" s="15" t="str">
        <f aca="false">IF(A168="","",IF(K168=0,"",_xlfn.MAXIFS('Weekly Log'!$A:$A,'Weekly Log'!$C:$C,A168,'Weekly Log'!$E:$E,"Yes")))</f>
        <v/>
      </c>
      <c r="O168" s="12" t="str">
        <f aca="true">IF(N168="","",MAX(0,INT((TODAY()-N168)/7)))</f>
        <v/>
      </c>
      <c r="Q168" s="12" t="str">
        <f aca="false">IF(A168="","",IFERROR(LOOKUP(2,1/(('Weekly Log'!$C$4:$C$1003=A168)*('Weekly Log'!$I$4:$I$1003&lt;&gt;"")),'Weekly Log'!$I$4:$I$1003),""))</f>
        <v/>
      </c>
    </row>
    <row r="169" customFormat="false" ht="15" hidden="false" customHeight="false" outlineLevel="0" collapsed="false">
      <c r="H169" s="16"/>
      <c r="J169" s="12" t="str">
        <f aca="false">IF(A169="","",COUNTIF('Weekly Log'!$C:$C,A169))</f>
        <v/>
      </c>
      <c r="K169" s="12" t="str">
        <f aca="false">IF(A169="","",COUNTIFS('Weekly Log'!$C:$C,A169,'Weekly Log'!$E:$E,"Yes"))</f>
        <v/>
      </c>
      <c r="L169" s="13" t="str">
        <f aca="false">IF(A169="","",IF(J169=0,"",K169/J169))</f>
        <v/>
      </c>
      <c r="M169" s="14" t="str">
        <f aca="false">IF(A169="","",IFERROR((SUMIFS('Weekly Log'!$F:$F,'Weekly Log'!$C:$C,A169)+SUMIFS('Weekly Log'!$G:$G,'Weekly Log'!$C:$C,A169))/(COUNTIFS('Weekly Log'!$C:$C,A169,'Weekly Log'!$F:$F,"&lt;&gt;")+COUNTIFS('Weekly Log'!$C:$C,A169,'Weekly Log'!$G:$G,"&lt;&gt;")),""))</f>
        <v/>
      </c>
      <c r="N169" s="15" t="str">
        <f aca="false">IF(A169="","",IF(K169=0,"",_xlfn.MAXIFS('Weekly Log'!$A:$A,'Weekly Log'!$C:$C,A169,'Weekly Log'!$E:$E,"Yes")))</f>
        <v/>
      </c>
      <c r="O169" s="12" t="str">
        <f aca="true">IF(N169="","",MAX(0,INT((TODAY()-N169)/7)))</f>
        <v/>
      </c>
      <c r="Q169" s="12" t="str">
        <f aca="false">IF(A169="","",IFERROR(LOOKUP(2,1/(('Weekly Log'!$C$4:$C$1003=A169)*('Weekly Log'!$I$4:$I$1003&lt;&gt;"")),'Weekly Log'!$I$4:$I$1003),""))</f>
        <v/>
      </c>
    </row>
    <row r="170" customFormat="false" ht="15" hidden="false" customHeight="false" outlineLevel="0" collapsed="false">
      <c r="H170" s="16"/>
      <c r="J170" s="12" t="str">
        <f aca="false">IF(A170="","",COUNTIF('Weekly Log'!$C:$C,A170))</f>
        <v/>
      </c>
      <c r="K170" s="12" t="str">
        <f aca="false">IF(A170="","",COUNTIFS('Weekly Log'!$C:$C,A170,'Weekly Log'!$E:$E,"Yes"))</f>
        <v/>
      </c>
      <c r="L170" s="13" t="str">
        <f aca="false">IF(A170="","",IF(J170=0,"",K170/J170))</f>
        <v/>
      </c>
      <c r="M170" s="14" t="str">
        <f aca="false">IF(A170="","",IFERROR((SUMIFS('Weekly Log'!$F:$F,'Weekly Log'!$C:$C,A170)+SUMIFS('Weekly Log'!$G:$G,'Weekly Log'!$C:$C,A170))/(COUNTIFS('Weekly Log'!$C:$C,A170,'Weekly Log'!$F:$F,"&lt;&gt;")+COUNTIFS('Weekly Log'!$C:$C,A170,'Weekly Log'!$G:$G,"&lt;&gt;")),""))</f>
        <v/>
      </c>
      <c r="N170" s="15" t="str">
        <f aca="false">IF(A170="","",IF(K170=0,"",_xlfn.MAXIFS('Weekly Log'!$A:$A,'Weekly Log'!$C:$C,A170,'Weekly Log'!$E:$E,"Yes")))</f>
        <v/>
      </c>
      <c r="O170" s="12" t="str">
        <f aca="true">IF(N170="","",MAX(0,INT((TODAY()-N170)/7)))</f>
        <v/>
      </c>
      <c r="Q170" s="12" t="str">
        <f aca="false">IF(A170="","",IFERROR(LOOKUP(2,1/(('Weekly Log'!$C$4:$C$1003=A170)*('Weekly Log'!$I$4:$I$1003&lt;&gt;"")),'Weekly Log'!$I$4:$I$1003),""))</f>
        <v/>
      </c>
    </row>
    <row r="171" customFormat="false" ht="15" hidden="false" customHeight="false" outlineLevel="0" collapsed="false">
      <c r="H171" s="16"/>
      <c r="J171" s="12" t="str">
        <f aca="false">IF(A171="","",COUNTIF('Weekly Log'!$C:$C,A171))</f>
        <v/>
      </c>
      <c r="K171" s="12" t="str">
        <f aca="false">IF(A171="","",COUNTIFS('Weekly Log'!$C:$C,A171,'Weekly Log'!$E:$E,"Yes"))</f>
        <v/>
      </c>
      <c r="L171" s="13" t="str">
        <f aca="false">IF(A171="","",IF(J171=0,"",K171/J171))</f>
        <v/>
      </c>
      <c r="M171" s="14" t="str">
        <f aca="false">IF(A171="","",IFERROR((SUMIFS('Weekly Log'!$F:$F,'Weekly Log'!$C:$C,A171)+SUMIFS('Weekly Log'!$G:$G,'Weekly Log'!$C:$C,A171))/(COUNTIFS('Weekly Log'!$C:$C,A171,'Weekly Log'!$F:$F,"&lt;&gt;")+COUNTIFS('Weekly Log'!$C:$C,A171,'Weekly Log'!$G:$G,"&lt;&gt;")),""))</f>
        <v/>
      </c>
      <c r="N171" s="15" t="str">
        <f aca="false">IF(A171="","",IF(K171=0,"",_xlfn.MAXIFS('Weekly Log'!$A:$A,'Weekly Log'!$C:$C,A171,'Weekly Log'!$E:$E,"Yes")))</f>
        <v/>
      </c>
      <c r="O171" s="12" t="str">
        <f aca="true">IF(N171="","",MAX(0,INT((TODAY()-N171)/7)))</f>
        <v/>
      </c>
      <c r="Q171" s="12" t="str">
        <f aca="false">IF(A171="","",IFERROR(LOOKUP(2,1/(('Weekly Log'!$C$4:$C$1003=A171)*('Weekly Log'!$I$4:$I$1003&lt;&gt;"")),'Weekly Log'!$I$4:$I$1003),""))</f>
        <v/>
      </c>
    </row>
    <row r="172" customFormat="false" ht="15" hidden="false" customHeight="false" outlineLevel="0" collapsed="false">
      <c r="H172" s="16"/>
      <c r="J172" s="12" t="str">
        <f aca="false">IF(A172="","",COUNTIF('Weekly Log'!$C:$C,A172))</f>
        <v/>
      </c>
      <c r="K172" s="12" t="str">
        <f aca="false">IF(A172="","",COUNTIFS('Weekly Log'!$C:$C,A172,'Weekly Log'!$E:$E,"Yes"))</f>
        <v/>
      </c>
      <c r="L172" s="13" t="str">
        <f aca="false">IF(A172="","",IF(J172=0,"",K172/J172))</f>
        <v/>
      </c>
      <c r="M172" s="14" t="str">
        <f aca="false">IF(A172="","",IFERROR((SUMIFS('Weekly Log'!$F:$F,'Weekly Log'!$C:$C,A172)+SUMIFS('Weekly Log'!$G:$G,'Weekly Log'!$C:$C,A172))/(COUNTIFS('Weekly Log'!$C:$C,A172,'Weekly Log'!$F:$F,"&lt;&gt;")+COUNTIFS('Weekly Log'!$C:$C,A172,'Weekly Log'!$G:$G,"&lt;&gt;")),""))</f>
        <v/>
      </c>
      <c r="N172" s="15" t="str">
        <f aca="false">IF(A172="","",IF(K172=0,"",_xlfn.MAXIFS('Weekly Log'!$A:$A,'Weekly Log'!$C:$C,A172,'Weekly Log'!$E:$E,"Yes")))</f>
        <v/>
      </c>
      <c r="O172" s="12" t="str">
        <f aca="true">IF(N172="","",MAX(0,INT((TODAY()-N172)/7)))</f>
        <v/>
      </c>
      <c r="Q172" s="12" t="str">
        <f aca="false">IF(A172="","",IFERROR(LOOKUP(2,1/(('Weekly Log'!$C$4:$C$1003=A172)*('Weekly Log'!$I$4:$I$1003&lt;&gt;"")),'Weekly Log'!$I$4:$I$1003),""))</f>
        <v/>
      </c>
    </row>
    <row r="173" customFormat="false" ht="15" hidden="false" customHeight="false" outlineLevel="0" collapsed="false">
      <c r="H173" s="16"/>
      <c r="J173" s="12" t="str">
        <f aca="false">IF(A173="","",COUNTIF('Weekly Log'!$C:$C,A173))</f>
        <v/>
      </c>
      <c r="K173" s="12" t="str">
        <f aca="false">IF(A173="","",COUNTIFS('Weekly Log'!$C:$C,A173,'Weekly Log'!$E:$E,"Yes"))</f>
        <v/>
      </c>
      <c r="L173" s="13" t="str">
        <f aca="false">IF(A173="","",IF(J173=0,"",K173/J173))</f>
        <v/>
      </c>
      <c r="M173" s="14" t="str">
        <f aca="false">IF(A173="","",IFERROR((SUMIFS('Weekly Log'!$F:$F,'Weekly Log'!$C:$C,A173)+SUMIFS('Weekly Log'!$G:$G,'Weekly Log'!$C:$C,A173))/(COUNTIFS('Weekly Log'!$C:$C,A173,'Weekly Log'!$F:$F,"&lt;&gt;")+COUNTIFS('Weekly Log'!$C:$C,A173,'Weekly Log'!$G:$G,"&lt;&gt;")),""))</f>
        <v/>
      </c>
      <c r="N173" s="15" t="str">
        <f aca="false">IF(A173="","",IF(K173=0,"",_xlfn.MAXIFS('Weekly Log'!$A:$A,'Weekly Log'!$C:$C,A173,'Weekly Log'!$E:$E,"Yes")))</f>
        <v/>
      </c>
      <c r="O173" s="12" t="str">
        <f aca="true">IF(N173="","",MAX(0,INT((TODAY()-N173)/7)))</f>
        <v/>
      </c>
      <c r="Q173" s="12" t="str">
        <f aca="false">IF(A173="","",IFERROR(LOOKUP(2,1/(('Weekly Log'!$C$4:$C$1003=A173)*('Weekly Log'!$I$4:$I$1003&lt;&gt;"")),'Weekly Log'!$I$4:$I$1003),""))</f>
        <v/>
      </c>
    </row>
    <row r="174" customFormat="false" ht="15" hidden="false" customHeight="false" outlineLevel="0" collapsed="false">
      <c r="H174" s="16"/>
      <c r="J174" s="12" t="str">
        <f aca="false">IF(A174="","",COUNTIF('Weekly Log'!$C:$C,A174))</f>
        <v/>
      </c>
      <c r="K174" s="12" t="str">
        <f aca="false">IF(A174="","",COUNTIFS('Weekly Log'!$C:$C,A174,'Weekly Log'!$E:$E,"Yes"))</f>
        <v/>
      </c>
      <c r="L174" s="13" t="str">
        <f aca="false">IF(A174="","",IF(J174=0,"",K174/J174))</f>
        <v/>
      </c>
      <c r="M174" s="14" t="str">
        <f aca="false">IF(A174="","",IFERROR((SUMIFS('Weekly Log'!$F:$F,'Weekly Log'!$C:$C,A174)+SUMIFS('Weekly Log'!$G:$G,'Weekly Log'!$C:$C,A174))/(COUNTIFS('Weekly Log'!$C:$C,A174,'Weekly Log'!$F:$F,"&lt;&gt;")+COUNTIFS('Weekly Log'!$C:$C,A174,'Weekly Log'!$G:$G,"&lt;&gt;")),""))</f>
        <v/>
      </c>
      <c r="N174" s="15" t="str">
        <f aca="false">IF(A174="","",IF(K174=0,"",_xlfn.MAXIFS('Weekly Log'!$A:$A,'Weekly Log'!$C:$C,A174,'Weekly Log'!$E:$E,"Yes")))</f>
        <v/>
      </c>
      <c r="O174" s="12" t="str">
        <f aca="true">IF(N174="","",MAX(0,INT((TODAY()-N174)/7)))</f>
        <v/>
      </c>
      <c r="Q174" s="12" t="str">
        <f aca="false">IF(A174="","",IFERROR(LOOKUP(2,1/(('Weekly Log'!$C$4:$C$1003=A174)*('Weekly Log'!$I$4:$I$1003&lt;&gt;"")),'Weekly Log'!$I$4:$I$1003),""))</f>
        <v/>
      </c>
    </row>
    <row r="175" customFormat="false" ht="15" hidden="false" customHeight="false" outlineLevel="0" collapsed="false">
      <c r="H175" s="16"/>
      <c r="J175" s="12" t="str">
        <f aca="false">IF(A175="","",COUNTIF('Weekly Log'!$C:$C,A175))</f>
        <v/>
      </c>
      <c r="K175" s="12" t="str">
        <f aca="false">IF(A175="","",COUNTIFS('Weekly Log'!$C:$C,A175,'Weekly Log'!$E:$E,"Yes"))</f>
        <v/>
      </c>
      <c r="L175" s="13" t="str">
        <f aca="false">IF(A175="","",IF(J175=0,"",K175/J175))</f>
        <v/>
      </c>
      <c r="M175" s="14" t="str">
        <f aca="false">IF(A175="","",IFERROR((SUMIFS('Weekly Log'!$F:$F,'Weekly Log'!$C:$C,A175)+SUMIFS('Weekly Log'!$G:$G,'Weekly Log'!$C:$C,A175))/(COUNTIFS('Weekly Log'!$C:$C,A175,'Weekly Log'!$F:$F,"&lt;&gt;")+COUNTIFS('Weekly Log'!$C:$C,A175,'Weekly Log'!$G:$G,"&lt;&gt;")),""))</f>
        <v/>
      </c>
      <c r="N175" s="15" t="str">
        <f aca="false">IF(A175="","",IF(K175=0,"",_xlfn.MAXIFS('Weekly Log'!$A:$A,'Weekly Log'!$C:$C,A175,'Weekly Log'!$E:$E,"Yes")))</f>
        <v/>
      </c>
      <c r="O175" s="12" t="str">
        <f aca="true">IF(N175="","",MAX(0,INT((TODAY()-N175)/7)))</f>
        <v/>
      </c>
      <c r="Q175" s="12" t="str">
        <f aca="false">IF(A175="","",IFERROR(LOOKUP(2,1/(('Weekly Log'!$C$4:$C$1003=A175)*('Weekly Log'!$I$4:$I$1003&lt;&gt;"")),'Weekly Log'!$I$4:$I$1003),""))</f>
        <v/>
      </c>
    </row>
    <row r="176" customFormat="false" ht="15" hidden="false" customHeight="false" outlineLevel="0" collapsed="false">
      <c r="H176" s="16"/>
      <c r="J176" s="12" t="str">
        <f aca="false">IF(A176="","",COUNTIF('Weekly Log'!$C:$C,A176))</f>
        <v/>
      </c>
      <c r="K176" s="12" t="str">
        <f aca="false">IF(A176="","",COUNTIFS('Weekly Log'!$C:$C,A176,'Weekly Log'!$E:$E,"Yes"))</f>
        <v/>
      </c>
      <c r="L176" s="13" t="str">
        <f aca="false">IF(A176="","",IF(J176=0,"",K176/J176))</f>
        <v/>
      </c>
      <c r="M176" s="14" t="str">
        <f aca="false">IF(A176="","",IFERROR((SUMIFS('Weekly Log'!$F:$F,'Weekly Log'!$C:$C,A176)+SUMIFS('Weekly Log'!$G:$G,'Weekly Log'!$C:$C,A176))/(COUNTIFS('Weekly Log'!$C:$C,A176,'Weekly Log'!$F:$F,"&lt;&gt;")+COUNTIFS('Weekly Log'!$C:$C,A176,'Weekly Log'!$G:$G,"&lt;&gt;")),""))</f>
        <v/>
      </c>
      <c r="N176" s="15" t="str">
        <f aca="false">IF(A176="","",IF(K176=0,"",_xlfn.MAXIFS('Weekly Log'!$A:$A,'Weekly Log'!$C:$C,A176,'Weekly Log'!$E:$E,"Yes")))</f>
        <v/>
      </c>
      <c r="O176" s="12" t="str">
        <f aca="true">IF(N176="","",MAX(0,INT((TODAY()-N176)/7)))</f>
        <v/>
      </c>
      <c r="Q176" s="12" t="str">
        <f aca="false">IF(A176="","",IFERROR(LOOKUP(2,1/(('Weekly Log'!$C$4:$C$1003=A176)*('Weekly Log'!$I$4:$I$1003&lt;&gt;"")),'Weekly Log'!$I$4:$I$1003),""))</f>
        <v/>
      </c>
    </row>
    <row r="177" customFormat="false" ht="15" hidden="false" customHeight="false" outlineLevel="0" collapsed="false">
      <c r="H177" s="16"/>
      <c r="J177" s="12" t="str">
        <f aca="false">IF(A177="","",COUNTIF('Weekly Log'!$C:$C,A177))</f>
        <v/>
      </c>
      <c r="K177" s="12" t="str">
        <f aca="false">IF(A177="","",COUNTIFS('Weekly Log'!$C:$C,A177,'Weekly Log'!$E:$E,"Yes"))</f>
        <v/>
      </c>
      <c r="L177" s="13" t="str">
        <f aca="false">IF(A177="","",IF(J177=0,"",K177/J177))</f>
        <v/>
      </c>
      <c r="M177" s="14" t="str">
        <f aca="false">IF(A177="","",IFERROR((SUMIFS('Weekly Log'!$F:$F,'Weekly Log'!$C:$C,A177)+SUMIFS('Weekly Log'!$G:$G,'Weekly Log'!$C:$C,A177))/(COUNTIFS('Weekly Log'!$C:$C,A177,'Weekly Log'!$F:$F,"&lt;&gt;")+COUNTIFS('Weekly Log'!$C:$C,A177,'Weekly Log'!$G:$G,"&lt;&gt;")),""))</f>
        <v/>
      </c>
      <c r="N177" s="15" t="str">
        <f aca="false">IF(A177="","",IF(K177=0,"",_xlfn.MAXIFS('Weekly Log'!$A:$A,'Weekly Log'!$C:$C,A177,'Weekly Log'!$E:$E,"Yes")))</f>
        <v/>
      </c>
      <c r="O177" s="12" t="str">
        <f aca="true">IF(N177="","",MAX(0,INT((TODAY()-N177)/7)))</f>
        <v/>
      </c>
      <c r="Q177" s="12" t="str">
        <f aca="false">IF(A177="","",IFERROR(LOOKUP(2,1/(('Weekly Log'!$C$4:$C$1003=A177)*('Weekly Log'!$I$4:$I$1003&lt;&gt;"")),'Weekly Log'!$I$4:$I$1003),""))</f>
        <v/>
      </c>
    </row>
    <row r="178" customFormat="false" ht="15" hidden="false" customHeight="false" outlineLevel="0" collapsed="false">
      <c r="H178" s="16"/>
      <c r="J178" s="12" t="str">
        <f aca="false">IF(A178="","",COUNTIF('Weekly Log'!$C:$C,A178))</f>
        <v/>
      </c>
      <c r="K178" s="12" t="str">
        <f aca="false">IF(A178="","",COUNTIFS('Weekly Log'!$C:$C,A178,'Weekly Log'!$E:$E,"Yes"))</f>
        <v/>
      </c>
      <c r="L178" s="13" t="str">
        <f aca="false">IF(A178="","",IF(J178=0,"",K178/J178))</f>
        <v/>
      </c>
      <c r="M178" s="14" t="str">
        <f aca="false">IF(A178="","",IFERROR((SUMIFS('Weekly Log'!$F:$F,'Weekly Log'!$C:$C,A178)+SUMIFS('Weekly Log'!$G:$G,'Weekly Log'!$C:$C,A178))/(COUNTIFS('Weekly Log'!$C:$C,A178,'Weekly Log'!$F:$F,"&lt;&gt;")+COUNTIFS('Weekly Log'!$C:$C,A178,'Weekly Log'!$G:$G,"&lt;&gt;")),""))</f>
        <v/>
      </c>
      <c r="N178" s="15" t="str">
        <f aca="false">IF(A178="","",IF(K178=0,"",_xlfn.MAXIFS('Weekly Log'!$A:$A,'Weekly Log'!$C:$C,A178,'Weekly Log'!$E:$E,"Yes")))</f>
        <v/>
      </c>
      <c r="O178" s="12" t="str">
        <f aca="true">IF(N178="","",MAX(0,INT((TODAY()-N178)/7)))</f>
        <v/>
      </c>
      <c r="Q178" s="12" t="str">
        <f aca="false">IF(A178="","",IFERROR(LOOKUP(2,1/(('Weekly Log'!$C$4:$C$1003=A178)*('Weekly Log'!$I$4:$I$1003&lt;&gt;"")),'Weekly Log'!$I$4:$I$1003),""))</f>
        <v/>
      </c>
    </row>
    <row r="179" customFormat="false" ht="15" hidden="false" customHeight="false" outlineLevel="0" collapsed="false">
      <c r="H179" s="16"/>
      <c r="J179" s="12" t="str">
        <f aca="false">IF(A179="","",COUNTIF('Weekly Log'!$C:$C,A179))</f>
        <v/>
      </c>
      <c r="K179" s="12" t="str">
        <f aca="false">IF(A179="","",COUNTIFS('Weekly Log'!$C:$C,A179,'Weekly Log'!$E:$E,"Yes"))</f>
        <v/>
      </c>
      <c r="L179" s="13" t="str">
        <f aca="false">IF(A179="","",IF(J179=0,"",K179/J179))</f>
        <v/>
      </c>
      <c r="M179" s="14" t="str">
        <f aca="false">IF(A179="","",IFERROR((SUMIFS('Weekly Log'!$F:$F,'Weekly Log'!$C:$C,A179)+SUMIFS('Weekly Log'!$G:$G,'Weekly Log'!$C:$C,A179))/(COUNTIFS('Weekly Log'!$C:$C,A179,'Weekly Log'!$F:$F,"&lt;&gt;")+COUNTIFS('Weekly Log'!$C:$C,A179,'Weekly Log'!$G:$G,"&lt;&gt;")),""))</f>
        <v/>
      </c>
      <c r="N179" s="15" t="str">
        <f aca="false">IF(A179="","",IF(K179=0,"",_xlfn.MAXIFS('Weekly Log'!$A:$A,'Weekly Log'!$C:$C,A179,'Weekly Log'!$E:$E,"Yes")))</f>
        <v/>
      </c>
      <c r="O179" s="12" t="str">
        <f aca="true">IF(N179="","",MAX(0,INT((TODAY()-N179)/7)))</f>
        <v/>
      </c>
      <c r="Q179" s="12" t="str">
        <f aca="false">IF(A179="","",IFERROR(LOOKUP(2,1/(('Weekly Log'!$C$4:$C$1003=A179)*('Weekly Log'!$I$4:$I$1003&lt;&gt;"")),'Weekly Log'!$I$4:$I$1003),""))</f>
        <v/>
      </c>
    </row>
    <row r="180" customFormat="false" ht="15" hidden="false" customHeight="false" outlineLevel="0" collapsed="false">
      <c r="H180" s="16"/>
      <c r="J180" s="12" t="str">
        <f aca="false">IF(A180="","",COUNTIF('Weekly Log'!$C:$C,A180))</f>
        <v/>
      </c>
      <c r="K180" s="12" t="str">
        <f aca="false">IF(A180="","",COUNTIFS('Weekly Log'!$C:$C,A180,'Weekly Log'!$E:$E,"Yes"))</f>
        <v/>
      </c>
      <c r="L180" s="13" t="str">
        <f aca="false">IF(A180="","",IF(J180=0,"",K180/J180))</f>
        <v/>
      </c>
      <c r="M180" s="14" t="str">
        <f aca="false">IF(A180="","",IFERROR((SUMIFS('Weekly Log'!$F:$F,'Weekly Log'!$C:$C,A180)+SUMIFS('Weekly Log'!$G:$G,'Weekly Log'!$C:$C,A180))/(COUNTIFS('Weekly Log'!$C:$C,A180,'Weekly Log'!$F:$F,"&lt;&gt;")+COUNTIFS('Weekly Log'!$C:$C,A180,'Weekly Log'!$G:$G,"&lt;&gt;")),""))</f>
        <v/>
      </c>
      <c r="N180" s="15" t="str">
        <f aca="false">IF(A180="","",IF(K180=0,"",_xlfn.MAXIFS('Weekly Log'!$A:$A,'Weekly Log'!$C:$C,A180,'Weekly Log'!$E:$E,"Yes")))</f>
        <v/>
      </c>
      <c r="O180" s="12" t="str">
        <f aca="true">IF(N180="","",MAX(0,INT((TODAY()-N180)/7)))</f>
        <v/>
      </c>
      <c r="Q180" s="12" t="str">
        <f aca="false">IF(A180="","",IFERROR(LOOKUP(2,1/(('Weekly Log'!$C$4:$C$1003=A180)*('Weekly Log'!$I$4:$I$1003&lt;&gt;"")),'Weekly Log'!$I$4:$I$1003),""))</f>
        <v/>
      </c>
    </row>
    <row r="181" customFormat="false" ht="15" hidden="false" customHeight="false" outlineLevel="0" collapsed="false">
      <c r="H181" s="16"/>
      <c r="J181" s="12" t="str">
        <f aca="false">IF(A181="","",COUNTIF('Weekly Log'!$C:$C,A181))</f>
        <v/>
      </c>
      <c r="K181" s="12" t="str">
        <f aca="false">IF(A181="","",COUNTIFS('Weekly Log'!$C:$C,A181,'Weekly Log'!$E:$E,"Yes"))</f>
        <v/>
      </c>
      <c r="L181" s="13" t="str">
        <f aca="false">IF(A181="","",IF(J181=0,"",K181/J181))</f>
        <v/>
      </c>
      <c r="M181" s="14" t="str">
        <f aca="false">IF(A181="","",IFERROR((SUMIFS('Weekly Log'!$F:$F,'Weekly Log'!$C:$C,A181)+SUMIFS('Weekly Log'!$G:$G,'Weekly Log'!$C:$C,A181))/(COUNTIFS('Weekly Log'!$C:$C,A181,'Weekly Log'!$F:$F,"&lt;&gt;")+COUNTIFS('Weekly Log'!$C:$C,A181,'Weekly Log'!$G:$G,"&lt;&gt;")),""))</f>
        <v/>
      </c>
      <c r="N181" s="15" t="str">
        <f aca="false">IF(A181="","",IF(K181=0,"",_xlfn.MAXIFS('Weekly Log'!$A:$A,'Weekly Log'!$C:$C,A181,'Weekly Log'!$E:$E,"Yes")))</f>
        <v/>
      </c>
      <c r="O181" s="12" t="str">
        <f aca="true">IF(N181="","",MAX(0,INT((TODAY()-N181)/7)))</f>
        <v/>
      </c>
      <c r="Q181" s="12" t="str">
        <f aca="false">IF(A181="","",IFERROR(LOOKUP(2,1/(('Weekly Log'!$C$4:$C$1003=A181)*('Weekly Log'!$I$4:$I$1003&lt;&gt;"")),'Weekly Log'!$I$4:$I$1003),""))</f>
        <v/>
      </c>
    </row>
    <row r="182" customFormat="false" ht="15" hidden="false" customHeight="false" outlineLevel="0" collapsed="false">
      <c r="H182" s="16"/>
      <c r="J182" s="12" t="str">
        <f aca="false">IF(A182="","",COUNTIF('Weekly Log'!$C:$C,A182))</f>
        <v/>
      </c>
      <c r="K182" s="12" t="str">
        <f aca="false">IF(A182="","",COUNTIFS('Weekly Log'!$C:$C,A182,'Weekly Log'!$E:$E,"Yes"))</f>
        <v/>
      </c>
      <c r="L182" s="13" t="str">
        <f aca="false">IF(A182="","",IF(J182=0,"",K182/J182))</f>
        <v/>
      </c>
      <c r="M182" s="14" t="str">
        <f aca="false">IF(A182="","",IFERROR((SUMIFS('Weekly Log'!$F:$F,'Weekly Log'!$C:$C,A182)+SUMIFS('Weekly Log'!$G:$G,'Weekly Log'!$C:$C,A182))/(COUNTIFS('Weekly Log'!$C:$C,A182,'Weekly Log'!$F:$F,"&lt;&gt;")+COUNTIFS('Weekly Log'!$C:$C,A182,'Weekly Log'!$G:$G,"&lt;&gt;")),""))</f>
        <v/>
      </c>
      <c r="N182" s="15" t="str">
        <f aca="false">IF(A182="","",IF(K182=0,"",_xlfn.MAXIFS('Weekly Log'!$A:$A,'Weekly Log'!$C:$C,A182,'Weekly Log'!$E:$E,"Yes")))</f>
        <v/>
      </c>
      <c r="O182" s="12" t="str">
        <f aca="true">IF(N182="","",MAX(0,INT((TODAY()-N182)/7)))</f>
        <v/>
      </c>
      <c r="Q182" s="12" t="str">
        <f aca="false">IF(A182="","",IFERROR(LOOKUP(2,1/(('Weekly Log'!$C$4:$C$1003=A182)*('Weekly Log'!$I$4:$I$1003&lt;&gt;"")),'Weekly Log'!$I$4:$I$1003),""))</f>
        <v/>
      </c>
    </row>
    <row r="183" customFormat="false" ht="15" hidden="false" customHeight="false" outlineLevel="0" collapsed="false">
      <c r="H183" s="16"/>
      <c r="J183" s="12" t="str">
        <f aca="false">IF(A183="","",COUNTIF('Weekly Log'!$C:$C,A183))</f>
        <v/>
      </c>
      <c r="K183" s="12" t="str">
        <f aca="false">IF(A183="","",COUNTIFS('Weekly Log'!$C:$C,A183,'Weekly Log'!$E:$E,"Yes"))</f>
        <v/>
      </c>
      <c r="L183" s="13" t="str">
        <f aca="false">IF(A183="","",IF(J183=0,"",K183/J183))</f>
        <v/>
      </c>
      <c r="M183" s="14" t="str">
        <f aca="false">IF(A183="","",IFERROR((SUMIFS('Weekly Log'!$F:$F,'Weekly Log'!$C:$C,A183)+SUMIFS('Weekly Log'!$G:$G,'Weekly Log'!$C:$C,A183))/(COUNTIFS('Weekly Log'!$C:$C,A183,'Weekly Log'!$F:$F,"&lt;&gt;")+COUNTIFS('Weekly Log'!$C:$C,A183,'Weekly Log'!$G:$G,"&lt;&gt;")),""))</f>
        <v/>
      </c>
      <c r="N183" s="15" t="str">
        <f aca="false">IF(A183="","",IF(K183=0,"",_xlfn.MAXIFS('Weekly Log'!$A:$A,'Weekly Log'!$C:$C,A183,'Weekly Log'!$E:$E,"Yes")))</f>
        <v/>
      </c>
      <c r="O183" s="12" t="str">
        <f aca="true">IF(N183="","",MAX(0,INT((TODAY()-N183)/7)))</f>
        <v/>
      </c>
      <c r="Q183" s="12" t="str">
        <f aca="false">IF(A183="","",IFERROR(LOOKUP(2,1/(('Weekly Log'!$C$4:$C$1003=A183)*('Weekly Log'!$I$4:$I$1003&lt;&gt;"")),'Weekly Log'!$I$4:$I$1003),""))</f>
        <v/>
      </c>
    </row>
    <row r="184" customFormat="false" ht="15" hidden="false" customHeight="false" outlineLevel="0" collapsed="false">
      <c r="H184" s="16"/>
      <c r="J184" s="12" t="str">
        <f aca="false">IF(A184="","",COUNTIF('Weekly Log'!$C:$C,A184))</f>
        <v/>
      </c>
      <c r="K184" s="12" t="str">
        <f aca="false">IF(A184="","",COUNTIFS('Weekly Log'!$C:$C,A184,'Weekly Log'!$E:$E,"Yes"))</f>
        <v/>
      </c>
      <c r="L184" s="13" t="str">
        <f aca="false">IF(A184="","",IF(J184=0,"",K184/J184))</f>
        <v/>
      </c>
      <c r="M184" s="14" t="str">
        <f aca="false">IF(A184="","",IFERROR((SUMIFS('Weekly Log'!$F:$F,'Weekly Log'!$C:$C,A184)+SUMIFS('Weekly Log'!$G:$G,'Weekly Log'!$C:$C,A184))/(COUNTIFS('Weekly Log'!$C:$C,A184,'Weekly Log'!$F:$F,"&lt;&gt;")+COUNTIFS('Weekly Log'!$C:$C,A184,'Weekly Log'!$G:$G,"&lt;&gt;")),""))</f>
        <v/>
      </c>
      <c r="N184" s="15" t="str">
        <f aca="false">IF(A184="","",IF(K184=0,"",_xlfn.MAXIFS('Weekly Log'!$A:$A,'Weekly Log'!$C:$C,A184,'Weekly Log'!$E:$E,"Yes")))</f>
        <v/>
      </c>
      <c r="O184" s="12" t="str">
        <f aca="true">IF(N184="","",MAX(0,INT((TODAY()-N184)/7)))</f>
        <v/>
      </c>
      <c r="Q184" s="12" t="str">
        <f aca="false">IF(A184="","",IFERROR(LOOKUP(2,1/(('Weekly Log'!$C$4:$C$1003=A184)*('Weekly Log'!$I$4:$I$1003&lt;&gt;"")),'Weekly Log'!$I$4:$I$1003),""))</f>
        <v/>
      </c>
    </row>
    <row r="185" customFormat="false" ht="15" hidden="false" customHeight="false" outlineLevel="0" collapsed="false">
      <c r="H185" s="16"/>
      <c r="J185" s="12" t="str">
        <f aca="false">IF(A185="","",COUNTIF('Weekly Log'!$C:$C,A185))</f>
        <v/>
      </c>
      <c r="K185" s="12" t="str">
        <f aca="false">IF(A185="","",COUNTIFS('Weekly Log'!$C:$C,A185,'Weekly Log'!$E:$E,"Yes"))</f>
        <v/>
      </c>
      <c r="L185" s="13" t="str">
        <f aca="false">IF(A185="","",IF(J185=0,"",K185/J185))</f>
        <v/>
      </c>
      <c r="M185" s="14" t="str">
        <f aca="false">IF(A185="","",IFERROR((SUMIFS('Weekly Log'!$F:$F,'Weekly Log'!$C:$C,A185)+SUMIFS('Weekly Log'!$G:$G,'Weekly Log'!$C:$C,A185))/(COUNTIFS('Weekly Log'!$C:$C,A185,'Weekly Log'!$F:$F,"&lt;&gt;")+COUNTIFS('Weekly Log'!$C:$C,A185,'Weekly Log'!$G:$G,"&lt;&gt;")),""))</f>
        <v/>
      </c>
      <c r="N185" s="15" t="str">
        <f aca="false">IF(A185="","",IF(K185=0,"",_xlfn.MAXIFS('Weekly Log'!$A:$A,'Weekly Log'!$C:$C,A185,'Weekly Log'!$E:$E,"Yes")))</f>
        <v/>
      </c>
      <c r="O185" s="12" t="str">
        <f aca="true">IF(N185="","",MAX(0,INT((TODAY()-N185)/7)))</f>
        <v/>
      </c>
      <c r="Q185" s="12" t="str">
        <f aca="false">IF(A185="","",IFERROR(LOOKUP(2,1/(('Weekly Log'!$C$4:$C$1003=A185)*('Weekly Log'!$I$4:$I$1003&lt;&gt;"")),'Weekly Log'!$I$4:$I$1003),""))</f>
        <v/>
      </c>
    </row>
    <row r="186" customFormat="false" ht="15" hidden="false" customHeight="false" outlineLevel="0" collapsed="false">
      <c r="H186" s="16"/>
      <c r="J186" s="12" t="str">
        <f aca="false">IF(A186="","",COUNTIF('Weekly Log'!$C:$C,A186))</f>
        <v/>
      </c>
      <c r="K186" s="12" t="str">
        <f aca="false">IF(A186="","",COUNTIFS('Weekly Log'!$C:$C,A186,'Weekly Log'!$E:$E,"Yes"))</f>
        <v/>
      </c>
      <c r="L186" s="13" t="str">
        <f aca="false">IF(A186="","",IF(J186=0,"",K186/J186))</f>
        <v/>
      </c>
      <c r="M186" s="14" t="str">
        <f aca="false">IF(A186="","",IFERROR((SUMIFS('Weekly Log'!$F:$F,'Weekly Log'!$C:$C,A186)+SUMIFS('Weekly Log'!$G:$G,'Weekly Log'!$C:$C,A186))/(COUNTIFS('Weekly Log'!$C:$C,A186,'Weekly Log'!$F:$F,"&lt;&gt;")+COUNTIFS('Weekly Log'!$C:$C,A186,'Weekly Log'!$G:$G,"&lt;&gt;")),""))</f>
        <v/>
      </c>
      <c r="N186" s="15" t="str">
        <f aca="false">IF(A186="","",IF(K186=0,"",_xlfn.MAXIFS('Weekly Log'!$A:$A,'Weekly Log'!$C:$C,A186,'Weekly Log'!$E:$E,"Yes")))</f>
        <v/>
      </c>
      <c r="O186" s="12" t="str">
        <f aca="true">IF(N186="","",MAX(0,INT((TODAY()-N186)/7)))</f>
        <v/>
      </c>
      <c r="Q186" s="12" t="str">
        <f aca="false">IF(A186="","",IFERROR(LOOKUP(2,1/(('Weekly Log'!$C$4:$C$1003=A186)*('Weekly Log'!$I$4:$I$1003&lt;&gt;"")),'Weekly Log'!$I$4:$I$1003),""))</f>
        <v/>
      </c>
    </row>
    <row r="187" customFormat="false" ht="15" hidden="false" customHeight="false" outlineLevel="0" collapsed="false">
      <c r="H187" s="16"/>
      <c r="J187" s="12" t="str">
        <f aca="false">IF(A187="","",COUNTIF('Weekly Log'!$C:$C,A187))</f>
        <v/>
      </c>
      <c r="K187" s="12" t="str">
        <f aca="false">IF(A187="","",COUNTIFS('Weekly Log'!$C:$C,A187,'Weekly Log'!$E:$E,"Yes"))</f>
        <v/>
      </c>
      <c r="L187" s="13" t="str">
        <f aca="false">IF(A187="","",IF(J187=0,"",K187/J187))</f>
        <v/>
      </c>
      <c r="M187" s="14" t="str">
        <f aca="false">IF(A187="","",IFERROR((SUMIFS('Weekly Log'!$F:$F,'Weekly Log'!$C:$C,A187)+SUMIFS('Weekly Log'!$G:$G,'Weekly Log'!$C:$C,A187))/(COUNTIFS('Weekly Log'!$C:$C,A187,'Weekly Log'!$F:$F,"&lt;&gt;")+COUNTIFS('Weekly Log'!$C:$C,A187,'Weekly Log'!$G:$G,"&lt;&gt;")),""))</f>
        <v/>
      </c>
      <c r="N187" s="15" t="str">
        <f aca="false">IF(A187="","",IF(K187=0,"",_xlfn.MAXIFS('Weekly Log'!$A:$A,'Weekly Log'!$C:$C,A187,'Weekly Log'!$E:$E,"Yes")))</f>
        <v/>
      </c>
      <c r="O187" s="12" t="str">
        <f aca="true">IF(N187="","",MAX(0,INT((TODAY()-N187)/7)))</f>
        <v/>
      </c>
      <c r="Q187" s="12" t="str">
        <f aca="false">IF(A187="","",IFERROR(LOOKUP(2,1/(('Weekly Log'!$C$4:$C$1003=A187)*('Weekly Log'!$I$4:$I$1003&lt;&gt;"")),'Weekly Log'!$I$4:$I$1003),""))</f>
        <v/>
      </c>
    </row>
    <row r="188" customFormat="false" ht="15" hidden="false" customHeight="false" outlineLevel="0" collapsed="false">
      <c r="H188" s="16"/>
      <c r="J188" s="12" t="str">
        <f aca="false">IF(A188="","",COUNTIF('Weekly Log'!$C:$C,A188))</f>
        <v/>
      </c>
      <c r="K188" s="12" t="str">
        <f aca="false">IF(A188="","",COUNTIFS('Weekly Log'!$C:$C,A188,'Weekly Log'!$E:$E,"Yes"))</f>
        <v/>
      </c>
      <c r="L188" s="13" t="str">
        <f aca="false">IF(A188="","",IF(J188=0,"",K188/J188))</f>
        <v/>
      </c>
      <c r="M188" s="14" t="str">
        <f aca="false">IF(A188="","",IFERROR((SUMIFS('Weekly Log'!$F:$F,'Weekly Log'!$C:$C,A188)+SUMIFS('Weekly Log'!$G:$G,'Weekly Log'!$C:$C,A188))/(COUNTIFS('Weekly Log'!$C:$C,A188,'Weekly Log'!$F:$F,"&lt;&gt;")+COUNTIFS('Weekly Log'!$C:$C,A188,'Weekly Log'!$G:$G,"&lt;&gt;")),""))</f>
        <v/>
      </c>
      <c r="N188" s="15" t="str">
        <f aca="false">IF(A188="","",IF(K188=0,"",_xlfn.MAXIFS('Weekly Log'!$A:$A,'Weekly Log'!$C:$C,A188,'Weekly Log'!$E:$E,"Yes")))</f>
        <v/>
      </c>
      <c r="O188" s="12" t="str">
        <f aca="true">IF(N188="","",MAX(0,INT((TODAY()-N188)/7)))</f>
        <v/>
      </c>
      <c r="Q188" s="12" t="str">
        <f aca="false">IF(A188="","",IFERROR(LOOKUP(2,1/(('Weekly Log'!$C$4:$C$1003=A188)*('Weekly Log'!$I$4:$I$1003&lt;&gt;"")),'Weekly Log'!$I$4:$I$1003),""))</f>
        <v/>
      </c>
    </row>
    <row r="189" customFormat="false" ht="15" hidden="false" customHeight="false" outlineLevel="0" collapsed="false">
      <c r="H189" s="16"/>
      <c r="J189" s="12" t="str">
        <f aca="false">IF(A189="","",COUNTIF('Weekly Log'!$C:$C,A189))</f>
        <v/>
      </c>
      <c r="K189" s="12" t="str">
        <f aca="false">IF(A189="","",COUNTIFS('Weekly Log'!$C:$C,A189,'Weekly Log'!$E:$E,"Yes"))</f>
        <v/>
      </c>
      <c r="L189" s="13" t="str">
        <f aca="false">IF(A189="","",IF(J189=0,"",K189/J189))</f>
        <v/>
      </c>
      <c r="M189" s="14" t="str">
        <f aca="false">IF(A189="","",IFERROR((SUMIFS('Weekly Log'!$F:$F,'Weekly Log'!$C:$C,A189)+SUMIFS('Weekly Log'!$G:$G,'Weekly Log'!$C:$C,A189))/(COUNTIFS('Weekly Log'!$C:$C,A189,'Weekly Log'!$F:$F,"&lt;&gt;")+COUNTIFS('Weekly Log'!$C:$C,A189,'Weekly Log'!$G:$G,"&lt;&gt;")),""))</f>
        <v/>
      </c>
      <c r="N189" s="15" t="str">
        <f aca="false">IF(A189="","",IF(K189=0,"",_xlfn.MAXIFS('Weekly Log'!$A:$A,'Weekly Log'!$C:$C,A189,'Weekly Log'!$E:$E,"Yes")))</f>
        <v/>
      </c>
      <c r="O189" s="12" t="str">
        <f aca="true">IF(N189="","",MAX(0,INT((TODAY()-N189)/7)))</f>
        <v/>
      </c>
      <c r="Q189" s="12" t="str">
        <f aca="false">IF(A189="","",IFERROR(LOOKUP(2,1/(('Weekly Log'!$C$4:$C$1003=A189)*('Weekly Log'!$I$4:$I$1003&lt;&gt;"")),'Weekly Log'!$I$4:$I$1003),""))</f>
        <v/>
      </c>
    </row>
    <row r="190" customFormat="false" ht="15" hidden="false" customHeight="false" outlineLevel="0" collapsed="false">
      <c r="H190" s="16"/>
      <c r="J190" s="12" t="str">
        <f aca="false">IF(A190="","",COUNTIF('Weekly Log'!$C:$C,A190))</f>
        <v/>
      </c>
      <c r="K190" s="12" t="str">
        <f aca="false">IF(A190="","",COUNTIFS('Weekly Log'!$C:$C,A190,'Weekly Log'!$E:$E,"Yes"))</f>
        <v/>
      </c>
      <c r="L190" s="13" t="str">
        <f aca="false">IF(A190="","",IF(J190=0,"",K190/J190))</f>
        <v/>
      </c>
      <c r="M190" s="14" t="str">
        <f aca="false">IF(A190="","",IFERROR((SUMIFS('Weekly Log'!$F:$F,'Weekly Log'!$C:$C,A190)+SUMIFS('Weekly Log'!$G:$G,'Weekly Log'!$C:$C,A190))/(COUNTIFS('Weekly Log'!$C:$C,A190,'Weekly Log'!$F:$F,"&lt;&gt;")+COUNTIFS('Weekly Log'!$C:$C,A190,'Weekly Log'!$G:$G,"&lt;&gt;")),""))</f>
        <v/>
      </c>
      <c r="N190" s="15" t="str">
        <f aca="false">IF(A190="","",IF(K190=0,"",_xlfn.MAXIFS('Weekly Log'!$A:$A,'Weekly Log'!$C:$C,A190,'Weekly Log'!$E:$E,"Yes")))</f>
        <v/>
      </c>
      <c r="O190" s="12" t="str">
        <f aca="true">IF(N190="","",MAX(0,INT((TODAY()-N190)/7)))</f>
        <v/>
      </c>
      <c r="Q190" s="12" t="str">
        <f aca="false">IF(A190="","",IFERROR(LOOKUP(2,1/(('Weekly Log'!$C$4:$C$1003=A190)*('Weekly Log'!$I$4:$I$1003&lt;&gt;"")),'Weekly Log'!$I$4:$I$1003),""))</f>
        <v/>
      </c>
    </row>
    <row r="191" customFormat="false" ht="15" hidden="false" customHeight="false" outlineLevel="0" collapsed="false">
      <c r="H191" s="16"/>
      <c r="J191" s="12" t="str">
        <f aca="false">IF(A191="","",COUNTIF('Weekly Log'!$C:$C,A191))</f>
        <v/>
      </c>
      <c r="K191" s="12" t="str">
        <f aca="false">IF(A191="","",COUNTIFS('Weekly Log'!$C:$C,A191,'Weekly Log'!$E:$E,"Yes"))</f>
        <v/>
      </c>
      <c r="L191" s="13" t="str">
        <f aca="false">IF(A191="","",IF(J191=0,"",K191/J191))</f>
        <v/>
      </c>
      <c r="M191" s="14" t="str">
        <f aca="false">IF(A191="","",IFERROR((SUMIFS('Weekly Log'!$F:$F,'Weekly Log'!$C:$C,A191)+SUMIFS('Weekly Log'!$G:$G,'Weekly Log'!$C:$C,A191))/(COUNTIFS('Weekly Log'!$C:$C,A191,'Weekly Log'!$F:$F,"&lt;&gt;")+COUNTIFS('Weekly Log'!$C:$C,A191,'Weekly Log'!$G:$G,"&lt;&gt;")),""))</f>
        <v/>
      </c>
      <c r="N191" s="15" t="str">
        <f aca="false">IF(A191="","",IF(K191=0,"",_xlfn.MAXIFS('Weekly Log'!$A:$A,'Weekly Log'!$C:$C,A191,'Weekly Log'!$E:$E,"Yes")))</f>
        <v/>
      </c>
      <c r="O191" s="12" t="str">
        <f aca="true">IF(N191="","",MAX(0,INT((TODAY()-N191)/7)))</f>
        <v/>
      </c>
      <c r="Q191" s="12" t="str">
        <f aca="false">IF(A191="","",IFERROR(LOOKUP(2,1/(('Weekly Log'!$C$4:$C$1003=A191)*('Weekly Log'!$I$4:$I$1003&lt;&gt;"")),'Weekly Log'!$I$4:$I$1003),""))</f>
        <v/>
      </c>
    </row>
    <row r="192" customFormat="false" ht="15" hidden="false" customHeight="false" outlineLevel="0" collapsed="false">
      <c r="H192" s="16"/>
      <c r="J192" s="12" t="str">
        <f aca="false">IF(A192="","",COUNTIF('Weekly Log'!$C:$C,A192))</f>
        <v/>
      </c>
      <c r="K192" s="12" t="str">
        <f aca="false">IF(A192="","",COUNTIFS('Weekly Log'!$C:$C,A192,'Weekly Log'!$E:$E,"Yes"))</f>
        <v/>
      </c>
      <c r="L192" s="13" t="str">
        <f aca="false">IF(A192="","",IF(J192=0,"",K192/J192))</f>
        <v/>
      </c>
      <c r="M192" s="14" t="str">
        <f aca="false">IF(A192="","",IFERROR((SUMIFS('Weekly Log'!$F:$F,'Weekly Log'!$C:$C,A192)+SUMIFS('Weekly Log'!$G:$G,'Weekly Log'!$C:$C,A192))/(COUNTIFS('Weekly Log'!$C:$C,A192,'Weekly Log'!$F:$F,"&lt;&gt;")+COUNTIFS('Weekly Log'!$C:$C,A192,'Weekly Log'!$G:$G,"&lt;&gt;")),""))</f>
        <v/>
      </c>
      <c r="N192" s="15" t="str">
        <f aca="false">IF(A192="","",IF(K192=0,"",_xlfn.MAXIFS('Weekly Log'!$A:$A,'Weekly Log'!$C:$C,A192,'Weekly Log'!$E:$E,"Yes")))</f>
        <v/>
      </c>
      <c r="O192" s="12" t="str">
        <f aca="true">IF(N192="","",MAX(0,INT((TODAY()-N192)/7)))</f>
        <v/>
      </c>
      <c r="Q192" s="12" t="str">
        <f aca="false">IF(A192="","",IFERROR(LOOKUP(2,1/(('Weekly Log'!$C$4:$C$1003=A192)*('Weekly Log'!$I$4:$I$1003&lt;&gt;"")),'Weekly Log'!$I$4:$I$1003),""))</f>
        <v/>
      </c>
    </row>
    <row r="193" customFormat="false" ht="15" hidden="false" customHeight="false" outlineLevel="0" collapsed="false">
      <c r="H193" s="16"/>
      <c r="J193" s="12" t="str">
        <f aca="false">IF(A193="","",COUNTIF('Weekly Log'!$C:$C,A193))</f>
        <v/>
      </c>
      <c r="K193" s="12" t="str">
        <f aca="false">IF(A193="","",COUNTIFS('Weekly Log'!$C:$C,A193,'Weekly Log'!$E:$E,"Yes"))</f>
        <v/>
      </c>
      <c r="L193" s="13" t="str">
        <f aca="false">IF(A193="","",IF(J193=0,"",K193/J193))</f>
        <v/>
      </c>
      <c r="M193" s="14" t="str">
        <f aca="false">IF(A193="","",IFERROR((SUMIFS('Weekly Log'!$F:$F,'Weekly Log'!$C:$C,A193)+SUMIFS('Weekly Log'!$G:$G,'Weekly Log'!$C:$C,A193))/(COUNTIFS('Weekly Log'!$C:$C,A193,'Weekly Log'!$F:$F,"&lt;&gt;")+COUNTIFS('Weekly Log'!$C:$C,A193,'Weekly Log'!$G:$G,"&lt;&gt;")),""))</f>
        <v/>
      </c>
      <c r="N193" s="15" t="str">
        <f aca="false">IF(A193="","",IF(K193=0,"",_xlfn.MAXIFS('Weekly Log'!$A:$A,'Weekly Log'!$C:$C,A193,'Weekly Log'!$E:$E,"Yes")))</f>
        <v/>
      </c>
      <c r="O193" s="12" t="str">
        <f aca="true">IF(N193="","",MAX(0,INT((TODAY()-N193)/7)))</f>
        <v/>
      </c>
      <c r="Q193" s="12" t="str">
        <f aca="false">IF(A193="","",IFERROR(LOOKUP(2,1/(('Weekly Log'!$C$4:$C$1003=A193)*('Weekly Log'!$I$4:$I$1003&lt;&gt;"")),'Weekly Log'!$I$4:$I$1003),""))</f>
        <v/>
      </c>
    </row>
    <row r="194" customFormat="false" ht="15" hidden="false" customHeight="false" outlineLevel="0" collapsed="false">
      <c r="H194" s="16"/>
      <c r="J194" s="12" t="str">
        <f aca="false">IF(A194="","",COUNTIF('Weekly Log'!$C:$C,A194))</f>
        <v/>
      </c>
      <c r="K194" s="12" t="str">
        <f aca="false">IF(A194="","",COUNTIFS('Weekly Log'!$C:$C,A194,'Weekly Log'!$E:$E,"Yes"))</f>
        <v/>
      </c>
      <c r="L194" s="13" t="str">
        <f aca="false">IF(A194="","",IF(J194=0,"",K194/J194))</f>
        <v/>
      </c>
      <c r="M194" s="14" t="str">
        <f aca="false">IF(A194="","",IFERROR((SUMIFS('Weekly Log'!$F:$F,'Weekly Log'!$C:$C,A194)+SUMIFS('Weekly Log'!$G:$G,'Weekly Log'!$C:$C,A194))/(COUNTIFS('Weekly Log'!$C:$C,A194,'Weekly Log'!$F:$F,"&lt;&gt;")+COUNTIFS('Weekly Log'!$C:$C,A194,'Weekly Log'!$G:$G,"&lt;&gt;")),""))</f>
        <v/>
      </c>
      <c r="N194" s="15" t="str">
        <f aca="false">IF(A194="","",IF(K194=0,"",_xlfn.MAXIFS('Weekly Log'!$A:$A,'Weekly Log'!$C:$C,A194,'Weekly Log'!$E:$E,"Yes")))</f>
        <v/>
      </c>
      <c r="O194" s="12" t="str">
        <f aca="true">IF(N194="","",MAX(0,INT((TODAY()-N194)/7)))</f>
        <v/>
      </c>
      <c r="Q194" s="12" t="str">
        <f aca="false">IF(A194="","",IFERROR(LOOKUP(2,1/(('Weekly Log'!$C$4:$C$1003=A194)*('Weekly Log'!$I$4:$I$1003&lt;&gt;"")),'Weekly Log'!$I$4:$I$1003),""))</f>
        <v/>
      </c>
    </row>
    <row r="195" customFormat="false" ht="15" hidden="false" customHeight="false" outlineLevel="0" collapsed="false">
      <c r="H195" s="16"/>
      <c r="J195" s="12" t="str">
        <f aca="false">IF(A195="","",COUNTIF('Weekly Log'!$C:$C,A195))</f>
        <v/>
      </c>
      <c r="K195" s="12" t="str">
        <f aca="false">IF(A195="","",COUNTIFS('Weekly Log'!$C:$C,A195,'Weekly Log'!$E:$E,"Yes"))</f>
        <v/>
      </c>
      <c r="L195" s="13" t="str">
        <f aca="false">IF(A195="","",IF(J195=0,"",K195/J195))</f>
        <v/>
      </c>
      <c r="M195" s="14" t="str">
        <f aca="false">IF(A195="","",IFERROR((SUMIFS('Weekly Log'!$F:$F,'Weekly Log'!$C:$C,A195)+SUMIFS('Weekly Log'!$G:$G,'Weekly Log'!$C:$C,A195))/(COUNTIFS('Weekly Log'!$C:$C,A195,'Weekly Log'!$F:$F,"&lt;&gt;")+COUNTIFS('Weekly Log'!$C:$C,A195,'Weekly Log'!$G:$G,"&lt;&gt;")),""))</f>
        <v/>
      </c>
      <c r="N195" s="15" t="str">
        <f aca="false">IF(A195="","",IF(K195=0,"",_xlfn.MAXIFS('Weekly Log'!$A:$A,'Weekly Log'!$C:$C,A195,'Weekly Log'!$E:$E,"Yes")))</f>
        <v/>
      </c>
      <c r="O195" s="12" t="str">
        <f aca="true">IF(N195="","",MAX(0,INT((TODAY()-N195)/7)))</f>
        <v/>
      </c>
      <c r="Q195" s="12" t="str">
        <f aca="false">IF(A195="","",IFERROR(LOOKUP(2,1/(('Weekly Log'!$C$4:$C$1003=A195)*('Weekly Log'!$I$4:$I$1003&lt;&gt;"")),'Weekly Log'!$I$4:$I$1003),""))</f>
        <v/>
      </c>
    </row>
    <row r="196" customFormat="false" ht="15" hidden="false" customHeight="false" outlineLevel="0" collapsed="false">
      <c r="H196" s="16"/>
      <c r="J196" s="12" t="str">
        <f aca="false">IF(A196="","",COUNTIF('Weekly Log'!$C:$C,A196))</f>
        <v/>
      </c>
      <c r="K196" s="12" t="str">
        <f aca="false">IF(A196="","",COUNTIFS('Weekly Log'!$C:$C,A196,'Weekly Log'!$E:$E,"Yes"))</f>
        <v/>
      </c>
      <c r="L196" s="13" t="str">
        <f aca="false">IF(A196="","",IF(J196=0,"",K196/J196))</f>
        <v/>
      </c>
      <c r="M196" s="14" t="str">
        <f aca="false">IF(A196="","",IFERROR((SUMIFS('Weekly Log'!$F:$F,'Weekly Log'!$C:$C,A196)+SUMIFS('Weekly Log'!$G:$G,'Weekly Log'!$C:$C,A196))/(COUNTIFS('Weekly Log'!$C:$C,A196,'Weekly Log'!$F:$F,"&lt;&gt;")+COUNTIFS('Weekly Log'!$C:$C,A196,'Weekly Log'!$G:$G,"&lt;&gt;")),""))</f>
        <v/>
      </c>
      <c r="N196" s="15" t="str">
        <f aca="false">IF(A196="","",IF(K196=0,"",_xlfn.MAXIFS('Weekly Log'!$A:$A,'Weekly Log'!$C:$C,A196,'Weekly Log'!$E:$E,"Yes")))</f>
        <v/>
      </c>
      <c r="O196" s="12" t="str">
        <f aca="true">IF(N196="","",MAX(0,INT((TODAY()-N196)/7)))</f>
        <v/>
      </c>
      <c r="Q196" s="12" t="str">
        <f aca="false">IF(A196="","",IFERROR(LOOKUP(2,1/(('Weekly Log'!$C$4:$C$1003=A196)*('Weekly Log'!$I$4:$I$1003&lt;&gt;"")),'Weekly Log'!$I$4:$I$1003),""))</f>
        <v/>
      </c>
    </row>
    <row r="197" customFormat="false" ht="15" hidden="false" customHeight="false" outlineLevel="0" collapsed="false">
      <c r="H197" s="16"/>
      <c r="J197" s="12" t="str">
        <f aca="false">IF(A197="","",COUNTIF('Weekly Log'!$C:$C,A197))</f>
        <v/>
      </c>
      <c r="K197" s="12" t="str">
        <f aca="false">IF(A197="","",COUNTIFS('Weekly Log'!$C:$C,A197,'Weekly Log'!$E:$E,"Yes"))</f>
        <v/>
      </c>
      <c r="L197" s="13" t="str">
        <f aca="false">IF(A197="","",IF(J197=0,"",K197/J197))</f>
        <v/>
      </c>
      <c r="M197" s="14" t="str">
        <f aca="false">IF(A197="","",IFERROR((SUMIFS('Weekly Log'!$F:$F,'Weekly Log'!$C:$C,A197)+SUMIFS('Weekly Log'!$G:$G,'Weekly Log'!$C:$C,A197))/(COUNTIFS('Weekly Log'!$C:$C,A197,'Weekly Log'!$F:$F,"&lt;&gt;")+COUNTIFS('Weekly Log'!$C:$C,A197,'Weekly Log'!$G:$G,"&lt;&gt;")),""))</f>
        <v/>
      </c>
      <c r="N197" s="15" t="str">
        <f aca="false">IF(A197="","",IF(K197=0,"",_xlfn.MAXIFS('Weekly Log'!$A:$A,'Weekly Log'!$C:$C,A197,'Weekly Log'!$E:$E,"Yes")))</f>
        <v/>
      </c>
      <c r="O197" s="12" t="str">
        <f aca="true">IF(N197="","",MAX(0,INT((TODAY()-N197)/7)))</f>
        <v/>
      </c>
      <c r="Q197" s="12" t="str">
        <f aca="false">IF(A197="","",IFERROR(LOOKUP(2,1/(('Weekly Log'!$C$4:$C$1003=A197)*('Weekly Log'!$I$4:$I$1003&lt;&gt;"")),'Weekly Log'!$I$4:$I$1003),""))</f>
        <v/>
      </c>
    </row>
    <row r="198" customFormat="false" ht="15" hidden="false" customHeight="false" outlineLevel="0" collapsed="false">
      <c r="H198" s="16"/>
      <c r="J198" s="12" t="str">
        <f aca="false">IF(A198="","",COUNTIF('Weekly Log'!$C:$C,A198))</f>
        <v/>
      </c>
      <c r="K198" s="12" t="str">
        <f aca="false">IF(A198="","",COUNTIFS('Weekly Log'!$C:$C,A198,'Weekly Log'!$E:$E,"Yes"))</f>
        <v/>
      </c>
      <c r="L198" s="13" t="str">
        <f aca="false">IF(A198="","",IF(J198=0,"",K198/J198))</f>
        <v/>
      </c>
      <c r="M198" s="14" t="str">
        <f aca="false">IF(A198="","",IFERROR((SUMIFS('Weekly Log'!$F:$F,'Weekly Log'!$C:$C,A198)+SUMIFS('Weekly Log'!$G:$G,'Weekly Log'!$C:$C,A198))/(COUNTIFS('Weekly Log'!$C:$C,A198,'Weekly Log'!$F:$F,"&lt;&gt;")+COUNTIFS('Weekly Log'!$C:$C,A198,'Weekly Log'!$G:$G,"&lt;&gt;")),""))</f>
        <v/>
      </c>
      <c r="N198" s="15" t="str">
        <f aca="false">IF(A198="","",IF(K198=0,"",_xlfn.MAXIFS('Weekly Log'!$A:$A,'Weekly Log'!$C:$C,A198,'Weekly Log'!$E:$E,"Yes")))</f>
        <v/>
      </c>
      <c r="O198" s="12" t="str">
        <f aca="true">IF(N198="","",MAX(0,INT((TODAY()-N198)/7)))</f>
        <v/>
      </c>
      <c r="Q198" s="12" t="str">
        <f aca="false">IF(A198="","",IFERROR(LOOKUP(2,1/(('Weekly Log'!$C$4:$C$1003=A198)*('Weekly Log'!$I$4:$I$1003&lt;&gt;"")),'Weekly Log'!$I$4:$I$1003),""))</f>
        <v/>
      </c>
    </row>
    <row r="199" customFormat="false" ht="15" hidden="false" customHeight="false" outlineLevel="0" collapsed="false">
      <c r="H199" s="16"/>
      <c r="J199" s="12" t="str">
        <f aca="false">IF(A199="","",COUNTIF('Weekly Log'!$C:$C,A199))</f>
        <v/>
      </c>
      <c r="K199" s="12" t="str">
        <f aca="false">IF(A199="","",COUNTIFS('Weekly Log'!$C:$C,A199,'Weekly Log'!$E:$E,"Yes"))</f>
        <v/>
      </c>
      <c r="L199" s="13" t="str">
        <f aca="false">IF(A199="","",IF(J199=0,"",K199/J199))</f>
        <v/>
      </c>
      <c r="M199" s="14" t="str">
        <f aca="false">IF(A199="","",IFERROR((SUMIFS('Weekly Log'!$F:$F,'Weekly Log'!$C:$C,A199)+SUMIFS('Weekly Log'!$G:$G,'Weekly Log'!$C:$C,A199))/(COUNTIFS('Weekly Log'!$C:$C,A199,'Weekly Log'!$F:$F,"&lt;&gt;")+COUNTIFS('Weekly Log'!$C:$C,A199,'Weekly Log'!$G:$G,"&lt;&gt;")),""))</f>
        <v/>
      </c>
      <c r="N199" s="15" t="str">
        <f aca="false">IF(A199="","",IF(K199=0,"",_xlfn.MAXIFS('Weekly Log'!$A:$A,'Weekly Log'!$C:$C,A199,'Weekly Log'!$E:$E,"Yes")))</f>
        <v/>
      </c>
      <c r="O199" s="12" t="str">
        <f aca="true">IF(N199="","",MAX(0,INT((TODAY()-N199)/7)))</f>
        <v/>
      </c>
      <c r="Q199" s="12" t="str">
        <f aca="false">IF(A199="","",IFERROR(LOOKUP(2,1/(('Weekly Log'!$C$4:$C$1003=A199)*('Weekly Log'!$I$4:$I$1003&lt;&gt;"")),'Weekly Log'!$I$4:$I$1003),""))</f>
        <v/>
      </c>
    </row>
    <row r="200" customFormat="false" ht="15" hidden="false" customHeight="false" outlineLevel="0" collapsed="false">
      <c r="H200" s="16"/>
      <c r="J200" s="12" t="str">
        <f aca="false">IF(A200="","",COUNTIF('Weekly Log'!$C:$C,A200))</f>
        <v/>
      </c>
      <c r="K200" s="12" t="str">
        <f aca="false">IF(A200="","",COUNTIFS('Weekly Log'!$C:$C,A200,'Weekly Log'!$E:$E,"Yes"))</f>
        <v/>
      </c>
      <c r="L200" s="13" t="str">
        <f aca="false">IF(A200="","",IF(J200=0,"",K200/J200))</f>
        <v/>
      </c>
      <c r="M200" s="14" t="str">
        <f aca="false">IF(A200="","",IFERROR((SUMIFS('Weekly Log'!$F:$F,'Weekly Log'!$C:$C,A200)+SUMIFS('Weekly Log'!$G:$G,'Weekly Log'!$C:$C,A200))/(COUNTIFS('Weekly Log'!$C:$C,A200,'Weekly Log'!$F:$F,"&lt;&gt;")+COUNTIFS('Weekly Log'!$C:$C,A200,'Weekly Log'!$G:$G,"&lt;&gt;")),""))</f>
        <v/>
      </c>
      <c r="N200" s="15" t="str">
        <f aca="false">IF(A200="","",IF(K200=0,"",_xlfn.MAXIFS('Weekly Log'!$A:$A,'Weekly Log'!$C:$C,A200,'Weekly Log'!$E:$E,"Yes")))</f>
        <v/>
      </c>
      <c r="O200" s="12" t="str">
        <f aca="true">IF(N200="","",MAX(0,INT((TODAY()-N200)/7)))</f>
        <v/>
      </c>
      <c r="Q200" s="12" t="str">
        <f aca="false">IF(A200="","",IFERROR(LOOKUP(2,1/(('Weekly Log'!$C$4:$C$1003=A200)*('Weekly Log'!$I$4:$I$1003&lt;&gt;"")),'Weekly Log'!$I$4:$I$1003),""))</f>
        <v/>
      </c>
    </row>
    <row r="201" customFormat="false" ht="15" hidden="false" customHeight="false" outlineLevel="0" collapsed="false">
      <c r="H201" s="16"/>
      <c r="J201" s="12" t="str">
        <f aca="false">IF(A201="","",COUNTIF('Weekly Log'!$C:$C,A201))</f>
        <v/>
      </c>
      <c r="K201" s="12" t="str">
        <f aca="false">IF(A201="","",COUNTIFS('Weekly Log'!$C:$C,A201,'Weekly Log'!$E:$E,"Yes"))</f>
        <v/>
      </c>
      <c r="L201" s="13" t="str">
        <f aca="false">IF(A201="","",IF(J201=0,"",K201/J201))</f>
        <v/>
      </c>
      <c r="M201" s="14" t="str">
        <f aca="false">IF(A201="","",IFERROR((SUMIFS('Weekly Log'!$F:$F,'Weekly Log'!$C:$C,A201)+SUMIFS('Weekly Log'!$G:$G,'Weekly Log'!$C:$C,A201))/(COUNTIFS('Weekly Log'!$C:$C,A201,'Weekly Log'!$F:$F,"&lt;&gt;")+COUNTIFS('Weekly Log'!$C:$C,A201,'Weekly Log'!$G:$G,"&lt;&gt;")),""))</f>
        <v/>
      </c>
      <c r="N201" s="15" t="str">
        <f aca="false">IF(A201="","",IF(K201=0,"",_xlfn.MAXIFS('Weekly Log'!$A:$A,'Weekly Log'!$C:$C,A201,'Weekly Log'!$E:$E,"Yes")))</f>
        <v/>
      </c>
      <c r="O201" s="12" t="str">
        <f aca="true">IF(N201="","",MAX(0,INT((TODAY()-N201)/7)))</f>
        <v/>
      </c>
      <c r="Q201" s="12" t="str">
        <f aca="false">IF(A201="","",IFERROR(LOOKUP(2,1/(('Weekly Log'!$C$4:$C$1003=A201)*('Weekly Log'!$I$4:$I$1003&lt;&gt;"")),'Weekly Log'!$I$4:$I$1003),""))</f>
        <v/>
      </c>
    </row>
    <row r="202" customFormat="false" ht="15" hidden="false" customHeight="false" outlineLevel="0" collapsed="false">
      <c r="H202" s="16"/>
      <c r="J202" s="12" t="str">
        <f aca="false">IF(A202="","",COUNTIF('Weekly Log'!$C:$C,A202))</f>
        <v/>
      </c>
      <c r="K202" s="12" t="str">
        <f aca="false">IF(A202="","",COUNTIFS('Weekly Log'!$C:$C,A202,'Weekly Log'!$E:$E,"Yes"))</f>
        <v/>
      </c>
      <c r="L202" s="13" t="str">
        <f aca="false">IF(A202="","",IF(J202=0,"",K202/J202))</f>
        <v/>
      </c>
      <c r="M202" s="14" t="str">
        <f aca="false">IF(A202="","",IFERROR((SUMIFS('Weekly Log'!$F:$F,'Weekly Log'!$C:$C,A202)+SUMIFS('Weekly Log'!$G:$G,'Weekly Log'!$C:$C,A202))/(COUNTIFS('Weekly Log'!$C:$C,A202,'Weekly Log'!$F:$F,"&lt;&gt;")+COUNTIFS('Weekly Log'!$C:$C,A202,'Weekly Log'!$G:$G,"&lt;&gt;")),""))</f>
        <v/>
      </c>
      <c r="N202" s="15" t="str">
        <f aca="false">IF(A202="","",IF(K202=0,"",_xlfn.MAXIFS('Weekly Log'!$A:$A,'Weekly Log'!$C:$C,A202,'Weekly Log'!$E:$E,"Yes")))</f>
        <v/>
      </c>
      <c r="O202" s="12" t="str">
        <f aca="true">IF(N202="","",MAX(0,INT((TODAY()-N202)/7)))</f>
        <v/>
      </c>
      <c r="Q202" s="12" t="str">
        <f aca="false">IF(A202="","",IFERROR(LOOKUP(2,1/(('Weekly Log'!$C$4:$C$1003=A202)*('Weekly Log'!$I$4:$I$1003&lt;&gt;"")),'Weekly Log'!$I$4:$I$1003),""))</f>
        <v/>
      </c>
    </row>
    <row r="203" customFormat="false" ht="15" hidden="false" customHeight="false" outlineLevel="0" collapsed="false">
      <c r="H203" s="16"/>
      <c r="J203" s="12" t="str">
        <f aca="false">IF(A203="","",COUNTIF('Weekly Log'!$C:$C,A203))</f>
        <v/>
      </c>
      <c r="K203" s="12" t="str">
        <f aca="false">IF(A203="","",COUNTIFS('Weekly Log'!$C:$C,A203,'Weekly Log'!$E:$E,"Yes"))</f>
        <v/>
      </c>
      <c r="L203" s="13" t="str">
        <f aca="false">IF(A203="","",IF(J203=0,"",K203/J203))</f>
        <v/>
      </c>
      <c r="M203" s="14" t="str">
        <f aca="false">IF(A203="","",IFERROR((SUMIFS('Weekly Log'!$F:$F,'Weekly Log'!$C:$C,A203)+SUMIFS('Weekly Log'!$G:$G,'Weekly Log'!$C:$C,A203))/(COUNTIFS('Weekly Log'!$C:$C,A203,'Weekly Log'!$F:$F,"&lt;&gt;")+COUNTIFS('Weekly Log'!$C:$C,A203,'Weekly Log'!$G:$G,"&lt;&gt;")),""))</f>
        <v/>
      </c>
      <c r="N203" s="15" t="str">
        <f aca="false">IF(A203="","",IF(K203=0,"",_xlfn.MAXIFS('Weekly Log'!$A:$A,'Weekly Log'!$C:$C,A203,'Weekly Log'!$E:$E,"Yes")))</f>
        <v/>
      </c>
      <c r="O203" s="12" t="str">
        <f aca="true">IF(N203="","",MAX(0,INT((TODAY()-N203)/7)))</f>
        <v/>
      </c>
      <c r="Q203" s="12" t="str">
        <f aca="false">IF(A203="","",IFERROR(LOOKUP(2,1/(('Weekly Log'!$C$4:$C$1003=A203)*('Weekly Log'!$I$4:$I$1003&lt;&gt;"")),'Weekly Log'!$I$4:$I$1003),""))</f>
        <v/>
      </c>
    </row>
    <row r="204" customFormat="false" ht="15" hidden="false" customHeight="false" outlineLevel="0" collapsed="false">
      <c r="H204" s="16"/>
      <c r="J204" s="12" t="str">
        <f aca="false">IF(A204="","",COUNTIF('Weekly Log'!$C:$C,A204))</f>
        <v/>
      </c>
      <c r="K204" s="12" t="str">
        <f aca="false">IF(A204="","",COUNTIFS('Weekly Log'!$C:$C,A204,'Weekly Log'!$E:$E,"Yes"))</f>
        <v/>
      </c>
      <c r="L204" s="13" t="str">
        <f aca="false">IF(A204="","",IF(J204=0,"",K204/J204))</f>
        <v/>
      </c>
      <c r="M204" s="14" t="str">
        <f aca="false">IF(A204="","",IFERROR((SUMIFS('Weekly Log'!$F:$F,'Weekly Log'!$C:$C,A204)+SUMIFS('Weekly Log'!$G:$G,'Weekly Log'!$C:$C,A204))/(COUNTIFS('Weekly Log'!$C:$C,A204,'Weekly Log'!$F:$F,"&lt;&gt;")+COUNTIFS('Weekly Log'!$C:$C,A204,'Weekly Log'!$G:$G,"&lt;&gt;")),""))</f>
        <v/>
      </c>
      <c r="N204" s="15" t="str">
        <f aca="false">IF(A204="","",IF(K204=0,"",_xlfn.MAXIFS('Weekly Log'!$A:$A,'Weekly Log'!$C:$C,A204,'Weekly Log'!$E:$E,"Yes")))</f>
        <v/>
      </c>
      <c r="O204" s="12" t="str">
        <f aca="true">IF(N204="","",MAX(0,INT((TODAY()-N204)/7)))</f>
        <v/>
      </c>
      <c r="Q204" s="12" t="str">
        <f aca="false">IF(A204="","",IFERROR(LOOKUP(2,1/(('Weekly Log'!$C$4:$C$1003=A204)*('Weekly Log'!$I$4:$I$1003&lt;&gt;"")),'Weekly Log'!$I$4:$I$1003),""))</f>
        <v/>
      </c>
    </row>
    <row r="205" customFormat="false" ht="15" hidden="false" customHeight="false" outlineLevel="0" collapsed="false">
      <c r="H205" s="16"/>
      <c r="J205" s="12" t="str">
        <f aca="false">IF(A205="","",COUNTIF('Weekly Log'!$C:$C,A205))</f>
        <v/>
      </c>
      <c r="K205" s="12" t="str">
        <f aca="false">IF(A205="","",COUNTIFS('Weekly Log'!$C:$C,A205,'Weekly Log'!$E:$E,"Yes"))</f>
        <v/>
      </c>
      <c r="L205" s="13" t="str">
        <f aca="false">IF(A205="","",IF(J205=0,"",K205/J205))</f>
        <v/>
      </c>
      <c r="M205" s="14" t="str">
        <f aca="false">IF(A205="","",IFERROR((SUMIFS('Weekly Log'!$F:$F,'Weekly Log'!$C:$C,A205)+SUMIFS('Weekly Log'!$G:$G,'Weekly Log'!$C:$C,A205))/(COUNTIFS('Weekly Log'!$C:$C,A205,'Weekly Log'!$F:$F,"&lt;&gt;")+COUNTIFS('Weekly Log'!$C:$C,A205,'Weekly Log'!$G:$G,"&lt;&gt;")),""))</f>
        <v/>
      </c>
      <c r="N205" s="15" t="str">
        <f aca="false">IF(A205="","",IF(K205=0,"",_xlfn.MAXIFS('Weekly Log'!$A:$A,'Weekly Log'!$C:$C,A205,'Weekly Log'!$E:$E,"Yes")))</f>
        <v/>
      </c>
      <c r="O205" s="12" t="str">
        <f aca="true">IF(N205="","",MAX(0,INT((TODAY()-N205)/7)))</f>
        <v/>
      </c>
      <c r="Q205" s="12" t="str">
        <f aca="false">IF(A205="","",IFERROR(LOOKUP(2,1/(('Weekly Log'!$C$4:$C$1003=A205)*('Weekly Log'!$I$4:$I$1003&lt;&gt;"")),'Weekly Log'!$I$4:$I$1003),""))</f>
        <v/>
      </c>
    </row>
    <row r="206" customFormat="false" ht="15" hidden="false" customHeight="false" outlineLevel="0" collapsed="false">
      <c r="H206" s="16"/>
      <c r="J206" s="12" t="str">
        <f aca="false">IF(A206="","",COUNTIF('Weekly Log'!$C:$C,A206))</f>
        <v/>
      </c>
      <c r="K206" s="12" t="str">
        <f aca="false">IF(A206="","",COUNTIFS('Weekly Log'!$C:$C,A206,'Weekly Log'!$E:$E,"Yes"))</f>
        <v/>
      </c>
      <c r="L206" s="13" t="str">
        <f aca="false">IF(A206="","",IF(J206=0,"",K206/J206))</f>
        <v/>
      </c>
      <c r="M206" s="14" t="str">
        <f aca="false">IF(A206="","",IFERROR((SUMIFS('Weekly Log'!$F:$F,'Weekly Log'!$C:$C,A206)+SUMIFS('Weekly Log'!$G:$G,'Weekly Log'!$C:$C,A206))/(COUNTIFS('Weekly Log'!$C:$C,A206,'Weekly Log'!$F:$F,"&lt;&gt;")+COUNTIFS('Weekly Log'!$C:$C,A206,'Weekly Log'!$G:$G,"&lt;&gt;")),""))</f>
        <v/>
      </c>
      <c r="N206" s="15" t="str">
        <f aca="false">IF(A206="","",IF(K206=0,"",_xlfn.MAXIFS('Weekly Log'!$A:$A,'Weekly Log'!$C:$C,A206,'Weekly Log'!$E:$E,"Yes")))</f>
        <v/>
      </c>
      <c r="O206" s="12" t="str">
        <f aca="true">IF(N206="","",MAX(0,INT((TODAY()-N206)/7)))</f>
        <v/>
      </c>
      <c r="Q206" s="12" t="str">
        <f aca="false">IF(A206="","",IFERROR(LOOKUP(2,1/(('Weekly Log'!$C$4:$C$1003=A206)*('Weekly Log'!$I$4:$I$1003&lt;&gt;"")),'Weekly Log'!$I$4:$I$1003),""))</f>
        <v/>
      </c>
    </row>
    <row r="207" customFormat="false" ht="15" hidden="false" customHeight="false" outlineLevel="0" collapsed="false">
      <c r="H207" s="16"/>
      <c r="J207" s="12" t="str">
        <f aca="false">IF(A207="","",COUNTIF('Weekly Log'!$C:$C,A207))</f>
        <v/>
      </c>
      <c r="K207" s="12" t="str">
        <f aca="false">IF(A207="","",COUNTIFS('Weekly Log'!$C:$C,A207,'Weekly Log'!$E:$E,"Yes"))</f>
        <v/>
      </c>
      <c r="L207" s="13" t="str">
        <f aca="false">IF(A207="","",IF(J207=0,"",K207/J207))</f>
        <v/>
      </c>
      <c r="M207" s="14" t="str">
        <f aca="false">IF(A207="","",IFERROR((SUMIFS('Weekly Log'!$F:$F,'Weekly Log'!$C:$C,A207)+SUMIFS('Weekly Log'!$G:$G,'Weekly Log'!$C:$C,A207))/(COUNTIFS('Weekly Log'!$C:$C,A207,'Weekly Log'!$F:$F,"&lt;&gt;")+COUNTIFS('Weekly Log'!$C:$C,A207,'Weekly Log'!$G:$G,"&lt;&gt;")),""))</f>
        <v/>
      </c>
      <c r="N207" s="15" t="str">
        <f aca="false">IF(A207="","",IF(K207=0,"",_xlfn.MAXIFS('Weekly Log'!$A:$A,'Weekly Log'!$C:$C,A207,'Weekly Log'!$E:$E,"Yes")))</f>
        <v/>
      </c>
      <c r="O207" s="12" t="str">
        <f aca="true">IF(N207="","",MAX(0,INT((TODAY()-N207)/7)))</f>
        <v/>
      </c>
      <c r="Q207" s="12" t="str">
        <f aca="false">IF(A207="","",IFERROR(LOOKUP(2,1/(('Weekly Log'!$C$4:$C$1003=A207)*('Weekly Log'!$I$4:$I$1003&lt;&gt;"")),'Weekly Log'!$I$4:$I$1003),""))</f>
        <v/>
      </c>
    </row>
    <row r="208" customFormat="false" ht="15" hidden="false" customHeight="false" outlineLevel="0" collapsed="false">
      <c r="H208" s="16"/>
      <c r="J208" s="12" t="str">
        <f aca="false">IF(A208="","",COUNTIF('Weekly Log'!$C:$C,A208))</f>
        <v/>
      </c>
      <c r="K208" s="12" t="str">
        <f aca="false">IF(A208="","",COUNTIFS('Weekly Log'!$C:$C,A208,'Weekly Log'!$E:$E,"Yes"))</f>
        <v/>
      </c>
      <c r="L208" s="13" t="str">
        <f aca="false">IF(A208="","",IF(J208=0,"",K208/J208))</f>
        <v/>
      </c>
      <c r="M208" s="14" t="str">
        <f aca="false">IF(A208="","",IFERROR((SUMIFS('Weekly Log'!$F:$F,'Weekly Log'!$C:$C,A208)+SUMIFS('Weekly Log'!$G:$G,'Weekly Log'!$C:$C,A208))/(COUNTIFS('Weekly Log'!$C:$C,A208,'Weekly Log'!$F:$F,"&lt;&gt;")+COUNTIFS('Weekly Log'!$C:$C,A208,'Weekly Log'!$G:$G,"&lt;&gt;")),""))</f>
        <v/>
      </c>
      <c r="N208" s="15" t="str">
        <f aca="false">IF(A208="","",IF(K208=0,"",_xlfn.MAXIFS('Weekly Log'!$A:$A,'Weekly Log'!$C:$C,A208,'Weekly Log'!$E:$E,"Yes")))</f>
        <v/>
      </c>
      <c r="O208" s="12" t="str">
        <f aca="true">IF(N208="","",MAX(0,INT((TODAY()-N208)/7)))</f>
        <v/>
      </c>
      <c r="Q208" s="12" t="str">
        <f aca="false">IF(A208="","",IFERROR(LOOKUP(2,1/(('Weekly Log'!$C$4:$C$1003=A208)*('Weekly Log'!$I$4:$I$1003&lt;&gt;"")),'Weekly Log'!$I$4:$I$1003),""))</f>
        <v/>
      </c>
    </row>
    <row r="209" customFormat="false" ht="15" hidden="false" customHeight="false" outlineLevel="0" collapsed="false">
      <c r="H209" s="16"/>
      <c r="J209" s="12" t="str">
        <f aca="false">IF(A209="","",COUNTIF('Weekly Log'!$C:$C,A209))</f>
        <v/>
      </c>
      <c r="K209" s="12" t="str">
        <f aca="false">IF(A209="","",COUNTIFS('Weekly Log'!$C:$C,A209,'Weekly Log'!$E:$E,"Yes"))</f>
        <v/>
      </c>
      <c r="L209" s="13" t="str">
        <f aca="false">IF(A209="","",IF(J209=0,"",K209/J209))</f>
        <v/>
      </c>
      <c r="M209" s="14" t="str">
        <f aca="false">IF(A209="","",IFERROR((SUMIFS('Weekly Log'!$F:$F,'Weekly Log'!$C:$C,A209)+SUMIFS('Weekly Log'!$G:$G,'Weekly Log'!$C:$C,A209))/(COUNTIFS('Weekly Log'!$C:$C,A209,'Weekly Log'!$F:$F,"&lt;&gt;")+COUNTIFS('Weekly Log'!$C:$C,A209,'Weekly Log'!$G:$G,"&lt;&gt;")),""))</f>
        <v/>
      </c>
      <c r="N209" s="15" t="str">
        <f aca="false">IF(A209="","",IF(K209=0,"",_xlfn.MAXIFS('Weekly Log'!$A:$A,'Weekly Log'!$C:$C,A209,'Weekly Log'!$E:$E,"Yes")))</f>
        <v/>
      </c>
      <c r="O209" s="12" t="str">
        <f aca="true">IF(N209="","",MAX(0,INT((TODAY()-N209)/7)))</f>
        <v/>
      </c>
      <c r="Q209" s="12" t="str">
        <f aca="false">IF(A209="","",IFERROR(LOOKUP(2,1/(('Weekly Log'!$C$4:$C$1003=A209)*('Weekly Log'!$I$4:$I$1003&lt;&gt;"")),'Weekly Log'!$I$4:$I$1003),""))</f>
        <v/>
      </c>
    </row>
    <row r="210" customFormat="false" ht="15" hidden="false" customHeight="false" outlineLevel="0" collapsed="false">
      <c r="H210" s="16"/>
      <c r="J210" s="12" t="str">
        <f aca="false">IF(A210="","",COUNTIF('Weekly Log'!$C:$C,A210))</f>
        <v/>
      </c>
      <c r="K210" s="12" t="str">
        <f aca="false">IF(A210="","",COUNTIFS('Weekly Log'!$C:$C,A210,'Weekly Log'!$E:$E,"Yes"))</f>
        <v/>
      </c>
      <c r="L210" s="13" t="str">
        <f aca="false">IF(A210="","",IF(J210=0,"",K210/J210))</f>
        <v/>
      </c>
      <c r="M210" s="14" t="str">
        <f aca="false">IF(A210="","",IFERROR((SUMIFS('Weekly Log'!$F:$F,'Weekly Log'!$C:$C,A210)+SUMIFS('Weekly Log'!$G:$G,'Weekly Log'!$C:$C,A210))/(COUNTIFS('Weekly Log'!$C:$C,A210,'Weekly Log'!$F:$F,"&lt;&gt;")+COUNTIFS('Weekly Log'!$C:$C,A210,'Weekly Log'!$G:$G,"&lt;&gt;")),""))</f>
        <v/>
      </c>
      <c r="N210" s="15" t="str">
        <f aca="false">IF(A210="","",IF(K210=0,"",_xlfn.MAXIFS('Weekly Log'!$A:$A,'Weekly Log'!$C:$C,A210,'Weekly Log'!$E:$E,"Yes")))</f>
        <v/>
      </c>
      <c r="O210" s="12" t="str">
        <f aca="true">IF(N210="","",MAX(0,INT((TODAY()-N210)/7)))</f>
        <v/>
      </c>
      <c r="Q210" s="12" t="str">
        <f aca="false">IF(A210="","",IFERROR(LOOKUP(2,1/(('Weekly Log'!$C$4:$C$1003=A210)*('Weekly Log'!$I$4:$I$1003&lt;&gt;"")),'Weekly Log'!$I$4:$I$1003),""))</f>
        <v/>
      </c>
    </row>
    <row r="211" customFormat="false" ht="15" hidden="false" customHeight="false" outlineLevel="0" collapsed="false">
      <c r="H211" s="16"/>
      <c r="J211" s="12" t="str">
        <f aca="false">IF(A211="","",COUNTIF('Weekly Log'!$C:$C,A211))</f>
        <v/>
      </c>
      <c r="K211" s="12" t="str">
        <f aca="false">IF(A211="","",COUNTIFS('Weekly Log'!$C:$C,A211,'Weekly Log'!$E:$E,"Yes"))</f>
        <v/>
      </c>
      <c r="L211" s="13" t="str">
        <f aca="false">IF(A211="","",IF(J211=0,"",K211/J211))</f>
        <v/>
      </c>
      <c r="M211" s="14" t="str">
        <f aca="false">IF(A211="","",IFERROR((SUMIFS('Weekly Log'!$F:$F,'Weekly Log'!$C:$C,A211)+SUMIFS('Weekly Log'!$G:$G,'Weekly Log'!$C:$C,A211))/(COUNTIFS('Weekly Log'!$C:$C,A211,'Weekly Log'!$F:$F,"&lt;&gt;")+COUNTIFS('Weekly Log'!$C:$C,A211,'Weekly Log'!$G:$G,"&lt;&gt;")),""))</f>
        <v/>
      </c>
      <c r="N211" s="15" t="str">
        <f aca="false">IF(A211="","",IF(K211=0,"",_xlfn.MAXIFS('Weekly Log'!$A:$A,'Weekly Log'!$C:$C,A211,'Weekly Log'!$E:$E,"Yes")))</f>
        <v/>
      </c>
      <c r="O211" s="12" t="str">
        <f aca="true">IF(N211="","",MAX(0,INT((TODAY()-N211)/7)))</f>
        <v/>
      </c>
      <c r="Q211" s="12" t="str">
        <f aca="false">IF(A211="","",IFERROR(LOOKUP(2,1/(('Weekly Log'!$C$4:$C$1003=A211)*('Weekly Log'!$I$4:$I$1003&lt;&gt;"")),'Weekly Log'!$I$4:$I$1003),""))</f>
        <v/>
      </c>
    </row>
    <row r="212" customFormat="false" ht="15" hidden="false" customHeight="false" outlineLevel="0" collapsed="false">
      <c r="H212" s="16"/>
      <c r="J212" s="12" t="str">
        <f aca="false">IF(A212="","",COUNTIF('Weekly Log'!$C:$C,A212))</f>
        <v/>
      </c>
      <c r="K212" s="12" t="str">
        <f aca="false">IF(A212="","",COUNTIFS('Weekly Log'!$C:$C,A212,'Weekly Log'!$E:$E,"Yes"))</f>
        <v/>
      </c>
      <c r="L212" s="13" t="str">
        <f aca="false">IF(A212="","",IF(J212=0,"",K212/J212))</f>
        <v/>
      </c>
      <c r="M212" s="14" t="str">
        <f aca="false">IF(A212="","",IFERROR((SUMIFS('Weekly Log'!$F:$F,'Weekly Log'!$C:$C,A212)+SUMIFS('Weekly Log'!$G:$G,'Weekly Log'!$C:$C,A212))/(COUNTIFS('Weekly Log'!$C:$C,A212,'Weekly Log'!$F:$F,"&lt;&gt;")+COUNTIFS('Weekly Log'!$C:$C,A212,'Weekly Log'!$G:$G,"&lt;&gt;")),""))</f>
        <v/>
      </c>
      <c r="N212" s="15" t="str">
        <f aca="false">IF(A212="","",IF(K212=0,"",_xlfn.MAXIFS('Weekly Log'!$A:$A,'Weekly Log'!$C:$C,A212,'Weekly Log'!$E:$E,"Yes")))</f>
        <v/>
      </c>
      <c r="O212" s="12" t="str">
        <f aca="true">IF(N212="","",MAX(0,INT((TODAY()-N212)/7)))</f>
        <v/>
      </c>
      <c r="Q212" s="12" t="str">
        <f aca="false">IF(A212="","",IFERROR(LOOKUP(2,1/(('Weekly Log'!$C$4:$C$1003=A212)*('Weekly Log'!$I$4:$I$1003&lt;&gt;"")),'Weekly Log'!$I$4:$I$1003),""))</f>
        <v/>
      </c>
    </row>
    <row r="213" customFormat="false" ht="15" hidden="false" customHeight="false" outlineLevel="0" collapsed="false">
      <c r="H213" s="16"/>
      <c r="J213" s="12" t="str">
        <f aca="false">IF(A213="","",COUNTIF('Weekly Log'!$C:$C,A213))</f>
        <v/>
      </c>
      <c r="K213" s="12" t="str">
        <f aca="false">IF(A213="","",COUNTIFS('Weekly Log'!$C:$C,A213,'Weekly Log'!$E:$E,"Yes"))</f>
        <v/>
      </c>
      <c r="L213" s="13" t="str">
        <f aca="false">IF(A213="","",IF(J213=0,"",K213/J213))</f>
        <v/>
      </c>
      <c r="M213" s="14" t="str">
        <f aca="false">IF(A213="","",IFERROR((SUMIFS('Weekly Log'!$F:$F,'Weekly Log'!$C:$C,A213)+SUMIFS('Weekly Log'!$G:$G,'Weekly Log'!$C:$C,A213))/(COUNTIFS('Weekly Log'!$C:$C,A213,'Weekly Log'!$F:$F,"&lt;&gt;")+COUNTIFS('Weekly Log'!$C:$C,A213,'Weekly Log'!$G:$G,"&lt;&gt;")),""))</f>
        <v/>
      </c>
      <c r="N213" s="15" t="str">
        <f aca="false">IF(A213="","",IF(K213=0,"",_xlfn.MAXIFS('Weekly Log'!$A:$A,'Weekly Log'!$C:$C,A213,'Weekly Log'!$E:$E,"Yes")))</f>
        <v/>
      </c>
      <c r="O213" s="12" t="str">
        <f aca="true">IF(N213="","",MAX(0,INT((TODAY()-N213)/7)))</f>
        <v/>
      </c>
      <c r="Q213" s="12" t="str">
        <f aca="false">IF(A213="","",IFERROR(LOOKUP(2,1/(('Weekly Log'!$C$4:$C$1003=A213)*('Weekly Log'!$I$4:$I$1003&lt;&gt;"")),'Weekly Log'!$I$4:$I$1003),""))</f>
        <v/>
      </c>
    </row>
    <row r="214" customFormat="false" ht="15" hidden="false" customHeight="false" outlineLevel="0" collapsed="false">
      <c r="H214" s="16"/>
      <c r="J214" s="12" t="str">
        <f aca="false">IF(A214="","",COUNTIF('Weekly Log'!$C:$C,A214))</f>
        <v/>
      </c>
      <c r="K214" s="12" t="str">
        <f aca="false">IF(A214="","",COUNTIFS('Weekly Log'!$C:$C,A214,'Weekly Log'!$E:$E,"Yes"))</f>
        <v/>
      </c>
      <c r="L214" s="13" t="str">
        <f aca="false">IF(A214="","",IF(J214=0,"",K214/J214))</f>
        <v/>
      </c>
      <c r="M214" s="14" t="str">
        <f aca="false">IF(A214="","",IFERROR((SUMIFS('Weekly Log'!$F:$F,'Weekly Log'!$C:$C,A214)+SUMIFS('Weekly Log'!$G:$G,'Weekly Log'!$C:$C,A214))/(COUNTIFS('Weekly Log'!$C:$C,A214,'Weekly Log'!$F:$F,"&lt;&gt;")+COUNTIFS('Weekly Log'!$C:$C,A214,'Weekly Log'!$G:$G,"&lt;&gt;")),""))</f>
        <v/>
      </c>
      <c r="N214" s="15" t="str">
        <f aca="false">IF(A214="","",IF(K214=0,"",_xlfn.MAXIFS('Weekly Log'!$A:$A,'Weekly Log'!$C:$C,A214,'Weekly Log'!$E:$E,"Yes")))</f>
        <v/>
      </c>
      <c r="O214" s="12" t="str">
        <f aca="true">IF(N214="","",MAX(0,INT((TODAY()-N214)/7)))</f>
        <v/>
      </c>
      <c r="Q214" s="12" t="str">
        <f aca="false">IF(A214="","",IFERROR(LOOKUP(2,1/(('Weekly Log'!$C$4:$C$1003=A214)*('Weekly Log'!$I$4:$I$1003&lt;&gt;"")),'Weekly Log'!$I$4:$I$1003),""))</f>
        <v/>
      </c>
    </row>
    <row r="215" customFormat="false" ht="15" hidden="false" customHeight="false" outlineLevel="0" collapsed="false">
      <c r="H215" s="16"/>
      <c r="J215" s="12" t="str">
        <f aca="false">IF(A215="","",COUNTIF('Weekly Log'!$C:$C,A215))</f>
        <v/>
      </c>
      <c r="K215" s="12" t="str">
        <f aca="false">IF(A215="","",COUNTIFS('Weekly Log'!$C:$C,A215,'Weekly Log'!$E:$E,"Yes"))</f>
        <v/>
      </c>
      <c r="L215" s="13" t="str">
        <f aca="false">IF(A215="","",IF(J215=0,"",K215/J215))</f>
        <v/>
      </c>
      <c r="M215" s="14" t="str">
        <f aca="false">IF(A215="","",IFERROR((SUMIFS('Weekly Log'!$F:$F,'Weekly Log'!$C:$C,A215)+SUMIFS('Weekly Log'!$G:$G,'Weekly Log'!$C:$C,A215))/(COUNTIFS('Weekly Log'!$C:$C,A215,'Weekly Log'!$F:$F,"&lt;&gt;")+COUNTIFS('Weekly Log'!$C:$C,A215,'Weekly Log'!$G:$G,"&lt;&gt;")),""))</f>
        <v/>
      </c>
      <c r="N215" s="15" t="str">
        <f aca="false">IF(A215="","",IF(K215=0,"",_xlfn.MAXIFS('Weekly Log'!$A:$A,'Weekly Log'!$C:$C,A215,'Weekly Log'!$E:$E,"Yes")))</f>
        <v/>
      </c>
      <c r="O215" s="12" t="str">
        <f aca="true">IF(N215="","",MAX(0,INT((TODAY()-N215)/7)))</f>
        <v/>
      </c>
      <c r="Q215" s="12" t="str">
        <f aca="false">IF(A215="","",IFERROR(LOOKUP(2,1/(('Weekly Log'!$C$4:$C$1003=A215)*('Weekly Log'!$I$4:$I$1003&lt;&gt;"")),'Weekly Log'!$I$4:$I$1003),""))</f>
        <v/>
      </c>
    </row>
    <row r="216" customFormat="false" ht="15" hidden="false" customHeight="false" outlineLevel="0" collapsed="false">
      <c r="H216" s="16"/>
      <c r="J216" s="12" t="str">
        <f aca="false">IF(A216="","",COUNTIF('Weekly Log'!$C:$C,A216))</f>
        <v/>
      </c>
      <c r="K216" s="12" t="str">
        <f aca="false">IF(A216="","",COUNTIFS('Weekly Log'!$C:$C,A216,'Weekly Log'!$E:$E,"Yes"))</f>
        <v/>
      </c>
      <c r="L216" s="13" t="str">
        <f aca="false">IF(A216="","",IF(J216=0,"",K216/J216))</f>
        <v/>
      </c>
      <c r="M216" s="14" t="str">
        <f aca="false">IF(A216="","",IFERROR((SUMIFS('Weekly Log'!$F:$F,'Weekly Log'!$C:$C,A216)+SUMIFS('Weekly Log'!$G:$G,'Weekly Log'!$C:$C,A216))/(COUNTIFS('Weekly Log'!$C:$C,A216,'Weekly Log'!$F:$F,"&lt;&gt;")+COUNTIFS('Weekly Log'!$C:$C,A216,'Weekly Log'!$G:$G,"&lt;&gt;")),""))</f>
        <v/>
      </c>
      <c r="N216" s="15" t="str">
        <f aca="false">IF(A216="","",IF(K216=0,"",_xlfn.MAXIFS('Weekly Log'!$A:$A,'Weekly Log'!$C:$C,A216,'Weekly Log'!$E:$E,"Yes")))</f>
        <v/>
      </c>
      <c r="O216" s="12" t="str">
        <f aca="true">IF(N216="","",MAX(0,INT((TODAY()-N216)/7)))</f>
        <v/>
      </c>
      <c r="Q216" s="12" t="str">
        <f aca="false">IF(A216="","",IFERROR(LOOKUP(2,1/(('Weekly Log'!$C$4:$C$1003=A216)*('Weekly Log'!$I$4:$I$1003&lt;&gt;"")),'Weekly Log'!$I$4:$I$1003),""))</f>
        <v/>
      </c>
    </row>
    <row r="217" customFormat="false" ht="15" hidden="false" customHeight="false" outlineLevel="0" collapsed="false">
      <c r="H217" s="16"/>
      <c r="J217" s="12" t="str">
        <f aca="false">IF(A217="","",COUNTIF('Weekly Log'!$C:$C,A217))</f>
        <v/>
      </c>
      <c r="K217" s="12" t="str">
        <f aca="false">IF(A217="","",COUNTIFS('Weekly Log'!$C:$C,A217,'Weekly Log'!$E:$E,"Yes"))</f>
        <v/>
      </c>
      <c r="L217" s="13" t="str">
        <f aca="false">IF(A217="","",IF(J217=0,"",K217/J217))</f>
        <v/>
      </c>
      <c r="M217" s="14" t="str">
        <f aca="false">IF(A217="","",IFERROR((SUMIFS('Weekly Log'!$F:$F,'Weekly Log'!$C:$C,A217)+SUMIFS('Weekly Log'!$G:$G,'Weekly Log'!$C:$C,A217))/(COUNTIFS('Weekly Log'!$C:$C,A217,'Weekly Log'!$F:$F,"&lt;&gt;")+COUNTIFS('Weekly Log'!$C:$C,A217,'Weekly Log'!$G:$G,"&lt;&gt;")),""))</f>
        <v/>
      </c>
      <c r="N217" s="15" t="str">
        <f aca="false">IF(A217="","",IF(K217=0,"",_xlfn.MAXIFS('Weekly Log'!$A:$A,'Weekly Log'!$C:$C,A217,'Weekly Log'!$E:$E,"Yes")))</f>
        <v/>
      </c>
      <c r="O217" s="12" t="str">
        <f aca="true">IF(N217="","",MAX(0,INT((TODAY()-N217)/7)))</f>
        <v/>
      </c>
      <c r="Q217" s="12" t="str">
        <f aca="false">IF(A217="","",IFERROR(LOOKUP(2,1/(('Weekly Log'!$C$4:$C$1003=A217)*('Weekly Log'!$I$4:$I$1003&lt;&gt;"")),'Weekly Log'!$I$4:$I$1003),""))</f>
        <v/>
      </c>
    </row>
    <row r="218" customFormat="false" ht="15" hidden="false" customHeight="false" outlineLevel="0" collapsed="false">
      <c r="H218" s="16"/>
      <c r="J218" s="12" t="str">
        <f aca="false">IF(A218="","",COUNTIF('Weekly Log'!$C:$C,A218))</f>
        <v/>
      </c>
      <c r="K218" s="12" t="str">
        <f aca="false">IF(A218="","",COUNTIFS('Weekly Log'!$C:$C,A218,'Weekly Log'!$E:$E,"Yes"))</f>
        <v/>
      </c>
      <c r="L218" s="13" t="str">
        <f aca="false">IF(A218="","",IF(J218=0,"",K218/J218))</f>
        <v/>
      </c>
      <c r="M218" s="14" t="str">
        <f aca="false">IF(A218="","",IFERROR((SUMIFS('Weekly Log'!$F:$F,'Weekly Log'!$C:$C,A218)+SUMIFS('Weekly Log'!$G:$G,'Weekly Log'!$C:$C,A218))/(COUNTIFS('Weekly Log'!$C:$C,A218,'Weekly Log'!$F:$F,"&lt;&gt;")+COUNTIFS('Weekly Log'!$C:$C,A218,'Weekly Log'!$G:$G,"&lt;&gt;")),""))</f>
        <v/>
      </c>
      <c r="N218" s="15" t="str">
        <f aca="false">IF(A218="","",IF(K218=0,"",_xlfn.MAXIFS('Weekly Log'!$A:$A,'Weekly Log'!$C:$C,A218,'Weekly Log'!$E:$E,"Yes")))</f>
        <v/>
      </c>
      <c r="O218" s="12" t="str">
        <f aca="true">IF(N218="","",MAX(0,INT((TODAY()-N218)/7)))</f>
        <v/>
      </c>
      <c r="Q218" s="12" t="str">
        <f aca="false">IF(A218="","",IFERROR(LOOKUP(2,1/(('Weekly Log'!$C$4:$C$1003=A218)*('Weekly Log'!$I$4:$I$1003&lt;&gt;"")),'Weekly Log'!$I$4:$I$1003),""))</f>
        <v/>
      </c>
    </row>
    <row r="219" customFormat="false" ht="15" hidden="false" customHeight="false" outlineLevel="0" collapsed="false">
      <c r="H219" s="16"/>
      <c r="J219" s="12" t="str">
        <f aca="false">IF(A219="","",COUNTIF('Weekly Log'!$C:$C,A219))</f>
        <v/>
      </c>
      <c r="K219" s="12" t="str">
        <f aca="false">IF(A219="","",COUNTIFS('Weekly Log'!$C:$C,A219,'Weekly Log'!$E:$E,"Yes"))</f>
        <v/>
      </c>
      <c r="L219" s="13" t="str">
        <f aca="false">IF(A219="","",IF(J219=0,"",K219/J219))</f>
        <v/>
      </c>
      <c r="M219" s="14" t="str">
        <f aca="false">IF(A219="","",IFERROR((SUMIFS('Weekly Log'!$F:$F,'Weekly Log'!$C:$C,A219)+SUMIFS('Weekly Log'!$G:$G,'Weekly Log'!$C:$C,A219))/(COUNTIFS('Weekly Log'!$C:$C,A219,'Weekly Log'!$F:$F,"&lt;&gt;")+COUNTIFS('Weekly Log'!$C:$C,A219,'Weekly Log'!$G:$G,"&lt;&gt;")),""))</f>
        <v/>
      </c>
      <c r="N219" s="15" t="str">
        <f aca="false">IF(A219="","",IF(K219=0,"",_xlfn.MAXIFS('Weekly Log'!$A:$A,'Weekly Log'!$C:$C,A219,'Weekly Log'!$E:$E,"Yes")))</f>
        <v/>
      </c>
      <c r="O219" s="12" t="str">
        <f aca="true">IF(N219="","",MAX(0,INT((TODAY()-N219)/7)))</f>
        <v/>
      </c>
      <c r="Q219" s="12" t="str">
        <f aca="false">IF(A219="","",IFERROR(LOOKUP(2,1/(('Weekly Log'!$C$4:$C$1003=A219)*('Weekly Log'!$I$4:$I$1003&lt;&gt;"")),'Weekly Log'!$I$4:$I$1003),""))</f>
        <v/>
      </c>
    </row>
    <row r="220" customFormat="false" ht="15" hidden="false" customHeight="false" outlineLevel="0" collapsed="false">
      <c r="H220" s="16"/>
      <c r="J220" s="12" t="str">
        <f aca="false">IF(A220="","",COUNTIF('Weekly Log'!$C:$C,A220))</f>
        <v/>
      </c>
      <c r="K220" s="12" t="str">
        <f aca="false">IF(A220="","",COUNTIFS('Weekly Log'!$C:$C,A220,'Weekly Log'!$E:$E,"Yes"))</f>
        <v/>
      </c>
      <c r="L220" s="13" t="str">
        <f aca="false">IF(A220="","",IF(J220=0,"",K220/J220))</f>
        <v/>
      </c>
      <c r="M220" s="14" t="str">
        <f aca="false">IF(A220="","",IFERROR((SUMIFS('Weekly Log'!$F:$F,'Weekly Log'!$C:$C,A220)+SUMIFS('Weekly Log'!$G:$G,'Weekly Log'!$C:$C,A220))/(COUNTIFS('Weekly Log'!$C:$C,A220,'Weekly Log'!$F:$F,"&lt;&gt;")+COUNTIFS('Weekly Log'!$C:$C,A220,'Weekly Log'!$G:$G,"&lt;&gt;")),""))</f>
        <v/>
      </c>
      <c r="N220" s="15" t="str">
        <f aca="false">IF(A220="","",IF(K220=0,"",_xlfn.MAXIFS('Weekly Log'!$A:$A,'Weekly Log'!$C:$C,A220,'Weekly Log'!$E:$E,"Yes")))</f>
        <v/>
      </c>
      <c r="O220" s="12" t="str">
        <f aca="true">IF(N220="","",MAX(0,INT((TODAY()-N220)/7)))</f>
        <v/>
      </c>
      <c r="Q220" s="12" t="str">
        <f aca="false">IF(A220="","",IFERROR(LOOKUP(2,1/(('Weekly Log'!$C$4:$C$1003=A220)*('Weekly Log'!$I$4:$I$1003&lt;&gt;"")),'Weekly Log'!$I$4:$I$1003),""))</f>
        <v/>
      </c>
    </row>
    <row r="221" customFormat="false" ht="15" hidden="false" customHeight="false" outlineLevel="0" collapsed="false">
      <c r="H221" s="16"/>
      <c r="J221" s="12" t="str">
        <f aca="false">IF(A221="","",COUNTIF('Weekly Log'!$C:$C,A221))</f>
        <v/>
      </c>
      <c r="K221" s="12" t="str">
        <f aca="false">IF(A221="","",COUNTIFS('Weekly Log'!$C:$C,A221,'Weekly Log'!$E:$E,"Yes"))</f>
        <v/>
      </c>
      <c r="L221" s="13" t="str">
        <f aca="false">IF(A221="","",IF(J221=0,"",K221/J221))</f>
        <v/>
      </c>
      <c r="M221" s="14" t="str">
        <f aca="false">IF(A221="","",IFERROR((SUMIFS('Weekly Log'!$F:$F,'Weekly Log'!$C:$C,A221)+SUMIFS('Weekly Log'!$G:$G,'Weekly Log'!$C:$C,A221))/(COUNTIFS('Weekly Log'!$C:$C,A221,'Weekly Log'!$F:$F,"&lt;&gt;")+COUNTIFS('Weekly Log'!$C:$C,A221,'Weekly Log'!$G:$G,"&lt;&gt;")),""))</f>
        <v/>
      </c>
      <c r="N221" s="15" t="str">
        <f aca="false">IF(A221="","",IF(K221=0,"",_xlfn.MAXIFS('Weekly Log'!$A:$A,'Weekly Log'!$C:$C,A221,'Weekly Log'!$E:$E,"Yes")))</f>
        <v/>
      </c>
      <c r="O221" s="12" t="str">
        <f aca="true">IF(N221="","",MAX(0,INT((TODAY()-N221)/7)))</f>
        <v/>
      </c>
      <c r="Q221" s="12" t="str">
        <f aca="false">IF(A221="","",IFERROR(LOOKUP(2,1/(('Weekly Log'!$C$4:$C$1003=A221)*('Weekly Log'!$I$4:$I$1003&lt;&gt;"")),'Weekly Log'!$I$4:$I$1003),""))</f>
        <v/>
      </c>
    </row>
    <row r="222" customFormat="false" ht="15" hidden="false" customHeight="false" outlineLevel="0" collapsed="false">
      <c r="H222" s="16"/>
      <c r="J222" s="12" t="str">
        <f aca="false">IF(A222="","",COUNTIF('Weekly Log'!$C:$C,A222))</f>
        <v/>
      </c>
      <c r="K222" s="12" t="str">
        <f aca="false">IF(A222="","",COUNTIFS('Weekly Log'!$C:$C,A222,'Weekly Log'!$E:$E,"Yes"))</f>
        <v/>
      </c>
      <c r="L222" s="13" t="str">
        <f aca="false">IF(A222="","",IF(J222=0,"",K222/J222))</f>
        <v/>
      </c>
      <c r="M222" s="14" t="str">
        <f aca="false">IF(A222="","",IFERROR((SUMIFS('Weekly Log'!$F:$F,'Weekly Log'!$C:$C,A222)+SUMIFS('Weekly Log'!$G:$G,'Weekly Log'!$C:$C,A222))/(COUNTIFS('Weekly Log'!$C:$C,A222,'Weekly Log'!$F:$F,"&lt;&gt;")+COUNTIFS('Weekly Log'!$C:$C,A222,'Weekly Log'!$G:$G,"&lt;&gt;")),""))</f>
        <v/>
      </c>
      <c r="N222" s="15" t="str">
        <f aca="false">IF(A222="","",IF(K222=0,"",_xlfn.MAXIFS('Weekly Log'!$A:$A,'Weekly Log'!$C:$C,A222,'Weekly Log'!$E:$E,"Yes")))</f>
        <v/>
      </c>
      <c r="O222" s="12" t="str">
        <f aca="true">IF(N222="","",MAX(0,INT((TODAY()-N222)/7)))</f>
        <v/>
      </c>
      <c r="Q222" s="12" t="str">
        <f aca="false">IF(A222="","",IFERROR(LOOKUP(2,1/(('Weekly Log'!$C$4:$C$1003=A222)*('Weekly Log'!$I$4:$I$1003&lt;&gt;"")),'Weekly Log'!$I$4:$I$1003),""))</f>
        <v/>
      </c>
    </row>
    <row r="223" customFormat="false" ht="15" hidden="false" customHeight="false" outlineLevel="0" collapsed="false">
      <c r="H223" s="16"/>
      <c r="J223" s="12" t="str">
        <f aca="false">IF(A223="","",COUNTIF('Weekly Log'!$C:$C,A223))</f>
        <v/>
      </c>
      <c r="K223" s="12" t="str">
        <f aca="false">IF(A223="","",COUNTIFS('Weekly Log'!$C:$C,A223,'Weekly Log'!$E:$E,"Yes"))</f>
        <v/>
      </c>
      <c r="L223" s="13" t="str">
        <f aca="false">IF(A223="","",IF(J223=0,"",K223/J223))</f>
        <v/>
      </c>
      <c r="M223" s="14" t="str">
        <f aca="false">IF(A223="","",IFERROR((SUMIFS('Weekly Log'!$F:$F,'Weekly Log'!$C:$C,A223)+SUMIFS('Weekly Log'!$G:$G,'Weekly Log'!$C:$C,A223))/(COUNTIFS('Weekly Log'!$C:$C,A223,'Weekly Log'!$F:$F,"&lt;&gt;")+COUNTIFS('Weekly Log'!$C:$C,A223,'Weekly Log'!$G:$G,"&lt;&gt;")),""))</f>
        <v/>
      </c>
      <c r="N223" s="15" t="str">
        <f aca="false">IF(A223="","",IF(K223=0,"",_xlfn.MAXIFS('Weekly Log'!$A:$A,'Weekly Log'!$C:$C,A223,'Weekly Log'!$E:$E,"Yes")))</f>
        <v/>
      </c>
      <c r="O223" s="12" t="str">
        <f aca="true">IF(N223="","",MAX(0,INT((TODAY()-N223)/7)))</f>
        <v/>
      </c>
      <c r="Q223" s="12" t="str">
        <f aca="false">IF(A223="","",IFERROR(LOOKUP(2,1/(('Weekly Log'!$C$4:$C$1003=A223)*('Weekly Log'!$I$4:$I$1003&lt;&gt;"")),'Weekly Log'!$I$4:$I$1003),""))</f>
        <v/>
      </c>
    </row>
    <row r="224" customFormat="false" ht="15" hidden="false" customHeight="false" outlineLevel="0" collapsed="false">
      <c r="H224" s="16"/>
      <c r="J224" s="12" t="str">
        <f aca="false">IF(A224="","",COUNTIF('Weekly Log'!$C:$C,A224))</f>
        <v/>
      </c>
      <c r="K224" s="12" t="str">
        <f aca="false">IF(A224="","",COUNTIFS('Weekly Log'!$C:$C,A224,'Weekly Log'!$E:$E,"Yes"))</f>
        <v/>
      </c>
      <c r="L224" s="13" t="str">
        <f aca="false">IF(A224="","",IF(J224=0,"",K224/J224))</f>
        <v/>
      </c>
      <c r="M224" s="14" t="str">
        <f aca="false">IF(A224="","",IFERROR((SUMIFS('Weekly Log'!$F:$F,'Weekly Log'!$C:$C,A224)+SUMIFS('Weekly Log'!$G:$G,'Weekly Log'!$C:$C,A224))/(COUNTIFS('Weekly Log'!$C:$C,A224,'Weekly Log'!$F:$F,"&lt;&gt;")+COUNTIFS('Weekly Log'!$C:$C,A224,'Weekly Log'!$G:$G,"&lt;&gt;")),""))</f>
        <v/>
      </c>
      <c r="N224" s="15" t="str">
        <f aca="false">IF(A224="","",IF(K224=0,"",_xlfn.MAXIFS('Weekly Log'!$A:$A,'Weekly Log'!$C:$C,A224,'Weekly Log'!$E:$E,"Yes")))</f>
        <v/>
      </c>
      <c r="O224" s="12" t="str">
        <f aca="true">IF(N224="","",MAX(0,INT((TODAY()-N224)/7)))</f>
        <v/>
      </c>
      <c r="Q224" s="12" t="str">
        <f aca="false">IF(A224="","",IFERROR(LOOKUP(2,1/(('Weekly Log'!$C$4:$C$1003=A224)*('Weekly Log'!$I$4:$I$1003&lt;&gt;"")),'Weekly Log'!$I$4:$I$1003),""))</f>
        <v/>
      </c>
    </row>
    <row r="225" customFormat="false" ht="15" hidden="false" customHeight="false" outlineLevel="0" collapsed="false">
      <c r="H225" s="16"/>
      <c r="J225" s="12" t="str">
        <f aca="false">IF(A225="","",COUNTIF('Weekly Log'!$C:$C,A225))</f>
        <v/>
      </c>
      <c r="K225" s="12" t="str">
        <f aca="false">IF(A225="","",COUNTIFS('Weekly Log'!$C:$C,A225,'Weekly Log'!$E:$E,"Yes"))</f>
        <v/>
      </c>
      <c r="L225" s="13" t="str">
        <f aca="false">IF(A225="","",IF(J225=0,"",K225/J225))</f>
        <v/>
      </c>
      <c r="M225" s="14" t="str">
        <f aca="false">IF(A225="","",IFERROR((SUMIFS('Weekly Log'!$F:$F,'Weekly Log'!$C:$C,A225)+SUMIFS('Weekly Log'!$G:$G,'Weekly Log'!$C:$C,A225))/(COUNTIFS('Weekly Log'!$C:$C,A225,'Weekly Log'!$F:$F,"&lt;&gt;")+COUNTIFS('Weekly Log'!$C:$C,A225,'Weekly Log'!$G:$G,"&lt;&gt;")),""))</f>
        <v/>
      </c>
      <c r="N225" s="15" t="str">
        <f aca="false">IF(A225="","",IF(K225=0,"",_xlfn.MAXIFS('Weekly Log'!$A:$A,'Weekly Log'!$C:$C,A225,'Weekly Log'!$E:$E,"Yes")))</f>
        <v/>
      </c>
      <c r="O225" s="12" t="str">
        <f aca="true">IF(N225="","",MAX(0,INT((TODAY()-N225)/7)))</f>
        <v/>
      </c>
      <c r="Q225" s="12" t="str">
        <f aca="false">IF(A225="","",IFERROR(LOOKUP(2,1/(('Weekly Log'!$C$4:$C$1003=A225)*('Weekly Log'!$I$4:$I$1003&lt;&gt;"")),'Weekly Log'!$I$4:$I$1003),""))</f>
        <v/>
      </c>
    </row>
    <row r="226" customFormat="false" ht="15" hidden="false" customHeight="false" outlineLevel="0" collapsed="false">
      <c r="H226" s="16"/>
      <c r="J226" s="12" t="str">
        <f aca="false">IF(A226="","",COUNTIF('Weekly Log'!$C:$C,A226))</f>
        <v/>
      </c>
      <c r="K226" s="12" t="str">
        <f aca="false">IF(A226="","",COUNTIFS('Weekly Log'!$C:$C,A226,'Weekly Log'!$E:$E,"Yes"))</f>
        <v/>
      </c>
      <c r="L226" s="13" t="str">
        <f aca="false">IF(A226="","",IF(J226=0,"",K226/J226))</f>
        <v/>
      </c>
      <c r="M226" s="14" t="str">
        <f aca="false">IF(A226="","",IFERROR((SUMIFS('Weekly Log'!$F:$F,'Weekly Log'!$C:$C,A226)+SUMIFS('Weekly Log'!$G:$G,'Weekly Log'!$C:$C,A226))/(COUNTIFS('Weekly Log'!$C:$C,A226,'Weekly Log'!$F:$F,"&lt;&gt;")+COUNTIFS('Weekly Log'!$C:$C,A226,'Weekly Log'!$G:$G,"&lt;&gt;")),""))</f>
        <v/>
      </c>
      <c r="N226" s="15" t="str">
        <f aca="false">IF(A226="","",IF(K226=0,"",_xlfn.MAXIFS('Weekly Log'!$A:$A,'Weekly Log'!$C:$C,A226,'Weekly Log'!$E:$E,"Yes")))</f>
        <v/>
      </c>
      <c r="O226" s="12" t="str">
        <f aca="true">IF(N226="","",MAX(0,INT((TODAY()-N226)/7)))</f>
        <v/>
      </c>
      <c r="Q226" s="12" t="str">
        <f aca="false">IF(A226="","",IFERROR(LOOKUP(2,1/(('Weekly Log'!$C$4:$C$1003=A226)*('Weekly Log'!$I$4:$I$1003&lt;&gt;"")),'Weekly Log'!$I$4:$I$1003),""))</f>
        <v/>
      </c>
    </row>
    <row r="227" customFormat="false" ht="15" hidden="false" customHeight="false" outlineLevel="0" collapsed="false">
      <c r="H227" s="16"/>
      <c r="J227" s="12" t="str">
        <f aca="false">IF(A227="","",COUNTIF('Weekly Log'!$C:$C,A227))</f>
        <v/>
      </c>
      <c r="K227" s="12" t="str">
        <f aca="false">IF(A227="","",COUNTIFS('Weekly Log'!$C:$C,A227,'Weekly Log'!$E:$E,"Yes"))</f>
        <v/>
      </c>
      <c r="L227" s="13" t="str">
        <f aca="false">IF(A227="","",IF(J227=0,"",K227/J227))</f>
        <v/>
      </c>
      <c r="M227" s="14" t="str">
        <f aca="false">IF(A227="","",IFERROR((SUMIFS('Weekly Log'!$F:$F,'Weekly Log'!$C:$C,A227)+SUMIFS('Weekly Log'!$G:$G,'Weekly Log'!$C:$C,A227))/(COUNTIFS('Weekly Log'!$C:$C,A227,'Weekly Log'!$F:$F,"&lt;&gt;")+COUNTIFS('Weekly Log'!$C:$C,A227,'Weekly Log'!$G:$G,"&lt;&gt;")),""))</f>
        <v/>
      </c>
      <c r="N227" s="15" t="str">
        <f aca="false">IF(A227="","",IF(K227=0,"",_xlfn.MAXIFS('Weekly Log'!$A:$A,'Weekly Log'!$C:$C,A227,'Weekly Log'!$E:$E,"Yes")))</f>
        <v/>
      </c>
      <c r="O227" s="12" t="str">
        <f aca="true">IF(N227="","",MAX(0,INT((TODAY()-N227)/7)))</f>
        <v/>
      </c>
      <c r="Q227" s="12" t="str">
        <f aca="false">IF(A227="","",IFERROR(LOOKUP(2,1/(('Weekly Log'!$C$4:$C$1003=A227)*('Weekly Log'!$I$4:$I$1003&lt;&gt;"")),'Weekly Log'!$I$4:$I$1003),""))</f>
        <v/>
      </c>
    </row>
    <row r="228" customFormat="false" ht="15" hidden="false" customHeight="false" outlineLevel="0" collapsed="false">
      <c r="H228" s="16"/>
      <c r="J228" s="12" t="str">
        <f aca="false">IF(A228="","",COUNTIF('Weekly Log'!$C:$C,A228))</f>
        <v/>
      </c>
      <c r="K228" s="12" t="str">
        <f aca="false">IF(A228="","",COUNTIFS('Weekly Log'!$C:$C,A228,'Weekly Log'!$E:$E,"Yes"))</f>
        <v/>
      </c>
      <c r="L228" s="13" t="str">
        <f aca="false">IF(A228="","",IF(J228=0,"",K228/J228))</f>
        <v/>
      </c>
      <c r="M228" s="14" t="str">
        <f aca="false">IF(A228="","",IFERROR((SUMIFS('Weekly Log'!$F:$F,'Weekly Log'!$C:$C,A228)+SUMIFS('Weekly Log'!$G:$G,'Weekly Log'!$C:$C,A228))/(COUNTIFS('Weekly Log'!$C:$C,A228,'Weekly Log'!$F:$F,"&lt;&gt;")+COUNTIFS('Weekly Log'!$C:$C,A228,'Weekly Log'!$G:$G,"&lt;&gt;")),""))</f>
        <v/>
      </c>
      <c r="N228" s="15" t="str">
        <f aca="false">IF(A228="","",IF(K228=0,"",_xlfn.MAXIFS('Weekly Log'!$A:$A,'Weekly Log'!$C:$C,A228,'Weekly Log'!$E:$E,"Yes")))</f>
        <v/>
      </c>
      <c r="O228" s="12" t="str">
        <f aca="true">IF(N228="","",MAX(0,INT((TODAY()-N228)/7)))</f>
        <v/>
      </c>
      <c r="Q228" s="12" t="str">
        <f aca="false">IF(A228="","",IFERROR(LOOKUP(2,1/(('Weekly Log'!$C$4:$C$1003=A228)*('Weekly Log'!$I$4:$I$1003&lt;&gt;"")),'Weekly Log'!$I$4:$I$1003),""))</f>
        <v/>
      </c>
    </row>
    <row r="229" customFormat="false" ht="15" hidden="false" customHeight="false" outlineLevel="0" collapsed="false">
      <c r="H229" s="16"/>
      <c r="J229" s="12" t="str">
        <f aca="false">IF(A229="","",COUNTIF('Weekly Log'!$C:$C,A229))</f>
        <v/>
      </c>
      <c r="K229" s="12" t="str">
        <f aca="false">IF(A229="","",COUNTIFS('Weekly Log'!$C:$C,A229,'Weekly Log'!$E:$E,"Yes"))</f>
        <v/>
      </c>
      <c r="L229" s="13" t="str">
        <f aca="false">IF(A229="","",IF(J229=0,"",K229/J229))</f>
        <v/>
      </c>
      <c r="M229" s="14" t="str">
        <f aca="false">IF(A229="","",IFERROR((SUMIFS('Weekly Log'!$F:$F,'Weekly Log'!$C:$C,A229)+SUMIFS('Weekly Log'!$G:$G,'Weekly Log'!$C:$C,A229))/(COUNTIFS('Weekly Log'!$C:$C,A229,'Weekly Log'!$F:$F,"&lt;&gt;")+COUNTIFS('Weekly Log'!$C:$C,A229,'Weekly Log'!$G:$G,"&lt;&gt;")),""))</f>
        <v/>
      </c>
      <c r="N229" s="15" t="str">
        <f aca="false">IF(A229="","",IF(K229=0,"",_xlfn.MAXIFS('Weekly Log'!$A:$A,'Weekly Log'!$C:$C,A229,'Weekly Log'!$E:$E,"Yes")))</f>
        <v/>
      </c>
      <c r="O229" s="12" t="str">
        <f aca="true">IF(N229="","",MAX(0,INT((TODAY()-N229)/7)))</f>
        <v/>
      </c>
      <c r="Q229" s="12" t="str">
        <f aca="false">IF(A229="","",IFERROR(LOOKUP(2,1/(('Weekly Log'!$C$4:$C$1003=A229)*('Weekly Log'!$I$4:$I$1003&lt;&gt;"")),'Weekly Log'!$I$4:$I$1003),""))</f>
        <v/>
      </c>
    </row>
    <row r="230" customFormat="false" ht="15" hidden="false" customHeight="false" outlineLevel="0" collapsed="false">
      <c r="H230" s="16"/>
      <c r="J230" s="12" t="str">
        <f aca="false">IF(A230="","",COUNTIF('Weekly Log'!$C:$C,A230))</f>
        <v/>
      </c>
      <c r="K230" s="12" t="str">
        <f aca="false">IF(A230="","",COUNTIFS('Weekly Log'!$C:$C,A230,'Weekly Log'!$E:$E,"Yes"))</f>
        <v/>
      </c>
      <c r="L230" s="13" t="str">
        <f aca="false">IF(A230="","",IF(J230=0,"",K230/J230))</f>
        <v/>
      </c>
      <c r="M230" s="14" t="str">
        <f aca="false">IF(A230="","",IFERROR((SUMIFS('Weekly Log'!$F:$F,'Weekly Log'!$C:$C,A230)+SUMIFS('Weekly Log'!$G:$G,'Weekly Log'!$C:$C,A230))/(COUNTIFS('Weekly Log'!$C:$C,A230,'Weekly Log'!$F:$F,"&lt;&gt;")+COUNTIFS('Weekly Log'!$C:$C,A230,'Weekly Log'!$G:$G,"&lt;&gt;")),""))</f>
        <v/>
      </c>
      <c r="N230" s="15" t="str">
        <f aca="false">IF(A230="","",IF(K230=0,"",_xlfn.MAXIFS('Weekly Log'!$A:$A,'Weekly Log'!$C:$C,A230,'Weekly Log'!$E:$E,"Yes")))</f>
        <v/>
      </c>
      <c r="O230" s="12" t="str">
        <f aca="true">IF(N230="","",MAX(0,INT((TODAY()-N230)/7)))</f>
        <v/>
      </c>
      <c r="Q230" s="12" t="str">
        <f aca="false">IF(A230="","",IFERROR(LOOKUP(2,1/(('Weekly Log'!$C$4:$C$1003=A230)*('Weekly Log'!$I$4:$I$1003&lt;&gt;"")),'Weekly Log'!$I$4:$I$1003),""))</f>
        <v/>
      </c>
    </row>
    <row r="231" customFormat="false" ht="15" hidden="false" customHeight="false" outlineLevel="0" collapsed="false">
      <c r="H231" s="16"/>
      <c r="J231" s="12" t="str">
        <f aca="false">IF(A231="","",COUNTIF('Weekly Log'!$C:$C,A231))</f>
        <v/>
      </c>
      <c r="K231" s="12" t="str">
        <f aca="false">IF(A231="","",COUNTIFS('Weekly Log'!$C:$C,A231,'Weekly Log'!$E:$E,"Yes"))</f>
        <v/>
      </c>
      <c r="L231" s="13" t="str">
        <f aca="false">IF(A231="","",IF(J231=0,"",K231/J231))</f>
        <v/>
      </c>
      <c r="M231" s="14" t="str">
        <f aca="false">IF(A231="","",IFERROR((SUMIFS('Weekly Log'!$F:$F,'Weekly Log'!$C:$C,A231)+SUMIFS('Weekly Log'!$G:$G,'Weekly Log'!$C:$C,A231))/(COUNTIFS('Weekly Log'!$C:$C,A231,'Weekly Log'!$F:$F,"&lt;&gt;")+COUNTIFS('Weekly Log'!$C:$C,A231,'Weekly Log'!$G:$G,"&lt;&gt;")),""))</f>
        <v/>
      </c>
      <c r="N231" s="15" t="str">
        <f aca="false">IF(A231="","",IF(K231=0,"",_xlfn.MAXIFS('Weekly Log'!$A:$A,'Weekly Log'!$C:$C,A231,'Weekly Log'!$E:$E,"Yes")))</f>
        <v/>
      </c>
      <c r="O231" s="12" t="str">
        <f aca="true">IF(N231="","",MAX(0,INT((TODAY()-N231)/7)))</f>
        <v/>
      </c>
      <c r="Q231" s="12" t="str">
        <f aca="false">IF(A231="","",IFERROR(LOOKUP(2,1/(('Weekly Log'!$C$4:$C$1003=A231)*('Weekly Log'!$I$4:$I$1003&lt;&gt;"")),'Weekly Log'!$I$4:$I$1003),""))</f>
        <v/>
      </c>
    </row>
    <row r="232" customFormat="false" ht="15" hidden="false" customHeight="false" outlineLevel="0" collapsed="false">
      <c r="H232" s="16"/>
      <c r="J232" s="12" t="str">
        <f aca="false">IF(A232="","",COUNTIF('Weekly Log'!$C:$C,A232))</f>
        <v/>
      </c>
      <c r="K232" s="12" t="str">
        <f aca="false">IF(A232="","",COUNTIFS('Weekly Log'!$C:$C,A232,'Weekly Log'!$E:$E,"Yes"))</f>
        <v/>
      </c>
      <c r="L232" s="13" t="str">
        <f aca="false">IF(A232="","",IF(J232=0,"",K232/J232))</f>
        <v/>
      </c>
      <c r="M232" s="14" t="str">
        <f aca="false">IF(A232="","",IFERROR((SUMIFS('Weekly Log'!$F:$F,'Weekly Log'!$C:$C,A232)+SUMIFS('Weekly Log'!$G:$G,'Weekly Log'!$C:$C,A232))/(COUNTIFS('Weekly Log'!$C:$C,A232,'Weekly Log'!$F:$F,"&lt;&gt;")+COUNTIFS('Weekly Log'!$C:$C,A232,'Weekly Log'!$G:$G,"&lt;&gt;")),""))</f>
        <v/>
      </c>
      <c r="N232" s="15" t="str">
        <f aca="false">IF(A232="","",IF(K232=0,"",_xlfn.MAXIFS('Weekly Log'!$A:$A,'Weekly Log'!$C:$C,A232,'Weekly Log'!$E:$E,"Yes")))</f>
        <v/>
      </c>
      <c r="O232" s="12" t="str">
        <f aca="true">IF(N232="","",MAX(0,INT((TODAY()-N232)/7)))</f>
        <v/>
      </c>
      <c r="Q232" s="12" t="str">
        <f aca="false">IF(A232="","",IFERROR(LOOKUP(2,1/(('Weekly Log'!$C$4:$C$1003=A232)*('Weekly Log'!$I$4:$I$1003&lt;&gt;"")),'Weekly Log'!$I$4:$I$1003),""))</f>
        <v/>
      </c>
    </row>
    <row r="233" customFormat="false" ht="15" hidden="false" customHeight="false" outlineLevel="0" collapsed="false">
      <c r="H233" s="16"/>
      <c r="J233" s="12" t="str">
        <f aca="false">IF(A233="","",COUNTIF('Weekly Log'!$C:$C,A233))</f>
        <v/>
      </c>
      <c r="K233" s="12" t="str">
        <f aca="false">IF(A233="","",COUNTIFS('Weekly Log'!$C:$C,A233,'Weekly Log'!$E:$E,"Yes"))</f>
        <v/>
      </c>
      <c r="L233" s="13" t="str">
        <f aca="false">IF(A233="","",IF(J233=0,"",K233/J233))</f>
        <v/>
      </c>
      <c r="M233" s="14" t="str">
        <f aca="false">IF(A233="","",IFERROR((SUMIFS('Weekly Log'!$F:$F,'Weekly Log'!$C:$C,A233)+SUMIFS('Weekly Log'!$G:$G,'Weekly Log'!$C:$C,A233))/(COUNTIFS('Weekly Log'!$C:$C,A233,'Weekly Log'!$F:$F,"&lt;&gt;")+COUNTIFS('Weekly Log'!$C:$C,A233,'Weekly Log'!$G:$G,"&lt;&gt;")),""))</f>
        <v/>
      </c>
      <c r="N233" s="15" t="str">
        <f aca="false">IF(A233="","",IF(K233=0,"",_xlfn.MAXIFS('Weekly Log'!$A:$A,'Weekly Log'!$C:$C,A233,'Weekly Log'!$E:$E,"Yes")))</f>
        <v/>
      </c>
      <c r="O233" s="12" t="str">
        <f aca="true">IF(N233="","",MAX(0,INT((TODAY()-N233)/7)))</f>
        <v/>
      </c>
      <c r="Q233" s="12" t="str">
        <f aca="false">IF(A233="","",IFERROR(LOOKUP(2,1/(('Weekly Log'!$C$4:$C$1003=A233)*('Weekly Log'!$I$4:$I$1003&lt;&gt;"")),'Weekly Log'!$I$4:$I$1003),""))</f>
        <v/>
      </c>
    </row>
    <row r="234" customFormat="false" ht="15" hidden="false" customHeight="false" outlineLevel="0" collapsed="false">
      <c r="H234" s="16"/>
      <c r="J234" s="12" t="str">
        <f aca="false">IF(A234="","",COUNTIF('Weekly Log'!$C:$C,A234))</f>
        <v/>
      </c>
      <c r="K234" s="12" t="str">
        <f aca="false">IF(A234="","",COUNTIFS('Weekly Log'!$C:$C,A234,'Weekly Log'!$E:$E,"Yes"))</f>
        <v/>
      </c>
      <c r="L234" s="13" t="str">
        <f aca="false">IF(A234="","",IF(J234=0,"",K234/J234))</f>
        <v/>
      </c>
      <c r="M234" s="14" t="str">
        <f aca="false">IF(A234="","",IFERROR((SUMIFS('Weekly Log'!$F:$F,'Weekly Log'!$C:$C,A234)+SUMIFS('Weekly Log'!$G:$G,'Weekly Log'!$C:$C,A234))/(COUNTIFS('Weekly Log'!$C:$C,A234,'Weekly Log'!$F:$F,"&lt;&gt;")+COUNTIFS('Weekly Log'!$C:$C,A234,'Weekly Log'!$G:$G,"&lt;&gt;")),""))</f>
        <v/>
      </c>
      <c r="N234" s="15" t="str">
        <f aca="false">IF(A234="","",IF(K234=0,"",_xlfn.MAXIFS('Weekly Log'!$A:$A,'Weekly Log'!$C:$C,A234,'Weekly Log'!$E:$E,"Yes")))</f>
        <v/>
      </c>
      <c r="O234" s="12" t="str">
        <f aca="true">IF(N234="","",MAX(0,INT((TODAY()-N234)/7)))</f>
        <v/>
      </c>
      <c r="Q234" s="12" t="str">
        <f aca="false">IF(A234="","",IFERROR(LOOKUP(2,1/(('Weekly Log'!$C$4:$C$1003=A234)*('Weekly Log'!$I$4:$I$1003&lt;&gt;"")),'Weekly Log'!$I$4:$I$1003),""))</f>
        <v/>
      </c>
    </row>
    <row r="235" customFormat="false" ht="15" hidden="false" customHeight="false" outlineLevel="0" collapsed="false">
      <c r="H235" s="16"/>
      <c r="J235" s="12" t="str">
        <f aca="false">IF(A235="","",COUNTIF('Weekly Log'!$C:$C,A235))</f>
        <v/>
      </c>
      <c r="K235" s="12" t="str">
        <f aca="false">IF(A235="","",COUNTIFS('Weekly Log'!$C:$C,A235,'Weekly Log'!$E:$E,"Yes"))</f>
        <v/>
      </c>
      <c r="L235" s="13" t="str">
        <f aca="false">IF(A235="","",IF(J235=0,"",K235/J235))</f>
        <v/>
      </c>
      <c r="M235" s="14" t="str">
        <f aca="false">IF(A235="","",IFERROR((SUMIFS('Weekly Log'!$F:$F,'Weekly Log'!$C:$C,A235)+SUMIFS('Weekly Log'!$G:$G,'Weekly Log'!$C:$C,A235))/(COUNTIFS('Weekly Log'!$C:$C,A235,'Weekly Log'!$F:$F,"&lt;&gt;")+COUNTIFS('Weekly Log'!$C:$C,A235,'Weekly Log'!$G:$G,"&lt;&gt;")),""))</f>
        <v/>
      </c>
      <c r="N235" s="15" t="str">
        <f aca="false">IF(A235="","",IF(K235=0,"",_xlfn.MAXIFS('Weekly Log'!$A:$A,'Weekly Log'!$C:$C,A235,'Weekly Log'!$E:$E,"Yes")))</f>
        <v/>
      </c>
      <c r="O235" s="12" t="str">
        <f aca="true">IF(N235="","",MAX(0,INT((TODAY()-N235)/7)))</f>
        <v/>
      </c>
      <c r="Q235" s="12" t="str">
        <f aca="false">IF(A235="","",IFERROR(LOOKUP(2,1/(('Weekly Log'!$C$4:$C$1003=A235)*('Weekly Log'!$I$4:$I$1003&lt;&gt;"")),'Weekly Log'!$I$4:$I$1003),""))</f>
        <v/>
      </c>
    </row>
    <row r="236" customFormat="false" ht="15" hidden="false" customHeight="false" outlineLevel="0" collapsed="false">
      <c r="H236" s="16"/>
      <c r="J236" s="12" t="str">
        <f aca="false">IF(A236="","",COUNTIF('Weekly Log'!$C:$C,A236))</f>
        <v/>
      </c>
      <c r="K236" s="12" t="str">
        <f aca="false">IF(A236="","",COUNTIFS('Weekly Log'!$C:$C,A236,'Weekly Log'!$E:$E,"Yes"))</f>
        <v/>
      </c>
      <c r="L236" s="13" t="str">
        <f aca="false">IF(A236="","",IF(J236=0,"",K236/J236))</f>
        <v/>
      </c>
      <c r="M236" s="14" t="str">
        <f aca="false">IF(A236="","",IFERROR((SUMIFS('Weekly Log'!$F:$F,'Weekly Log'!$C:$C,A236)+SUMIFS('Weekly Log'!$G:$G,'Weekly Log'!$C:$C,A236))/(COUNTIFS('Weekly Log'!$C:$C,A236,'Weekly Log'!$F:$F,"&lt;&gt;")+COUNTIFS('Weekly Log'!$C:$C,A236,'Weekly Log'!$G:$G,"&lt;&gt;")),""))</f>
        <v/>
      </c>
      <c r="N236" s="15" t="str">
        <f aca="false">IF(A236="","",IF(K236=0,"",_xlfn.MAXIFS('Weekly Log'!$A:$A,'Weekly Log'!$C:$C,A236,'Weekly Log'!$E:$E,"Yes")))</f>
        <v/>
      </c>
      <c r="O236" s="12" t="str">
        <f aca="true">IF(N236="","",MAX(0,INT((TODAY()-N236)/7)))</f>
        <v/>
      </c>
      <c r="Q236" s="12" t="str">
        <f aca="false">IF(A236="","",IFERROR(LOOKUP(2,1/(('Weekly Log'!$C$4:$C$1003=A236)*('Weekly Log'!$I$4:$I$1003&lt;&gt;"")),'Weekly Log'!$I$4:$I$1003),""))</f>
        <v/>
      </c>
    </row>
    <row r="237" customFormat="false" ht="15" hidden="false" customHeight="false" outlineLevel="0" collapsed="false">
      <c r="H237" s="16"/>
      <c r="J237" s="12" t="str">
        <f aca="false">IF(A237="","",COUNTIF('Weekly Log'!$C:$C,A237))</f>
        <v/>
      </c>
      <c r="K237" s="12" t="str">
        <f aca="false">IF(A237="","",COUNTIFS('Weekly Log'!$C:$C,A237,'Weekly Log'!$E:$E,"Yes"))</f>
        <v/>
      </c>
      <c r="L237" s="13" t="str">
        <f aca="false">IF(A237="","",IF(J237=0,"",K237/J237))</f>
        <v/>
      </c>
      <c r="M237" s="14" t="str">
        <f aca="false">IF(A237="","",IFERROR((SUMIFS('Weekly Log'!$F:$F,'Weekly Log'!$C:$C,A237)+SUMIFS('Weekly Log'!$G:$G,'Weekly Log'!$C:$C,A237))/(COUNTIFS('Weekly Log'!$C:$C,A237,'Weekly Log'!$F:$F,"&lt;&gt;")+COUNTIFS('Weekly Log'!$C:$C,A237,'Weekly Log'!$G:$G,"&lt;&gt;")),""))</f>
        <v/>
      </c>
      <c r="N237" s="15" t="str">
        <f aca="false">IF(A237="","",IF(K237=0,"",_xlfn.MAXIFS('Weekly Log'!$A:$A,'Weekly Log'!$C:$C,A237,'Weekly Log'!$E:$E,"Yes")))</f>
        <v/>
      </c>
      <c r="O237" s="12" t="str">
        <f aca="true">IF(N237="","",MAX(0,INT((TODAY()-N237)/7)))</f>
        <v/>
      </c>
      <c r="Q237" s="12" t="str">
        <f aca="false">IF(A237="","",IFERROR(LOOKUP(2,1/(('Weekly Log'!$C$4:$C$1003=A237)*('Weekly Log'!$I$4:$I$1003&lt;&gt;"")),'Weekly Log'!$I$4:$I$1003),""))</f>
        <v/>
      </c>
    </row>
    <row r="238" customFormat="false" ht="15" hidden="false" customHeight="false" outlineLevel="0" collapsed="false">
      <c r="H238" s="16"/>
      <c r="J238" s="12" t="str">
        <f aca="false">IF(A238="","",COUNTIF('Weekly Log'!$C:$C,A238))</f>
        <v/>
      </c>
      <c r="K238" s="12" t="str">
        <f aca="false">IF(A238="","",COUNTIFS('Weekly Log'!$C:$C,A238,'Weekly Log'!$E:$E,"Yes"))</f>
        <v/>
      </c>
      <c r="L238" s="13" t="str">
        <f aca="false">IF(A238="","",IF(J238=0,"",K238/J238))</f>
        <v/>
      </c>
      <c r="M238" s="14" t="str">
        <f aca="false">IF(A238="","",IFERROR((SUMIFS('Weekly Log'!$F:$F,'Weekly Log'!$C:$C,A238)+SUMIFS('Weekly Log'!$G:$G,'Weekly Log'!$C:$C,A238))/(COUNTIFS('Weekly Log'!$C:$C,A238,'Weekly Log'!$F:$F,"&lt;&gt;")+COUNTIFS('Weekly Log'!$C:$C,A238,'Weekly Log'!$G:$G,"&lt;&gt;")),""))</f>
        <v/>
      </c>
      <c r="N238" s="15" t="str">
        <f aca="false">IF(A238="","",IF(K238=0,"",_xlfn.MAXIFS('Weekly Log'!$A:$A,'Weekly Log'!$C:$C,A238,'Weekly Log'!$E:$E,"Yes")))</f>
        <v/>
      </c>
      <c r="O238" s="12" t="str">
        <f aca="true">IF(N238="","",MAX(0,INT((TODAY()-N238)/7)))</f>
        <v/>
      </c>
      <c r="Q238" s="12" t="str">
        <f aca="false">IF(A238="","",IFERROR(LOOKUP(2,1/(('Weekly Log'!$C$4:$C$1003=A238)*('Weekly Log'!$I$4:$I$1003&lt;&gt;"")),'Weekly Log'!$I$4:$I$1003),""))</f>
        <v/>
      </c>
    </row>
    <row r="239" customFormat="false" ht="15" hidden="false" customHeight="false" outlineLevel="0" collapsed="false">
      <c r="H239" s="16"/>
      <c r="J239" s="12" t="str">
        <f aca="false">IF(A239="","",COUNTIF('Weekly Log'!$C:$C,A239))</f>
        <v/>
      </c>
      <c r="K239" s="12" t="str">
        <f aca="false">IF(A239="","",COUNTIFS('Weekly Log'!$C:$C,A239,'Weekly Log'!$E:$E,"Yes"))</f>
        <v/>
      </c>
      <c r="L239" s="13" t="str">
        <f aca="false">IF(A239="","",IF(J239=0,"",K239/J239))</f>
        <v/>
      </c>
      <c r="M239" s="14" t="str">
        <f aca="false">IF(A239="","",IFERROR((SUMIFS('Weekly Log'!$F:$F,'Weekly Log'!$C:$C,A239)+SUMIFS('Weekly Log'!$G:$G,'Weekly Log'!$C:$C,A239))/(COUNTIFS('Weekly Log'!$C:$C,A239,'Weekly Log'!$F:$F,"&lt;&gt;")+COUNTIFS('Weekly Log'!$C:$C,A239,'Weekly Log'!$G:$G,"&lt;&gt;")),""))</f>
        <v/>
      </c>
      <c r="N239" s="15" t="str">
        <f aca="false">IF(A239="","",IF(K239=0,"",_xlfn.MAXIFS('Weekly Log'!$A:$A,'Weekly Log'!$C:$C,A239,'Weekly Log'!$E:$E,"Yes")))</f>
        <v/>
      </c>
      <c r="O239" s="12" t="str">
        <f aca="true">IF(N239="","",MAX(0,INT((TODAY()-N239)/7)))</f>
        <v/>
      </c>
      <c r="Q239" s="12" t="str">
        <f aca="false">IF(A239="","",IFERROR(LOOKUP(2,1/(('Weekly Log'!$C$4:$C$1003=A239)*('Weekly Log'!$I$4:$I$1003&lt;&gt;"")),'Weekly Log'!$I$4:$I$1003),""))</f>
        <v/>
      </c>
    </row>
    <row r="240" customFormat="false" ht="15" hidden="false" customHeight="false" outlineLevel="0" collapsed="false">
      <c r="H240" s="16"/>
      <c r="J240" s="12" t="str">
        <f aca="false">IF(A240="","",COUNTIF('Weekly Log'!$C:$C,A240))</f>
        <v/>
      </c>
      <c r="K240" s="12" t="str">
        <f aca="false">IF(A240="","",COUNTIFS('Weekly Log'!$C:$C,A240,'Weekly Log'!$E:$E,"Yes"))</f>
        <v/>
      </c>
      <c r="L240" s="13" t="str">
        <f aca="false">IF(A240="","",IF(J240=0,"",K240/J240))</f>
        <v/>
      </c>
      <c r="M240" s="14" t="str">
        <f aca="false">IF(A240="","",IFERROR((SUMIFS('Weekly Log'!$F:$F,'Weekly Log'!$C:$C,A240)+SUMIFS('Weekly Log'!$G:$G,'Weekly Log'!$C:$C,A240))/(COUNTIFS('Weekly Log'!$C:$C,A240,'Weekly Log'!$F:$F,"&lt;&gt;")+COUNTIFS('Weekly Log'!$C:$C,A240,'Weekly Log'!$G:$G,"&lt;&gt;")),""))</f>
        <v/>
      </c>
      <c r="N240" s="15" t="str">
        <f aca="false">IF(A240="","",IF(K240=0,"",_xlfn.MAXIFS('Weekly Log'!$A:$A,'Weekly Log'!$C:$C,A240,'Weekly Log'!$E:$E,"Yes")))</f>
        <v/>
      </c>
      <c r="O240" s="12" t="str">
        <f aca="true">IF(N240="","",MAX(0,INT((TODAY()-N240)/7)))</f>
        <v/>
      </c>
      <c r="Q240" s="12" t="str">
        <f aca="false">IF(A240="","",IFERROR(LOOKUP(2,1/(('Weekly Log'!$C$4:$C$1003=A240)*('Weekly Log'!$I$4:$I$1003&lt;&gt;"")),'Weekly Log'!$I$4:$I$1003),""))</f>
        <v/>
      </c>
    </row>
    <row r="241" customFormat="false" ht="15" hidden="false" customHeight="false" outlineLevel="0" collapsed="false">
      <c r="H241" s="16"/>
      <c r="J241" s="12" t="str">
        <f aca="false">IF(A241="","",COUNTIF('Weekly Log'!$C:$C,A241))</f>
        <v/>
      </c>
      <c r="K241" s="12" t="str">
        <f aca="false">IF(A241="","",COUNTIFS('Weekly Log'!$C:$C,A241,'Weekly Log'!$E:$E,"Yes"))</f>
        <v/>
      </c>
      <c r="L241" s="13" t="str">
        <f aca="false">IF(A241="","",IF(J241=0,"",K241/J241))</f>
        <v/>
      </c>
      <c r="M241" s="14" t="str">
        <f aca="false">IF(A241="","",IFERROR((SUMIFS('Weekly Log'!$F:$F,'Weekly Log'!$C:$C,A241)+SUMIFS('Weekly Log'!$G:$G,'Weekly Log'!$C:$C,A241))/(COUNTIFS('Weekly Log'!$C:$C,A241,'Weekly Log'!$F:$F,"&lt;&gt;")+COUNTIFS('Weekly Log'!$C:$C,A241,'Weekly Log'!$G:$G,"&lt;&gt;")),""))</f>
        <v/>
      </c>
      <c r="N241" s="15" t="str">
        <f aca="false">IF(A241="","",IF(K241=0,"",_xlfn.MAXIFS('Weekly Log'!$A:$A,'Weekly Log'!$C:$C,A241,'Weekly Log'!$E:$E,"Yes")))</f>
        <v/>
      </c>
      <c r="O241" s="12" t="str">
        <f aca="true">IF(N241="","",MAX(0,INT((TODAY()-N241)/7)))</f>
        <v/>
      </c>
      <c r="Q241" s="12" t="str">
        <f aca="false">IF(A241="","",IFERROR(LOOKUP(2,1/(('Weekly Log'!$C$4:$C$1003=A241)*('Weekly Log'!$I$4:$I$1003&lt;&gt;"")),'Weekly Log'!$I$4:$I$1003),""))</f>
        <v/>
      </c>
    </row>
    <row r="242" customFormat="false" ht="15" hidden="false" customHeight="false" outlineLevel="0" collapsed="false">
      <c r="H242" s="16"/>
      <c r="J242" s="12" t="str">
        <f aca="false">IF(A242="","",COUNTIF('Weekly Log'!$C:$C,A242))</f>
        <v/>
      </c>
      <c r="K242" s="12" t="str">
        <f aca="false">IF(A242="","",COUNTIFS('Weekly Log'!$C:$C,A242,'Weekly Log'!$E:$E,"Yes"))</f>
        <v/>
      </c>
      <c r="L242" s="13" t="str">
        <f aca="false">IF(A242="","",IF(J242=0,"",K242/J242))</f>
        <v/>
      </c>
      <c r="M242" s="14" t="str">
        <f aca="false">IF(A242="","",IFERROR((SUMIFS('Weekly Log'!$F:$F,'Weekly Log'!$C:$C,A242)+SUMIFS('Weekly Log'!$G:$G,'Weekly Log'!$C:$C,A242))/(COUNTIFS('Weekly Log'!$C:$C,A242,'Weekly Log'!$F:$F,"&lt;&gt;")+COUNTIFS('Weekly Log'!$C:$C,A242,'Weekly Log'!$G:$G,"&lt;&gt;")),""))</f>
        <v/>
      </c>
      <c r="N242" s="15" t="str">
        <f aca="false">IF(A242="","",IF(K242=0,"",_xlfn.MAXIFS('Weekly Log'!$A:$A,'Weekly Log'!$C:$C,A242,'Weekly Log'!$E:$E,"Yes")))</f>
        <v/>
      </c>
      <c r="O242" s="12" t="str">
        <f aca="true">IF(N242="","",MAX(0,INT((TODAY()-N242)/7)))</f>
        <v/>
      </c>
      <c r="Q242" s="12" t="str">
        <f aca="false">IF(A242="","",IFERROR(LOOKUP(2,1/(('Weekly Log'!$C$4:$C$1003=A242)*('Weekly Log'!$I$4:$I$1003&lt;&gt;"")),'Weekly Log'!$I$4:$I$1003),""))</f>
        <v/>
      </c>
    </row>
    <row r="243" customFormat="false" ht="15" hidden="false" customHeight="false" outlineLevel="0" collapsed="false">
      <c r="H243" s="16"/>
      <c r="J243" s="12" t="str">
        <f aca="false">IF(A243="","",COUNTIF('Weekly Log'!$C:$C,A243))</f>
        <v/>
      </c>
      <c r="K243" s="12" t="str">
        <f aca="false">IF(A243="","",COUNTIFS('Weekly Log'!$C:$C,A243,'Weekly Log'!$E:$E,"Yes"))</f>
        <v/>
      </c>
      <c r="L243" s="13" t="str">
        <f aca="false">IF(A243="","",IF(J243=0,"",K243/J243))</f>
        <v/>
      </c>
      <c r="M243" s="14" t="str">
        <f aca="false">IF(A243="","",IFERROR((SUMIFS('Weekly Log'!$F:$F,'Weekly Log'!$C:$C,A243)+SUMIFS('Weekly Log'!$G:$G,'Weekly Log'!$C:$C,A243))/(COUNTIFS('Weekly Log'!$C:$C,A243,'Weekly Log'!$F:$F,"&lt;&gt;")+COUNTIFS('Weekly Log'!$C:$C,A243,'Weekly Log'!$G:$G,"&lt;&gt;")),""))</f>
        <v/>
      </c>
      <c r="N243" s="15" t="str">
        <f aca="false">IF(A243="","",IF(K243=0,"",_xlfn.MAXIFS('Weekly Log'!$A:$A,'Weekly Log'!$C:$C,A243,'Weekly Log'!$E:$E,"Yes")))</f>
        <v/>
      </c>
      <c r="O243" s="12" t="str">
        <f aca="true">IF(N243="","",MAX(0,INT((TODAY()-N243)/7)))</f>
        <v/>
      </c>
      <c r="Q243" s="12" t="str">
        <f aca="false">IF(A243="","",IFERROR(LOOKUP(2,1/(('Weekly Log'!$C$4:$C$1003=A243)*('Weekly Log'!$I$4:$I$1003&lt;&gt;"")),'Weekly Log'!$I$4:$I$1003),""))</f>
        <v/>
      </c>
    </row>
    <row r="244" customFormat="false" ht="15" hidden="false" customHeight="false" outlineLevel="0" collapsed="false">
      <c r="H244" s="16"/>
      <c r="J244" s="12" t="str">
        <f aca="false">IF(A244="","",COUNTIF('Weekly Log'!$C:$C,A244))</f>
        <v/>
      </c>
      <c r="K244" s="12" t="str">
        <f aca="false">IF(A244="","",COUNTIFS('Weekly Log'!$C:$C,A244,'Weekly Log'!$E:$E,"Yes"))</f>
        <v/>
      </c>
      <c r="L244" s="13" t="str">
        <f aca="false">IF(A244="","",IF(J244=0,"",K244/J244))</f>
        <v/>
      </c>
      <c r="M244" s="14" t="str">
        <f aca="false">IF(A244="","",IFERROR((SUMIFS('Weekly Log'!$F:$F,'Weekly Log'!$C:$C,A244)+SUMIFS('Weekly Log'!$G:$G,'Weekly Log'!$C:$C,A244))/(COUNTIFS('Weekly Log'!$C:$C,A244,'Weekly Log'!$F:$F,"&lt;&gt;")+COUNTIFS('Weekly Log'!$C:$C,A244,'Weekly Log'!$G:$G,"&lt;&gt;")),""))</f>
        <v/>
      </c>
      <c r="N244" s="15" t="str">
        <f aca="false">IF(A244="","",IF(K244=0,"",_xlfn.MAXIFS('Weekly Log'!$A:$A,'Weekly Log'!$C:$C,A244,'Weekly Log'!$E:$E,"Yes")))</f>
        <v/>
      </c>
      <c r="O244" s="12" t="str">
        <f aca="true">IF(N244="","",MAX(0,INT((TODAY()-N244)/7)))</f>
        <v/>
      </c>
      <c r="Q244" s="12" t="str">
        <f aca="false">IF(A244="","",IFERROR(LOOKUP(2,1/(('Weekly Log'!$C$4:$C$1003=A244)*('Weekly Log'!$I$4:$I$1003&lt;&gt;"")),'Weekly Log'!$I$4:$I$1003),""))</f>
        <v/>
      </c>
    </row>
    <row r="245" customFormat="false" ht="15" hidden="false" customHeight="false" outlineLevel="0" collapsed="false">
      <c r="H245" s="16"/>
      <c r="J245" s="12" t="str">
        <f aca="false">IF(A245="","",COUNTIF('Weekly Log'!$C:$C,A245))</f>
        <v/>
      </c>
      <c r="K245" s="12" t="str">
        <f aca="false">IF(A245="","",COUNTIFS('Weekly Log'!$C:$C,A245,'Weekly Log'!$E:$E,"Yes"))</f>
        <v/>
      </c>
      <c r="L245" s="13" t="str">
        <f aca="false">IF(A245="","",IF(J245=0,"",K245/J245))</f>
        <v/>
      </c>
      <c r="M245" s="14" t="str">
        <f aca="false">IF(A245="","",IFERROR((SUMIFS('Weekly Log'!$F:$F,'Weekly Log'!$C:$C,A245)+SUMIFS('Weekly Log'!$G:$G,'Weekly Log'!$C:$C,A245))/(COUNTIFS('Weekly Log'!$C:$C,A245,'Weekly Log'!$F:$F,"&lt;&gt;")+COUNTIFS('Weekly Log'!$C:$C,A245,'Weekly Log'!$G:$G,"&lt;&gt;")),""))</f>
        <v/>
      </c>
      <c r="N245" s="15" t="str">
        <f aca="false">IF(A245="","",IF(K245=0,"",_xlfn.MAXIFS('Weekly Log'!$A:$A,'Weekly Log'!$C:$C,A245,'Weekly Log'!$E:$E,"Yes")))</f>
        <v/>
      </c>
      <c r="O245" s="12" t="str">
        <f aca="true">IF(N245="","",MAX(0,INT((TODAY()-N245)/7)))</f>
        <v/>
      </c>
      <c r="Q245" s="12" t="str">
        <f aca="false">IF(A245="","",IFERROR(LOOKUP(2,1/(('Weekly Log'!$C$4:$C$1003=A245)*('Weekly Log'!$I$4:$I$1003&lt;&gt;"")),'Weekly Log'!$I$4:$I$1003),""))</f>
        <v/>
      </c>
    </row>
    <row r="246" customFormat="false" ht="15" hidden="false" customHeight="false" outlineLevel="0" collapsed="false">
      <c r="H246" s="16"/>
      <c r="J246" s="12" t="str">
        <f aca="false">IF(A246="","",COUNTIF('Weekly Log'!$C:$C,A246))</f>
        <v/>
      </c>
      <c r="K246" s="12" t="str">
        <f aca="false">IF(A246="","",COUNTIFS('Weekly Log'!$C:$C,A246,'Weekly Log'!$E:$E,"Yes"))</f>
        <v/>
      </c>
      <c r="L246" s="13" t="str">
        <f aca="false">IF(A246="","",IF(J246=0,"",K246/J246))</f>
        <v/>
      </c>
      <c r="M246" s="14" t="str">
        <f aca="false">IF(A246="","",IFERROR((SUMIFS('Weekly Log'!$F:$F,'Weekly Log'!$C:$C,A246)+SUMIFS('Weekly Log'!$G:$G,'Weekly Log'!$C:$C,A246))/(COUNTIFS('Weekly Log'!$C:$C,A246,'Weekly Log'!$F:$F,"&lt;&gt;")+COUNTIFS('Weekly Log'!$C:$C,A246,'Weekly Log'!$G:$G,"&lt;&gt;")),""))</f>
        <v/>
      </c>
      <c r="N246" s="15" t="str">
        <f aca="false">IF(A246="","",IF(K246=0,"",_xlfn.MAXIFS('Weekly Log'!$A:$A,'Weekly Log'!$C:$C,A246,'Weekly Log'!$E:$E,"Yes")))</f>
        <v/>
      </c>
      <c r="O246" s="12" t="str">
        <f aca="true">IF(N246="","",MAX(0,INT((TODAY()-N246)/7)))</f>
        <v/>
      </c>
      <c r="Q246" s="12" t="str">
        <f aca="false">IF(A246="","",IFERROR(LOOKUP(2,1/(('Weekly Log'!$C$4:$C$1003=A246)*('Weekly Log'!$I$4:$I$1003&lt;&gt;"")),'Weekly Log'!$I$4:$I$1003),""))</f>
        <v/>
      </c>
    </row>
    <row r="247" customFormat="false" ht="15" hidden="false" customHeight="false" outlineLevel="0" collapsed="false">
      <c r="H247" s="16"/>
      <c r="J247" s="12" t="str">
        <f aca="false">IF(A247="","",COUNTIF('Weekly Log'!$C:$C,A247))</f>
        <v/>
      </c>
      <c r="K247" s="12" t="str">
        <f aca="false">IF(A247="","",COUNTIFS('Weekly Log'!$C:$C,A247,'Weekly Log'!$E:$E,"Yes"))</f>
        <v/>
      </c>
      <c r="L247" s="13" t="str">
        <f aca="false">IF(A247="","",IF(J247=0,"",K247/J247))</f>
        <v/>
      </c>
      <c r="M247" s="14" t="str">
        <f aca="false">IF(A247="","",IFERROR((SUMIFS('Weekly Log'!$F:$F,'Weekly Log'!$C:$C,A247)+SUMIFS('Weekly Log'!$G:$G,'Weekly Log'!$C:$C,A247))/(COUNTIFS('Weekly Log'!$C:$C,A247,'Weekly Log'!$F:$F,"&lt;&gt;")+COUNTIFS('Weekly Log'!$C:$C,A247,'Weekly Log'!$G:$G,"&lt;&gt;")),""))</f>
        <v/>
      </c>
      <c r="N247" s="15" t="str">
        <f aca="false">IF(A247="","",IF(K247=0,"",_xlfn.MAXIFS('Weekly Log'!$A:$A,'Weekly Log'!$C:$C,A247,'Weekly Log'!$E:$E,"Yes")))</f>
        <v/>
      </c>
      <c r="O247" s="12" t="str">
        <f aca="true">IF(N247="","",MAX(0,INT((TODAY()-N247)/7)))</f>
        <v/>
      </c>
      <c r="Q247" s="12" t="str">
        <f aca="false">IF(A247="","",IFERROR(LOOKUP(2,1/(('Weekly Log'!$C$4:$C$1003=A247)*('Weekly Log'!$I$4:$I$1003&lt;&gt;"")),'Weekly Log'!$I$4:$I$1003),""))</f>
        <v/>
      </c>
    </row>
    <row r="248" customFormat="false" ht="15" hidden="false" customHeight="false" outlineLevel="0" collapsed="false">
      <c r="H248" s="16"/>
      <c r="J248" s="12" t="str">
        <f aca="false">IF(A248="","",COUNTIF('Weekly Log'!$C:$C,A248))</f>
        <v/>
      </c>
      <c r="K248" s="12" t="str">
        <f aca="false">IF(A248="","",COUNTIFS('Weekly Log'!$C:$C,A248,'Weekly Log'!$E:$E,"Yes"))</f>
        <v/>
      </c>
      <c r="L248" s="13" t="str">
        <f aca="false">IF(A248="","",IF(J248=0,"",K248/J248))</f>
        <v/>
      </c>
      <c r="M248" s="14" t="str">
        <f aca="false">IF(A248="","",IFERROR((SUMIFS('Weekly Log'!$F:$F,'Weekly Log'!$C:$C,A248)+SUMIFS('Weekly Log'!$G:$G,'Weekly Log'!$C:$C,A248))/(COUNTIFS('Weekly Log'!$C:$C,A248,'Weekly Log'!$F:$F,"&lt;&gt;")+COUNTIFS('Weekly Log'!$C:$C,A248,'Weekly Log'!$G:$G,"&lt;&gt;")),""))</f>
        <v/>
      </c>
      <c r="N248" s="15" t="str">
        <f aca="false">IF(A248="","",IF(K248=0,"",_xlfn.MAXIFS('Weekly Log'!$A:$A,'Weekly Log'!$C:$C,A248,'Weekly Log'!$E:$E,"Yes")))</f>
        <v/>
      </c>
      <c r="O248" s="12" t="str">
        <f aca="true">IF(N248="","",MAX(0,INT((TODAY()-N248)/7)))</f>
        <v/>
      </c>
      <c r="Q248" s="12" t="str">
        <f aca="false">IF(A248="","",IFERROR(LOOKUP(2,1/(('Weekly Log'!$C$4:$C$1003=A248)*('Weekly Log'!$I$4:$I$1003&lt;&gt;"")),'Weekly Log'!$I$4:$I$1003),""))</f>
        <v/>
      </c>
    </row>
    <row r="249" customFormat="false" ht="15" hidden="false" customHeight="false" outlineLevel="0" collapsed="false">
      <c r="H249" s="16"/>
      <c r="J249" s="12" t="str">
        <f aca="false">IF(A249="","",COUNTIF('Weekly Log'!$C:$C,A249))</f>
        <v/>
      </c>
      <c r="K249" s="12" t="str">
        <f aca="false">IF(A249="","",COUNTIFS('Weekly Log'!$C:$C,A249,'Weekly Log'!$E:$E,"Yes"))</f>
        <v/>
      </c>
      <c r="L249" s="13" t="str">
        <f aca="false">IF(A249="","",IF(J249=0,"",K249/J249))</f>
        <v/>
      </c>
      <c r="M249" s="14" t="str">
        <f aca="false">IF(A249="","",IFERROR((SUMIFS('Weekly Log'!$F:$F,'Weekly Log'!$C:$C,A249)+SUMIFS('Weekly Log'!$G:$G,'Weekly Log'!$C:$C,A249))/(COUNTIFS('Weekly Log'!$C:$C,A249,'Weekly Log'!$F:$F,"&lt;&gt;")+COUNTIFS('Weekly Log'!$C:$C,A249,'Weekly Log'!$G:$G,"&lt;&gt;")),""))</f>
        <v/>
      </c>
      <c r="N249" s="15" t="str">
        <f aca="false">IF(A249="","",IF(K249=0,"",_xlfn.MAXIFS('Weekly Log'!$A:$A,'Weekly Log'!$C:$C,A249,'Weekly Log'!$E:$E,"Yes")))</f>
        <v/>
      </c>
      <c r="O249" s="12" t="str">
        <f aca="true">IF(N249="","",MAX(0,INT((TODAY()-N249)/7)))</f>
        <v/>
      </c>
      <c r="Q249" s="12" t="str">
        <f aca="false">IF(A249="","",IFERROR(LOOKUP(2,1/(('Weekly Log'!$C$4:$C$1003=A249)*('Weekly Log'!$I$4:$I$1003&lt;&gt;"")),'Weekly Log'!$I$4:$I$1003),""))</f>
        <v/>
      </c>
    </row>
    <row r="250" customFormat="false" ht="15" hidden="false" customHeight="false" outlineLevel="0" collapsed="false">
      <c r="H250" s="16"/>
      <c r="J250" s="12" t="str">
        <f aca="false">IF(A250="","",COUNTIF('Weekly Log'!$C:$C,A250))</f>
        <v/>
      </c>
      <c r="K250" s="12" t="str">
        <f aca="false">IF(A250="","",COUNTIFS('Weekly Log'!$C:$C,A250,'Weekly Log'!$E:$E,"Yes"))</f>
        <v/>
      </c>
      <c r="L250" s="13" t="str">
        <f aca="false">IF(A250="","",IF(J250=0,"",K250/J250))</f>
        <v/>
      </c>
      <c r="M250" s="14" t="str">
        <f aca="false">IF(A250="","",IFERROR((SUMIFS('Weekly Log'!$F:$F,'Weekly Log'!$C:$C,A250)+SUMIFS('Weekly Log'!$G:$G,'Weekly Log'!$C:$C,A250))/(COUNTIFS('Weekly Log'!$C:$C,A250,'Weekly Log'!$F:$F,"&lt;&gt;")+COUNTIFS('Weekly Log'!$C:$C,A250,'Weekly Log'!$G:$G,"&lt;&gt;")),""))</f>
        <v/>
      </c>
      <c r="N250" s="15" t="str">
        <f aca="false">IF(A250="","",IF(K250=0,"",_xlfn.MAXIFS('Weekly Log'!$A:$A,'Weekly Log'!$C:$C,A250,'Weekly Log'!$E:$E,"Yes")))</f>
        <v/>
      </c>
      <c r="O250" s="12" t="str">
        <f aca="true">IF(N250="","",MAX(0,INT((TODAY()-N250)/7)))</f>
        <v/>
      </c>
      <c r="Q250" s="12" t="str">
        <f aca="false">IF(A250="","",IFERROR(LOOKUP(2,1/(('Weekly Log'!$C$4:$C$1003=A250)*('Weekly Log'!$I$4:$I$1003&lt;&gt;"")),'Weekly Log'!$I$4:$I$1003),""))</f>
        <v/>
      </c>
    </row>
    <row r="251" customFormat="false" ht="15" hidden="false" customHeight="false" outlineLevel="0" collapsed="false">
      <c r="H251" s="16"/>
      <c r="J251" s="12" t="str">
        <f aca="false">IF(A251="","",COUNTIF('Weekly Log'!$C:$C,A251))</f>
        <v/>
      </c>
      <c r="K251" s="12" t="str">
        <f aca="false">IF(A251="","",COUNTIFS('Weekly Log'!$C:$C,A251,'Weekly Log'!$E:$E,"Yes"))</f>
        <v/>
      </c>
      <c r="L251" s="13" t="str">
        <f aca="false">IF(A251="","",IF(J251=0,"",K251/J251))</f>
        <v/>
      </c>
      <c r="M251" s="14" t="str">
        <f aca="false">IF(A251="","",IFERROR((SUMIFS('Weekly Log'!$F:$F,'Weekly Log'!$C:$C,A251)+SUMIFS('Weekly Log'!$G:$G,'Weekly Log'!$C:$C,A251))/(COUNTIFS('Weekly Log'!$C:$C,A251,'Weekly Log'!$F:$F,"&lt;&gt;")+COUNTIFS('Weekly Log'!$C:$C,A251,'Weekly Log'!$G:$G,"&lt;&gt;")),""))</f>
        <v/>
      </c>
      <c r="N251" s="15" t="str">
        <f aca="false">IF(A251="","",IF(K251=0,"",_xlfn.MAXIFS('Weekly Log'!$A:$A,'Weekly Log'!$C:$C,A251,'Weekly Log'!$E:$E,"Yes")))</f>
        <v/>
      </c>
      <c r="O251" s="12" t="str">
        <f aca="true">IF(N251="","",MAX(0,INT((TODAY()-N251)/7)))</f>
        <v/>
      </c>
      <c r="Q251" s="12" t="str">
        <f aca="false">IF(A251="","",IFERROR(LOOKUP(2,1/(('Weekly Log'!$C$4:$C$1003=A251)*('Weekly Log'!$I$4:$I$1003&lt;&gt;"")),'Weekly Log'!$I$4:$I$1003),""))</f>
        <v/>
      </c>
    </row>
    <row r="252" customFormat="false" ht="15" hidden="false" customHeight="false" outlineLevel="0" collapsed="false">
      <c r="H252" s="16"/>
      <c r="J252" s="12" t="str">
        <f aca="false">IF(A252="","",COUNTIF('Weekly Log'!$C:$C,A252))</f>
        <v/>
      </c>
      <c r="K252" s="12" t="str">
        <f aca="false">IF(A252="","",COUNTIFS('Weekly Log'!$C:$C,A252,'Weekly Log'!$E:$E,"Yes"))</f>
        <v/>
      </c>
      <c r="L252" s="13" t="str">
        <f aca="false">IF(A252="","",IF(J252=0,"",K252/J252))</f>
        <v/>
      </c>
      <c r="M252" s="14" t="str">
        <f aca="false">IF(A252="","",IFERROR((SUMIFS('Weekly Log'!$F:$F,'Weekly Log'!$C:$C,A252)+SUMIFS('Weekly Log'!$G:$G,'Weekly Log'!$C:$C,A252))/(COUNTIFS('Weekly Log'!$C:$C,A252,'Weekly Log'!$F:$F,"&lt;&gt;")+COUNTIFS('Weekly Log'!$C:$C,A252,'Weekly Log'!$G:$G,"&lt;&gt;")),""))</f>
        <v/>
      </c>
      <c r="N252" s="15" t="str">
        <f aca="false">IF(A252="","",IF(K252=0,"",_xlfn.MAXIFS('Weekly Log'!$A:$A,'Weekly Log'!$C:$C,A252,'Weekly Log'!$E:$E,"Yes")))</f>
        <v/>
      </c>
      <c r="O252" s="12" t="str">
        <f aca="true">IF(N252="","",MAX(0,INT((TODAY()-N252)/7)))</f>
        <v/>
      </c>
      <c r="Q252" s="12" t="str">
        <f aca="false">IF(A252="","",IFERROR(LOOKUP(2,1/(('Weekly Log'!$C$4:$C$1003=A252)*('Weekly Log'!$I$4:$I$1003&lt;&gt;"")),'Weekly Log'!$I$4:$I$1003),""))</f>
        <v/>
      </c>
    </row>
    <row r="253" customFormat="false" ht="15" hidden="false" customHeight="false" outlineLevel="0" collapsed="false">
      <c r="H253" s="16"/>
      <c r="J253" s="12" t="str">
        <f aca="false">IF(A253="","",COUNTIF('Weekly Log'!$C:$C,A253))</f>
        <v/>
      </c>
      <c r="K253" s="12" t="str">
        <f aca="false">IF(A253="","",COUNTIFS('Weekly Log'!$C:$C,A253,'Weekly Log'!$E:$E,"Yes"))</f>
        <v/>
      </c>
      <c r="L253" s="13" t="str">
        <f aca="false">IF(A253="","",IF(J253=0,"",K253/J253))</f>
        <v/>
      </c>
      <c r="M253" s="14" t="str">
        <f aca="false">IF(A253="","",IFERROR((SUMIFS('Weekly Log'!$F:$F,'Weekly Log'!$C:$C,A253)+SUMIFS('Weekly Log'!$G:$G,'Weekly Log'!$C:$C,A253))/(COUNTIFS('Weekly Log'!$C:$C,A253,'Weekly Log'!$F:$F,"&lt;&gt;")+COUNTIFS('Weekly Log'!$C:$C,A253,'Weekly Log'!$G:$G,"&lt;&gt;")),""))</f>
        <v/>
      </c>
      <c r="N253" s="15" t="str">
        <f aca="false">IF(A253="","",IF(K253=0,"",_xlfn.MAXIFS('Weekly Log'!$A:$A,'Weekly Log'!$C:$C,A253,'Weekly Log'!$E:$E,"Yes")))</f>
        <v/>
      </c>
      <c r="O253" s="12" t="str">
        <f aca="true">IF(N253="","",MAX(0,INT((TODAY()-N253)/7)))</f>
        <v/>
      </c>
      <c r="Q253" s="12" t="str">
        <f aca="false">IF(A253="","",IFERROR(LOOKUP(2,1/(('Weekly Log'!$C$4:$C$1003=A253)*('Weekly Log'!$I$4:$I$1003&lt;&gt;"")),'Weekly Log'!$I$4:$I$1003),""))</f>
        <v/>
      </c>
    </row>
    <row r="254" customFormat="false" ht="15" hidden="false" customHeight="false" outlineLevel="0" collapsed="false">
      <c r="H254" s="16"/>
      <c r="J254" s="12" t="str">
        <f aca="false">IF(A254="","",COUNTIF('Weekly Log'!$C:$C,A254))</f>
        <v/>
      </c>
      <c r="K254" s="12" t="str">
        <f aca="false">IF(A254="","",COUNTIFS('Weekly Log'!$C:$C,A254,'Weekly Log'!$E:$E,"Yes"))</f>
        <v/>
      </c>
      <c r="L254" s="13" t="str">
        <f aca="false">IF(A254="","",IF(J254=0,"",K254/J254))</f>
        <v/>
      </c>
      <c r="M254" s="14" t="str">
        <f aca="false">IF(A254="","",IFERROR((SUMIFS('Weekly Log'!$F:$F,'Weekly Log'!$C:$C,A254)+SUMIFS('Weekly Log'!$G:$G,'Weekly Log'!$C:$C,A254))/(COUNTIFS('Weekly Log'!$C:$C,A254,'Weekly Log'!$F:$F,"&lt;&gt;")+COUNTIFS('Weekly Log'!$C:$C,A254,'Weekly Log'!$G:$G,"&lt;&gt;")),""))</f>
        <v/>
      </c>
      <c r="N254" s="15" t="str">
        <f aca="false">IF(A254="","",IF(K254=0,"",_xlfn.MAXIFS('Weekly Log'!$A:$A,'Weekly Log'!$C:$C,A254,'Weekly Log'!$E:$E,"Yes")))</f>
        <v/>
      </c>
      <c r="O254" s="12" t="str">
        <f aca="true">IF(N254="","",MAX(0,INT((TODAY()-N254)/7)))</f>
        <v/>
      </c>
      <c r="Q254" s="12" t="str">
        <f aca="false">IF(A254="","",IFERROR(LOOKUP(2,1/(('Weekly Log'!$C$4:$C$1003=A254)*('Weekly Log'!$I$4:$I$1003&lt;&gt;"")),'Weekly Log'!$I$4:$I$1003),""))</f>
        <v/>
      </c>
    </row>
    <row r="255" customFormat="false" ht="15" hidden="false" customHeight="false" outlineLevel="0" collapsed="false">
      <c r="H255" s="16"/>
      <c r="J255" s="12" t="str">
        <f aca="false">IF(A255="","",COUNTIF('Weekly Log'!$C:$C,A255))</f>
        <v/>
      </c>
      <c r="K255" s="12" t="str">
        <f aca="false">IF(A255="","",COUNTIFS('Weekly Log'!$C:$C,A255,'Weekly Log'!$E:$E,"Yes"))</f>
        <v/>
      </c>
      <c r="L255" s="13" t="str">
        <f aca="false">IF(A255="","",IF(J255=0,"",K255/J255))</f>
        <v/>
      </c>
      <c r="M255" s="14" t="str">
        <f aca="false">IF(A255="","",IFERROR((SUMIFS('Weekly Log'!$F:$F,'Weekly Log'!$C:$C,A255)+SUMIFS('Weekly Log'!$G:$G,'Weekly Log'!$C:$C,A255))/(COUNTIFS('Weekly Log'!$C:$C,A255,'Weekly Log'!$F:$F,"&lt;&gt;")+COUNTIFS('Weekly Log'!$C:$C,A255,'Weekly Log'!$G:$G,"&lt;&gt;")),""))</f>
        <v/>
      </c>
      <c r="N255" s="15" t="str">
        <f aca="false">IF(A255="","",IF(K255=0,"",_xlfn.MAXIFS('Weekly Log'!$A:$A,'Weekly Log'!$C:$C,A255,'Weekly Log'!$E:$E,"Yes")))</f>
        <v/>
      </c>
      <c r="O255" s="12" t="str">
        <f aca="true">IF(N255="","",MAX(0,INT((TODAY()-N255)/7)))</f>
        <v/>
      </c>
      <c r="Q255" s="12" t="str">
        <f aca="false">IF(A255="","",IFERROR(LOOKUP(2,1/(('Weekly Log'!$C$4:$C$1003=A255)*('Weekly Log'!$I$4:$I$1003&lt;&gt;"")),'Weekly Log'!$I$4:$I$1003),""))</f>
        <v/>
      </c>
    </row>
    <row r="256" customFormat="false" ht="15" hidden="false" customHeight="false" outlineLevel="0" collapsed="false">
      <c r="H256" s="16"/>
      <c r="J256" s="12" t="str">
        <f aca="false">IF(A256="","",COUNTIF('Weekly Log'!$C:$C,A256))</f>
        <v/>
      </c>
      <c r="K256" s="12" t="str">
        <f aca="false">IF(A256="","",COUNTIFS('Weekly Log'!$C:$C,A256,'Weekly Log'!$E:$E,"Yes"))</f>
        <v/>
      </c>
      <c r="L256" s="13" t="str">
        <f aca="false">IF(A256="","",IF(J256=0,"",K256/J256))</f>
        <v/>
      </c>
      <c r="M256" s="14" t="str">
        <f aca="false">IF(A256="","",IFERROR((SUMIFS('Weekly Log'!$F:$F,'Weekly Log'!$C:$C,A256)+SUMIFS('Weekly Log'!$G:$G,'Weekly Log'!$C:$C,A256))/(COUNTIFS('Weekly Log'!$C:$C,A256,'Weekly Log'!$F:$F,"&lt;&gt;")+COUNTIFS('Weekly Log'!$C:$C,A256,'Weekly Log'!$G:$G,"&lt;&gt;")),""))</f>
        <v/>
      </c>
      <c r="N256" s="15" t="str">
        <f aca="false">IF(A256="","",IF(K256=0,"",_xlfn.MAXIFS('Weekly Log'!$A:$A,'Weekly Log'!$C:$C,A256,'Weekly Log'!$E:$E,"Yes")))</f>
        <v/>
      </c>
      <c r="O256" s="12" t="str">
        <f aca="true">IF(N256="","",MAX(0,INT((TODAY()-N256)/7)))</f>
        <v/>
      </c>
      <c r="Q256" s="12" t="str">
        <f aca="false">IF(A256="","",IFERROR(LOOKUP(2,1/(('Weekly Log'!$C$4:$C$1003=A256)*('Weekly Log'!$I$4:$I$1003&lt;&gt;"")),'Weekly Log'!$I$4:$I$1003),""))</f>
        <v/>
      </c>
    </row>
    <row r="257" customFormat="false" ht="15" hidden="false" customHeight="false" outlineLevel="0" collapsed="false">
      <c r="H257" s="16"/>
      <c r="J257" s="12" t="str">
        <f aca="false">IF(A257="","",COUNTIF('Weekly Log'!$C:$C,A257))</f>
        <v/>
      </c>
      <c r="K257" s="12" t="str">
        <f aca="false">IF(A257="","",COUNTIFS('Weekly Log'!$C:$C,A257,'Weekly Log'!$E:$E,"Yes"))</f>
        <v/>
      </c>
      <c r="L257" s="13" t="str">
        <f aca="false">IF(A257="","",IF(J257=0,"",K257/J257))</f>
        <v/>
      </c>
      <c r="M257" s="14" t="str">
        <f aca="false">IF(A257="","",IFERROR((SUMIFS('Weekly Log'!$F:$F,'Weekly Log'!$C:$C,A257)+SUMIFS('Weekly Log'!$G:$G,'Weekly Log'!$C:$C,A257))/(COUNTIFS('Weekly Log'!$C:$C,A257,'Weekly Log'!$F:$F,"&lt;&gt;")+COUNTIFS('Weekly Log'!$C:$C,A257,'Weekly Log'!$G:$G,"&lt;&gt;")),""))</f>
        <v/>
      </c>
      <c r="N257" s="15" t="str">
        <f aca="false">IF(A257="","",IF(K257=0,"",_xlfn.MAXIFS('Weekly Log'!$A:$A,'Weekly Log'!$C:$C,A257,'Weekly Log'!$E:$E,"Yes")))</f>
        <v/>
      </c>
      <c r="O257" s="12" t="str">
        <f aca="true">IF(N257="","",MAX(0,INT((TODAY()-N257)/7)))</f>
        <v/>
      </c>
      <c r="Q257" s="12" t="str">
        <f aca="false">IF(A257="","",IFERROR(LOOKUP(2,1/(('Weekly Log'!$C$4:$C$1003=A257)*('Weekly Log'!$I$4:$I$1003&lt;&gt;"")),'Weekly Log'!$I$4:$I$1003),""))</f>
        <v/>
      </c>
    </row>
    <row r="258" customFormat="false" ht="15" hidden="false" customHeight="false" outlineLevel="0" collapsed="false">
      <c r="H258" s="16"/>
      <c r="J258" s="12" t="str">
        <f aca="false">IF(A258="","",COUNTIF('Weekly Log'!$C:$C,A258))</f>
        <v/>
      </c>
      <c r="K258" s="12" t="str">
        <f aca="false">IF(A258="","",COUNTIFS('Weekly Log'!$C:$C,A258,'Weekly Log'!$E:$E,"Yes"))</f>
        <v/>
      </c>
      <c r="L258" s="13" t="str">
        <f aca="false">IF(A258="","",IF(J258=0,"",K258/J258))</f>
        <v/>
      </c>
      <c r="M258" s="14" t="str">
        <f aca="false">IF(A258="","",IFERROR((SUMIFS('Weekly Log'!$F:$F,'Weekly Log'!$C:$C,A258)+SUMIFS('Weekly Log'!$G:$G,'Weekly Log'!$C:$C,A258))/(COUNTIFS('Weekly Log'!$C:$C,A258,'Weekly Log'!$F:$F,"&lt;&gt;")+COUNTIFS('Weekly Log'!$C:$C,A258,'Weekly Log'!$G:$G,"&lt;&gt;")),""))</f>
        <v/>
      </c>
      <c r="N258" s="15" t="str">
        <f aca="false">IF(A258="","",IF(K258=0,"",_xlfn.MAXIFS('Weekly Log'!$A:$A,'Weekly Log'!$C:$C,A258,'Weekly Log'!$E:$E,"Yes")))</f>
        <v/>
      </c>
      <c r="O258" s="12" t="str">
        <f aca="true">IF(N258="","",MAX(0,INT((TODAY()-N258)/7)))</f>
        <v/>
      </c>
      <c r="Q258" s="12" t="str">
        <f aca="false">IF(A258="","",IFERROR(LOOKUP(2,1/(('Weekly Log'!$C$4:$C$1003=A258)*('Weekly Log'!$I$4:$I$1003&lt;&gt;"")),'Weekly Log'!$I$4:$I$1003),""))</f>
        <v/>
      </c>
    </row>
    <row r="259" customFormat="false" ht="15" hidden="false" customHeight="false" outlineLevel="0" collapsed="false">
      <c r="H259" s="16"/>
      <c r="J259" s="12" t="str">
        <f aca="false">IF(A259="","",COUNTIF('Weekly Log'!$C:$C,A259))</f>
        <v/>
      </c>
      <c r="K259" s="12" t="str">
        <f aca="false">IF(A259="","",COUNTIFS('Weekly Log'!$C:$C,A259,'Weekly Log'!$E:$E,"Yes"))</f>
        <v/>
      </c>
      <c r="L259" s="13" t="str">
        <f aca="false">IF(A259="","",IF(J259=0,"",K259/J259))</f>
        <v/>
      </c>
      <c r="M259" s="14" t="str">
        <f aca="false">IF(A259="","",IFERROR((SUMIFS('Weekly Log'!$F:$F,'Weekly Log'!$C:$C,A259)+SUMIFS('Weekly Log'!$G:$G,'Weekly Log'!$C:$C,A259))/(COUNTIFS('Weekly Log'!$C:$C,A259,'Weekly Log'!$F:$F,"&lt;&gt;")+COUNTIFS('Weekly Log'!$C:$C,A259,'Weekly Log'!$G:$G,"&lt;&gt;")),""))</f>
        <v/>
      </c>
      <c r="N259" s="15" t="str">
        <f aca="false">IF(A259="","",IF(K259=0,"",_xlfn.MAXIFS('Weekly Log'!$A:$A,'Weekly Log'!$C:$C,A259,'Weekly Log'!$E:$E,"Yes")))</f>
        <v/>
      </c>
      <c r="O259" s="12" t="str">
        <f aca="true">IF(N259="","",MAX(0,INT((TODAY()-N259)/7)))</f>
        <v/>
      </c>
      <c r="Q259" s="12" t="str">
        <f aca="false">IF(A259="","",IFERROR(LOOKUP(2,1/(('Weekly Log'!$C$4:$C$1003=A259)*('Weekly Log'!$I$4:$I$1003&lt;&gt;"")),'Weekly Log'!$I$4:$I$1003),""))</f>
        <v/>
      </c>
    </row>
    <row r="260" customFormat="false" ht="15" hidden="false" customHeight="false" outlineLevel="0" collapsed="false">
      <c r="H260" s="16"/>
      <c r="J260" s="12" t="str">
        <f aca="false">IF(A260="","",COUNTIF('Weekly Log'!$C:$C,A260))</f>
        <v/>
      </c>
      <c r="K260" s="12" t="str">
        <f aca="false">IF(A260="","",COUNTIFS('Weekly Log'!$C:$C,A260,'Weekly Log'!$E:$E,"Yes"))</f>
        <v/>
      </c>
      <c r="L260" s="13" t="str">
        <f aca="false">IF(A260="","",IF(J260=0,"",K260/J260))</f>
        <v/>
      </c>
      <c r="M260" s="14" t="str">
        <f aca="false">IF(A260="","",IFERROR((SUMIFS('Weekly Log'!$F:$F,'Weekly Log'!$C:$C,A260)+SUMIFS('Weekly Log'!$G:$G,'Weekly Log'!$C:$C,A260))/(COUNTIFS('Weekly Log'!$C:$C,A260,'Weekly Log'!$F:$F,"&lt;&gt;")+COUNTIFS('Weekly Log'!$C:$C,A260,'Weekly Log'!$G:$G,"&lt;&gt;")),""))</f>
        <v/>
      </c>
      <c r="N260" s="15" t="str">
        <f aca="false">IF(A260="","",IF(K260=0,"",_xlfn.MAXIFS('Weekly Log'!$A:$A,'Weekly Log'!$C:$C,A260,'Weekly Log'!$E:$E,"Yes")))</f>
        <v/>
      </c>
      <c r="O260" s="12" t="str">
        <f aca="true">IF(N260="","",MAX(0,INT((TODAY()-N260)/7)))</f>
        <v/>
      </c>
      <c r="Q260" s="12" t="str">
        <f aca="false">IF(A260="","",IFERROR(LOOKUP(2,1/(('Weekly Log'!$C$4:$C$1003=A260)*('Weekly Log'!$I$4:$I$1003&lt;&gt;"")),'Weekly Log'!$I$4:$I$1003),""))</f>
        <v/>
      </c>
    </row>
    <row r="261" customFormat="false" ht="15" hidden="false" customHeight="false" outlineLevel="0" collapsed="false">
      <c r="H261" s="16"/>
      <c r="J261" s="12" t="str">
        <f aca="false">IF(A261="","",COUNTIF('Weekly Log'!$C:$C,A261))</f>
        <v/>
      </c>
      <c r="K261" s="12" t="str">
        <f aca="false">IF(A261="","",COUNTIFS('Weekly Log'!$C:$C,A261,'Weekly Log'!$E:$E,"Yes"))</f>
        <v/>
      </c>
      <c r="L261" s="13" t="str">
        <f aca="false">IF(A261="","",IF(J261=0,"",K261/J261))</f>
        <v/>
      </c>
      <c r="M261" s="14" t="str">
        <f aca="false">IF(A261="","",IFERROR((SUMIFS('Weekly Log'!$F:$F,'Weekly Log'!$C:$C,A261)+SUMIFS('Weekly Log'!$G:$G,'Weekly Log'!$C:$C,A261))/(COUNTIFS('Weekly Log'!$C:$C,A261,'Weekly Log'!$F:$F,"&lt;&gt;")+COUNTIFS('Weekly Log'!$C:$C,A261,'Weekly Log'!$G:$G,"&lt;&gt;")),""))</f>
        <v/>
      </c>
      <c r="N261" s="15" t="str">
        <f aca="false">IF(A261="","",IF(K261=0,"",_xlfn.MAXIFS('Weekly Log'!$A:$A,'Weekly Log'!$C:$C,A261,'Weekly Log'!$E:$E,"Yes")))</f>
        <v/>
      </c>
      <c r="O261" s="12" t="str">
        <f aca="true">IF(N261="","",MAX(0,INT((TODAY()-N261)/7)))</f>
        <v/>
      </c>
      <c r="Q261" s="12" t="str">
        <f aca="false">IF(A261="","",IFERROR(LOOKUP(2,1/(('Weekly Log'!$C$4:$C$1003=A261)*('Weekly Log'!$I$4:$I$1003&lt;&gt;"")),'Weekly Log'!$I$4:$I$1003),""))</f>
        <v/>
      </c>
    </row>
    <row r="262" customFormat="false" ht="15" hidden="false" customHeight="false" outlineLevel="0" collapsed="false">
      <c r="H262" s="16"/>
      <c r="J262" s="12" t="str">
        <f aca="false">IF(A262="","",COUNTIF('Weekly Log'!$C:$C,A262))</f>
        <v/>
      </c>
      <c r="K262" s="12" t="str">
        <f aca="false">IF(A262="","",COUNTIFS('Weekly Log'!$C:$C,A262,'Weekly Log'!$E:$E,"Yes"))</f>
        <v/>
      </c>
      <c r="L262" s="13" t="str">
        <f aca="false">IF(A262="","",IF(J262=0,"",K262/J262))</f>
        <v/>
      </c>
      <c r="M262" s="14" t="str">
        <f aca="false">IF(A262="","",IFERROR((SUMIFS('Weekly Log'!$F:$F,'Weekly Log'!$C:$C,A262)+SUMIFS('Weekly Log'!$G:$G,'Weekly Log'!$C:$C,A262))/(COUNTIFS('Weekly Log'!$C:$C,A262,'Weekly Log'!$F:$F,"&lt;&gt;")+COUNTIFS('Weekly Log'!$C:$C,A262,'Weekly Log'!$G:$G,"&lt;&gt;")),""))</f>
        <v/>
      </c>
      <c r="N262" s="15" t="str">
        <f aca="false">IF(A262="","",IF(K262=0,"",_xlfn.MAXIFS('Weekly Log'!$A:$A,'Weekly Log'!$C:$C,A262,'Weekly Log'!$E:$E,"Yes")))</f>
        <v/>
      </c>
      <c r="O262" s="12" t="str">
        <f aca="true">IF(N262="","",MAX(0,INT((TODAY()-N262)/7)))</f>
        <v/>
      </c>
      <c r="Q262" s="12" t="str">
        <f aca="false">IF(A262="","",IFERROR(LOOKUP(2,1/(('Weekly Log'!$C$4:$C$1003=A262)*('Weekly Log'!$I$4:$I$1003&lt;&gt;"")),'Weekly Log'!$I$4:$I$1003),""))</f>
        <v/>
      </c>
    </row>
    <row r="263" customFormat="false" ht="15" hidden="false" customHeight="false" outlineLevel="0" collapsed="false">
      <c r="H263" s="16"/>
      <c r="J263" s="12" t="str">
        <f aca="false">IF(A263="","",COUNTIF('Weekly Log'!$C:$C,A263))</f>
        <v/>
      </c>
      <c r="K263" s="12" t="str">
        <f aca="false">IF(A263="","",COUNTIFS('Weekly Log'!$C:$C,A263,'Weekly Log'!$E:$E,"Yes"))</f>
        <v/>
      </c>
      <c r="L263" s="13" t="str">
        <f aca="false">IF(A263="","",IF(J263=0,"",K263/J263))</f>
        <v/>
      </c>
      <c r="M263" s="14" t="str">
        <f aca="false">IF(A263="","",IFERROR((SUMIFS('Weekly Log'!$F:$F,'Weekly Log'!$C:$C,A263)+SUMIFS('Weekly Log'!$G:$G,'Weekly Log'!$C:$C,A263))/(COUNTIFS('Weekly Log'!$C:$C,A263,'Weekly Log'!$F:$F,"&lt;&gt;")+COUNTIFS('Weekly Log'!$C:$C,A263,'Weekly Log'!$G:$G,"&lt;&gt;")),""))</f>
        <v/>
      </c>
      <c r="N263" s="15" t="str">
        <f aca="false">IF(A263="","",IF(K263=0,"",_xlfn.MAXIFS('Weekly Log'!$A:$A,'Weekly Log'!$C:$C,A263,'Weekly Log'!$E:$E,"Yes")))</f>
        <v/>
      </c>
      <c r="O263" s="12" t="str">
        <f aca="true">IF(N263="","",MAX(0,INT((TODAY()-N263)/7)))</f>
        <v/>
      </c>
      <c r="Q263" s="12" t="str">
        <f aca="false">IF(A263="","",IFERROR(LOOKUP(2,1/(('Weekly Log'!$C$4:$C$1003=A263)*('Weekly Log'!$I$4:$I$1003&lt;&gt;"")),'Weekly Log'!$I$4:$I$1003),""))</f>
        <v/>
      </c>
    </row>
    <row r="264" customFormat="false" ht="15" hidden="false" customHeight="false" outlineLevel="0" collapsed="false">
      <c r="H264" s="16"/>
      <c r="J264" s="12" t="str">
        <f aca="false">IF(A264="","",COUNTIF('Weekly Log'!$C:$C,A264))</f>
        <v/>
      </c>
      <c r="K264" s="12" t="str">
        <f aca="false">IF(A264="","",COUNTIFS('Weekly Log'!$C:$C,A264,'Weekly Log'!$E:$E,"Yes"))</f>
        <v/>
      </c>
      <c r="L264" s="13" t="str">
        <f aca="false">IF(A264="","",IF(J264=0,"",K264/J264))</f>
        <v/>
      </c>
      <c r="M264" s="14" t="str">
        <f aca="false">IF(A264="","",IFERROR((SUMIFS('Weekly Log'!$F:$F,'Weekly Log'!$C:$C,A264)+SUMIFS('Weekly Log'!$G:$G,'Weekly Log'!$C:$C,A264))/(COUNTIFS('Weekly Log'!$C:$C,A264,'Weekly Log'!$F:$F,"&lt;&gt;")+COUNTIFS('Weekly Log'!$C:$C,A264,'Weekly Log'!$G:$G,"&lt;&gt;")),""))</f>
        <v/>
      </c>
      <c r="N264" s="15" t="str">
        <f aca="false">IF(A264="","",IF(K264=0,"",_xlfn.MAXIFS('Weekly Log'!$A:$A,'Weekly Log'!$C:$C,A264,'Weekly Log'!$E:$E,"Yes")))</f>
        <v/>
      </c>
      <c r="O264" s="12" t="str">
        <f aca="true">IF(N264="","",MAX(0,INT((TODAY()-N264)/7)))</f>
        <v/>
      </c>
      <c r="Q264" s="12" t="str">
        <f aca="false">IF(A264="","",IFERROR(LOOKUP(2,1/(('Weekly Log'!$C$4:$C$1003=A264)*('Weekly Log'!$I$4:$I$1003&lt;&gt;"")),'Weekly Log'!$I$4:$I$1003),""))</f>
        <v/>
      </c>
    </row>
    <row r="265" customFormat="false" ht="15" hidden="false" customHeight="false" outlineLevel="0" collapsed="false">
      <c r="H265" s="16"/>
      <c r="J265" s="12" t="str">
        <f aca="false">IF(A265="","",COUNTIF('Weekly Log'!$C:$C,A265))</f>
        <v/>
      </c>
      <c r="K265" s="12" t="str">
        <f aca="false">IF(A265="","",COUNTIFS('Weekly Log'!$C:$C,A265,'Weekly Log'!$E:$E,"Yes"))</f>
        <v/>
      </c>
      <c r="L265" s="13" t="str">
        <f aca="false">IF(A265="","",IF(J265=0,"",K265/J265))</f>
        <v/>
      </c>
      <c r="M265" s="14" t="str">
        <f aca="false">IF(A265="","",IFERROR((SUMIFS('Weekly Log'!$F:$F,'Weekly Log'!$C:$C,A265)+SUMIFS('Weekly Log'!$G:$G,'Weekly Log'!$C:$C,A265))/(COUNTIFS('Weekly Log'!$C:$C,A265,'Weekly Log'!$F:$F,"&lt;&gt;")+COUNTIFS('Weekly Log'!$C:$C,A265,'Weekly Log'!$G:$G,"&lt;&gt;")),""))</f>
        <v/>
      </c>
      <c r="N265" s="15" t="str">
        <f aca="false">IF(A265="","",IF(K265=0,"",_xlfn.MAXIFS('Weekly Log'!$A:$A,'Weekly Log'!$C:$C,A265,'Weekly Log'!$E:$E,"Yes")))</f>
        <v/>
      </c>
      <c r="O265" s="12" t="str">
        <f aca="true">IF(N265="","",MAX(0,INT((TODAY()-N265)/7)))</f>
        <v/>
      </c>
      <c r="Q265" s="12" t="str">
        <f aca="false">IF(A265="","",IFERROR(LOOKUP(2,1/(('Weekly Log'!$C$4:$C$1003=A265)*('Weekly Log'!$I$4:$I$1003&lt;&gt;"")),'Weekly Log'!$I$4:$I$1003),""))</f>
        <v/>
      </c>
    </row>
    <row r="266" customFormat="false" ht="15" hidden="false" customHeight="false" outlineLevel="0" collapsed="false">
      <c r="H266" s="16"/>
      <c r="J266" s="12" t="str">
        <f aca="false">IF(A266="","",COUNTIF('Weekly Log'!$C:$C,A266))</f>
        <v/>
      </c>
      <c r="K266" s="12" t="str">
        <f aca="false">IF(A266="","",COUNTIFS('Weekly Log'!$C:$C,A266,'Weekly Log'!$E:$E,"Yes"))</f>
        <v/>
      </c>
      <c r="L266" s="13" t="str">
        <f aca="false">IF(A266="","",IF(J266=0,"",K266/J266))</f>
        <v/>
      </c>
      <c r="M266" s="14" t="str">
        <f aca="false">IF(A266="","",IFERROR((SUMIFS('Weekly Log'!$F:$F,'Weekly Log'!$C:$C,A266)+SUMIFS('Weekly Log'!$G:$G,'Weekly Log'!$C:$C,A266))/(COUNTIFS('Weekly Log'!$C:$C,A266,'Weekly Log'!$F:$F,"&lt;&gt;")+COUNTIFS('Weekly Log'!$C:$C,A266,'Weekly Log'!$G:$G,"&lt;&gt;")),""))</f>
        <v/>
      </c>
      <c r="N266" s="15" t="str">
        <f aca="false">IF(A266="","",IF(K266=0,"",_xlfn.MAXIFS('Weekly Log'!$A:$A,'Weekly Log'!$C:$C,A266,'Weekly Log'!$E:$E,"Yes")))</f>
        <v/>
      </c>
      <c r="O266" s="12" t="str">
        <f aca="true">IF(N266="","",MAX(0,INT((TODAY()-N266)/7)))</f>
        <v/>
      </c>
      <c r="Q266" s="12" t="str">
        <f aca="false">IF(A266="","",IFERROR(LOOKUP(2,1/(('Weekly Log'!$C$4:$C$1003=A266)*('Weekly Log'!$I$4:$I$1003&lt;&gt;"")),'Weekly Log'!$I$4:$I$1003),""))</f>
        <v/>
      </c>
    </row>
    <row r="267" customFormat="false" ht="15" hidden="false" customHeight="false" outlineLevel="0" collapsed="false">
      <c r="H267" s="16"/>
      <c r="J267" s="12" t="str">
        <f aca="false">IF(A267="","",COUNTIF('Weekly Log'!$C:$C,A267))</f>
        <v/>
      </c>
      <c r="K267" s="12" t="str">
        <f aca="false">IF(A267="","",COUNTIFS('Weekly Log'!$C:$C,A267,'Weekly Log'!$E:$E,"Yes"))</f>
        <v/>
      </c>
      <c r="L267" s="13" t="str">
        <f aca="false">IF(A267="","",IF(J267=0,"",K267/J267))</f>
        <v/>
      </c>
      <c r="M267" s="14" t="str">
        <f aca="false">IF(A267="","",IFERROR((SUMIFS('Weekly Log'!$F:$F,'Weekly Log'!$C:$C,A267)+SUMIFS('Weekly Log'!$G:$G,'Weekly Log'!$C:$C,A267))/(COUNTIFS('Weekly Log'!$C:$C,A267,'Weekly Log'!$F:$F,"&lt;&gt;")+COUNTIFS('Weekly Log'!$C:$C,A267,'Weekly Log'!$G:$G,"&lt;&gt;")),""))</f>
        <v/>
      </c>
      <c r="N267" s="15" t="str">
        <f aca="false">IF(A267="","",IF(K267=0,"",_xlfn.MAXIFS('Weekly Log'!$A:$A,'Weekly Log'!$C:$C,A267,'Weekly Log'!$E:$E,"Yes")))</f>
        <v/>
      </c>
      <c r="O267" s="12" t="str">
        <f aca="true">IF(N267="","",MAX(0,INT((TODAY()-N267)/7)))</f>
        <v/>
      </c>
      <c r="Q267" s="12" t="str">
        <f aca="false">IF(A267="","",IFERROR(LOOKUP(2,1/(('Weekly Log'!$C$4:$C$1003=A267)*('Weekly Log'!$I$4:$I$1003&lt;&gt;"")),'Weekly Log'!$I$4:$I$1003),""))</f>
        <v/>
      </c>
    </row>
    <row r="268" customFormat="false" ht="15" hidden="false" customHeight="false" outlineLevel="0" collapsed="false">
      <c r="H268" s="16"/>
      <c r="J268" s="12" t="str">
        <f aca="false">IF(A268="","",COUNTIF('Weekly Log'!$C:$C,A268))</f>
        <v/>
      </c>
      <c r="K268" s="12" t="str">
        <f aca="false">IF(A268="","",COUNTIFS('Weekly Log'!$C:$C,A268,'Weekly Log'!$E:$E,"Yes"))</f>
        <v/>
      </c>
      <c r="L268" s="13" t="str">
        <f aca="false">IF(A268="","",IF(J268=0,"",K268/J268))</f>
        <v/>
      </c>
      <c r="M268" s="14" t="str">
        <f aca="false">IF(A268="","",IFERROR((SUMIFS('Weekly Log'!$F:$F,'Weekly Log'!$C:$C,A268)+SUMIFS('Weekly Log'!$G:$G,'Weekly Log'!$C:$C,A268))/(COUNTIFS('Weekly Log'!$C:$C,A268,'Weekly Log'!$F:$F,"&lt;&gt;")+COUNTIFS('Weekly Log'!$C:$C,A268,'Weekly Log'!$G:$G,"&lt;&gt;")),""))</f>
        <v/>
      </c>
      <c r="N268" s="15" t="str">
        <f aca="false">IF(A268="","",IF(K268=0,"",_xlfn.MAXIFS('Weekly Log'!$A:$A,'Weekly Log'!$C:$C,A268,'Weekly Log'!$E:$E,"Yes")))</f>
        <v/>
      </c>
      <c r="O268" s="12" t="str">
        <f aca="true">IF(N268="","",MAX(0,INT((TODAY()-N268)/7)))</f>
        <v/>
      </c>
      <c r="Q268" s="12" t="str">
        <f aca="false">IF(A268="","",IFERROR(LOOKUP(2,1/(('Weekly Log'!$C$4:$C$1003=A268)*('Weekly Log'!$I$4:$I$1003&lt;&gt;"")),'Weekly Log'!$I$4:$I$1003),""))</f>
        <v/>
      </c>
    </row>
    <row r="269" customFormat="false" ht="15" hidden="false" customHeight="false" outlineLevel="0" collapsed="false">
      <c r="H269" s="16"/>
      <c r="J269" s="12" t="str">
        <f aca="false">IF(A269="","",COUNTIF('Weekly Log'!$C:$C,A269))</f>
        <v/>
      </c>
      <c r="K269" s="12" t="str">
        <f aca="false">IF(A269="","",COUNTIFS('Weekly Log'!$C:$C,A269,'Weekly Log'!$E:$E,"Yes"))</f>
        <v/>
      </c>
      <c r="L269" s="13" t="str">
        <f aca="false">IF(A269="","",IF(J269=0,"",K269/J269))</f>
        <v/>
      </c>
      <c r="M269" s="14" t="str">
        <f aca="false">IF(A269="","",IFERROR((SUMIFS('Weekly Log'!$F:$F,'Weekly Log'!$C:$C,A269)+SUMIFS('Weekly Log'!$G:$G,'Weekly Log'!$C:$C,A269))/(COUNTIFS('Weekly Log'!$C:$C,A269,'Weekly Log'!$F:$F,"&lt;&gt;")+COUNTIFS('Weekly Log'!$C:$C,A269,'Weekly Log'!$G:$G,"&lt;&gt;")),""))</f>
        <v/>
      </c>
      <c r="N269" s="15" t="str">
        <f aca="false">IF(A269="","",IF(K269=0,"",_xlfn.MAXIFS('Weekly Log'!$A:$A,'Weekly Log'!$C:$C,A269,'Weekly Log'!$E:$E,"Yes")))</f>
        <v/>
      </c>
      <c r="O269" s="12" t="str">
        <f aca="true">IF(N269="","",MAX(0,INT((TODAY()-N269)/7)))</f>
        <v/>
      </c>
      <c r="Q269" s="12" t="str">
        <f aca="false">IF(A269="","",IFERROR(LOOKUP(2,1/(('Weekly Log'!$C$4:$C$1003=A269)*('Weekly Log'!$I$4:$I$1003&lt;&gt;"")),'Weekly Log'!$I$4:$I$1003),""))</f>
        <v/>
      </c>
    </row>
    <row r="270" customFormat="false" ht="15" hidden="false" customHeight="false" outlineLevel="0" collapsed="false">
      <c r="H270" s="16"/>
      <c r="J270" s="12" t="str">
        <f aca="false">IF(A270="","",COUNTIF('Weekly Log'!$C:$C,A270))</f>
        <v/>
      </c>
      <c r="K270" s="12" t="str">
        <f aca="false">IF(A270="","",COUNTIFS('Weekly Log'!$C:$C,A270,'Weekly Log'!$E:$E,"Yes"))</f>
        <v/>
      </c>
      <c r="L270" s="13" t="str">
        <f aca="false">IF(A270="","",IF(J270=0,"",K270/J270))</f>
        <v/>
      </c>
      <c r="M270" s="14" t="str">
        <f aca="false">IF(A270="","",IFERROR((SUMIFS('Weekly Log'!$F:$F,'Weekly Log'!$C:$C,A270)+SUMIFS('Weekly Log'!$G:$G,'Weekly Log'!$C:$C,A270))/(COUNTIFS('Weekly Log'!$C:$C,A270,'Weekly Log'!$F:$F,"&lt;&gt;")+COUNTIFS('Weekly Log'!$C:$C,A270,'Weekly Log'!$G:$G,"&lt;&gt;")),""))</f>
        <v/>
      </c>
      <c r="N270" s="15" t="str">
        <f aca="false">IF(A270="","",IF(K270=0,"",_xlfn.MAXIFS('Weekly Log'!$A:$A,'Weekly Log'!$C:$C,A270,'Weekly Log'!$E:$E,"Yes")))</f>
        <v/>
      </c>
      <c r="O270" s="12" t="str">
        <f aca="true">IF(N270="","",MAX(0,INT((TODAY()-N270)/7)))</f>
        <v/>
      </c>
      <c r="Q270" s="12" t="str">
        <f aca="false">IF(A270="","",IFERROR(LOOKUP(2,1/(('Weekly Log'!$C$4:$C$1003=A270)*('Weekly Log'!$I$4:$I$1003&lt;&gt;"")),'Weekly Log'!$I$4:$I$1003),""))</f>
        <v/>
      </c>
    </row>
    <row r="271" customFormat="false" ht="15" hidden="false" customHeight="false" outlineLevel="0" collapsed="false">
      <c r="H271" s="16"/>
      <c r="J271" s="12" t="str">
        <f aca="false">IF(A271="","",COUNTIF('Weekly Log'!$C:$C,A271))</f>
        <v/>
      </c>
      <c r="K271" s="12" t="str">
        <f aca="false">IF(A271="","",COUNTIFS('Weekly Log'!$C:$C,A271,'Weekly Log'!$E:$E,"Yes"))</f>
        <v/>
      </c>
      <c r="L271" s="13" t="str">
        <f aca="false">IF(A271="","",IF(J271=0,"",K271/J271))</f>
        <v/>
      </c>
      <c r="M271" s="14" t="str">
        <f aca="false">IF(A271="","",IFERROR((SUMIFS('Weekly Log'!$F:$F,'Weekly Log'!$C:$C,A271)+SUMIFS('Weekly Log'!$G:$G,'Weekly Log'!$C:$C,A271))/(COUNTIFS('Weekly Log'!$C:$C,A271,'Weekly Log'!$F:$F,"&lt;&gt;")+COUNTIFS('Weekly Log'!$C:$C,A271,'Weekly Log'!$G:$G,"&lt;&gt;")),""))</f>
        <v/>
      </c>
      <c r="N271" s="15" t="str">
        <f aca="false">IF(A271="","",IF(K271=0,"",_xlfn.MAXIFS('Weekly Log'!$A:$A,'Weekly Log'!$C:$C,A271,'Weekly Log'!$E:$E,"Yes")))</f>
        <v/>
      </c>
      <c r="O271" s="12" t="str">
        <f aca="true">IF(N271="","",MAX(0,INT((TODAY()-N271)/7)))</f>
        <v/>
      </c>
      <c r="Q271" s="12" t="str">
        <f aca="false">IF(A271="","",IFERROR(LOOKUP(2,1/(('Weekly Log'!$C$4:$C$1003=A271)*('Weekly Log'!$I$4:$I$1003&lt;&gt;"")),'Weekly Log'!$I$4:$I$1003),""))</f>
        <v/>
      </c>
    </row>
    <row r="272" customFormat="false" ht="15" hidden="false" customHeight="false" outlineLevel="0" collapsed="false">
      <c r="H272" s="16"/>
      <c r="J272" s="12" t="str">
        <f aca="false">IF(A272="","",COUNTIF('Weekly Log'!$C:$C,A272))</f>
        <v/>
      </c>
      <c r="K272" s="12" t="str">
        <f aca="false">IF(A272="","",COUNTIFS('Weekly Log'!$C:$C,A272,'Weekly Log'!$E:$E,"Yes"))</f>
        <v/>
      </c>
      <c r="L272" s="13" t="str">
        <f aca="false">IF(A272="","",IF(J272=0,"",K272/J272))</f>
        <v/>
      </c>
      <c r="M272" s="14" t="str">
        <f aca="false">IF(A272="","",IFERROR((SUMIFS('Weekly Log'!$F:$F,'Weekly Log'!$C:$C,A272)+SUMIFS('Weekly Log'!$G:$G,'Weekly Log'!$C:$C,A272))/(COUNTIFS('Weekly Log'!$C:$C,A272,'Weekly Log'!$F:$F,"&lt;&gt;")+COUNTIFS('Weekly Log'!$C:$C,A272,'Weekly Log'!$G:$G,"&lt;&gt;")),""))</f>
        <v/>
      </c>
      <c r="N272" s="15" t="str">
        <f aca="false">IF(A272="","",IF(K272=0,"",_xlfn.MAXIFS('Weekly Log'!$A:$A,'Weekly Log'!$C:$C,A272,'Weekly Log'!$E:$E,"Yes")))</f>
        <v/>
      </c>
      <c r="O272" s="12" t="str">
        <f aca="true">IF(N272="","",MAX(0,INT((TODAY()-N272)/7)))</f>
        <v/>
      </c>
      <c r="Q272" s="12" t="str">
        <f aca="false">IF(A272="","",IFERROR(LOOKUP(2,1/(('Weekly Log'!$C$4:$C$1003=A272)*('Weekly Log'!$I$4:$I$1003&lt;&gt;"")),'Weekly Log'!$I$4:$I$1003),""))</f>
        <v/>
      </c>
    </row>
    <row r="273" customFormat="false" ht="15" hidden="false" customHeight="false" outlineLevel="0" collapsed="false">
      <c r="H273" s="16"/>
      <c r="J273" s="12" t="str">
        <f aca="false">IF(A273="","",COUNTIF('Weekly Log'!$C:$C,A273))</f>
        <v/>
      </c>
      <c r="K273" s="12" t="str">
        <f aca="false">IF(A273="","",COUNTIFS('Weekly Log'!$C:$C,A273,'Weekly Log'!$E:$E,"Yes"))</f>
        <v/>
      </c>
      <c r="L273" s="13" t="str">
        <f aca="false">IF(A273="","",IF(J273=0,"",K273/J273))</f>
        <v/>
      </c>
      <c r="M273" s="14" t="str">
        <f aca="false">IF(A273="","",IFERROR((SUMIFS('Weekly Log'!$F:$F,'Weekly Log'!$C:$C,A273)+SUMIFS('Weekly Log'!$G:$G,'Weekly Log'!$C:$C,A273))/(COUNTIFS('Weekly Log'!$C:$C,A273,'Weekly Log'!$F:$F,"&lt;&gt;")+COUNTIFS('Weekly Log'!$C:$C,A273,'Weekly Log'!$G:$G,"&lt;&gt;")),""))</f>
        <v/>
      </c>
      <c r="N273" s="15" t="str">
        <f aca="false">IF(A273="","",IF(K273=0,"",_xlfn.MAXIFS('Weekly Log'!$A:$A,'Weekly Log'!$C:$C,A273,'Weekly Log'!$E:$E,"Yes")))</f>
        <v/>
      </c>
      <c r="O273" s="12" t="str">
        <f aca="true">IF(N273="","",MAX(0,INT((TODAY()-N273)/7)))</f>
        <v/>
      </c>
      <c r="Q273" s="12" t="str">
        <f aca="false">IF(A273="","",IFERROR(LOOKUP(2,1/(('Weekly Log'!$C$4:$C$1003=A273)*('Weekly Log'!$I$4:$I$1003&lt;&gt;"")),'Weekly Log'!$I$4:$I$1003),""))</f>
        <v/>
      </c>
    </row>
    <row r="274" customFormat="false" ht="15" hidden="false" customHeight="false" outlineLevel="0" collapsed="false">
      <c r="H274" s="16"/>
      <c r="J274" s="12" t="str">
        <f aca="false">IF(A274="","",COUNTIF('Weekly Log'!$C:$C,A274))</f>
        <v/>
      </c>
      <c r="K274" s="12" t="str">
        <f aca="false">IF(A274="","",COUNTIFS('Weekly Log'!$C:$C,A274,'Weekly Log'!$E:$E,"Yes"))</f>
        <v/>
      </c>
      <c r="L274" s="13" t="str">
        <f aca="false">IF(A274="","",IF(J274=0,"",K274/J274))</f>
        <v/>
      </c>
      <c r="M274" s="14" t="str">
        <f aca="false">IF(A274="","",IFERROR((SUMIFS('Weekly Log'!$F:$F,'Weekly Log'!$C:$C,A274)+SUMIFS('Weekly Log'!$G:$G,'Weekly Log'!$C:$C,A274))/(COUNTIFS('Weekly Log'!$C:$C,A274,'Weekly Log'!$F:$F,"&lt;&gt;")+COUNTIFS('Weekly Log'!$C:$C,A274,'Weekly Log'!$G:$G,"&lt;&gt;")),""))</f>
        <v/>
      </c>
      <c r="N274" s="15" t="str">
        <f aca="false">IF(A274="","",IF(K274=0,"",_xlfn.MAXIFS('Weekly Log'!$A:$A,'Weekly Log'!$C:$C,A274,'Weekly Log'!$E:$E,"Yes")))</f>
        <v/>
      </c>
      <c r="O274" s="12" t="str">
        <f aca="true">IF(N274="","",MAX(0,INT((TODAY()-N274)/7)))</f>
        <v/>
      </c>
      <c r="Q274" s="12" t="str">
        <f aca="false">IF(A274="","",IFERROR(LOOKUP(2,1/(('Weekly Log'!$C$4:$C$1003=A274)*('Weekly Log'!$I$4:$I$1003&lt;&gt;"")),'Weekly Log'!$I$4:$I$1003),""))</f>
        <v/>
      </c>
    </row>
    <row r="275" customFormat="false" ht="15" hidden="false" customHeight="false" outlineLevel="0" collapsed="false">
      <c r="H275" s="16"/>
      <c r="J275" s="12" t="str">
        <f aca="false">IF(A275="","",COUNTIF('Weekly Log'!$C:$C,A275))</f>
        <v/>
      </c>
      <c r="K275" s="12" t="str">
        <f aca="false">IF(A275="","",COUNTIFS('Weekly Log'!$C:$C,A275,'Weekly Log'!$E:$E,"Yes"))</f>
        <v/>
      </c>
      <c r="L275" s="13" t="str">
        <f aca="false">IF(A275="","",IF(J275=0,"",K275/J275))</f>
        <v/>
      </c>
      <c r="M275" s="14" t="str">
        <f aca="false">IF(A275="","",IFERROR((SUMIFS('Weekly Log'!$F:$F,'Weekly Log'!$C:$C,A275)+SUMIFS('Weekly Log'!$G:$G,'Weekly Log'!$C:$C,A275))/(COUNTIFS('Weekly Log'!$C:$C,A275,'Weekly Log'!$F:$F,"&lt;&gt;")+COUNTIFS('Weekly Log'!$C:$C,A275,'Weekly Log'!$G:$G,"&lt;&gt;")),""))</f>
        <v/>
      </c>
      <c r="N275" s="15" t="str">
        <f aca="false">IF(A275="","",IF(K275=0,"",_xlfn.MAXIFS('Weekly Log'!$A:$A,'Weekly Log'!$C:$C,A275,'Weekly Log'!$E:$E,"Yes")))</f>
        <v/>
      </c>
      <c r="O275" s="12" t="str">
        <f aca="true">IF(N275="","",MAX(0,INT((TODAY()-N275)/7)))</f>
        <v/>
      </c>
      <c r="Q275" s="12" t="str">
        <f aca="false">IF(A275="","",IFERROR(LOOKUP(2,1/(('Weekly Log'!$C$4:$C$1003=A275)*('Weekly Log'!$I$4:$I$1003&lt;&gt;"")),'Weekly Log'!$I$4:$I$1003),""))</f>
        <v/>
      </c>
    </row>
    <row r="276" customFormat="false" ht="15" hidden="false" customHeight="false" outlineLevel="0" collapsed="false">
      <c r="H276" s="16"/>
      <c r="J276" s="12" t="str">
        <f aca="false">IF(A276="","",COUNTIF('Weekly Log'!$C:$C,A276))</f>
        <v/>
      </c>
      <c r="K276" s="12" t="str">
        <f aca="false">IF(A276="","",COUNTIFS('Weekly Log'!$C:$C,A276,'Weekly Log'!$E:$E,"Yes"))</f>
        <v/>
      </c>
      <c r="L276" s="13" t="str">
        <f aca="false">IF(A276="","",IF(J276=0,"",K276/J276))</f>
        <v/>
      </c>
      <c r="M276" s="14" t="str">
        <f aca="false">IF(A276="","",IFERROR((SUMIFS('Weekly Log'!$F:$F,'Weekly Log'!$C:$C,A276)+SUMIFS('Weekly Log'!$G:$G,'Weekly Log'!$C:$C,A276))/(COUNTIFS('Weekly Log'!$C:$C,A276,'Weekly Log'!$F:$F,"&lt;&gt;")+COUNTIFS('Weekly Log'!$C:$C,A276,'Weekly Log'!$G:$G,"&lt;&gt;")),""))</f>
        <v/>
      </c>
      <c r="N276" s="15" t="str">
        <f aca="false">IF(A276="","",IF(K276=0,"",_xlfn.MAXIFS('Weekly Log'!$A:$A,'Weekly Log'!$C:$C,A276,'Weekly Log'!$E:$E,"Yes")))</f>
        <v/>
      </c>
      <c r="O276" s="12" t="str">
        <f aca="true">IF(N276="","",MAX(0,INT((TODAY()-N276)/7)))</f>
        <v/>
      </c>
      <c r="Q276" s="12" t="str">
        <f aca="false">IF(A276="","",IFERROR(LOOKUP(2,1/(('Weekly Log'!$C$4:$C$1003=A276)*('Weekly Log'!$I$4:$I$1003&lt;&gt;"")),'Weekly Log'!$I$4:$I$1003),""))</f>
        <v/>
      </c>
    </row>
    <row r="277" customFormat="false" ht="15" hidden="false" customHeight="false" outlineLevel="0" collapsed="false">
      <c r="H277" s="16"/>
      <c r="J277" s="12" t="str">
        <f aca="false">IF(A277="","",COUNTIF('Weekly Log'!$C:$C,A277))</f>
        <v/>
      </c>
      <c r="K277" s="12" t="str">
        <f aca="false">IF(A277="","",COUNTIFS('Weekly Log'!$C:$C,A277,'Weekly Log'!$E:$E,"Yes"))</f>
        <v/>
      </c>
      <c r="L277" s="13" t="str">
        <f aca="false">IF(A277="","",IF(J277=0,"",K277/J277))</f>
        <v/>
      </c>
      <c r="M277" s="14" t="str">
        <f aca="false">IF(A277="","",IFERROR((SUMIFS('Weekly Log'!$F:$F,'Weekly Log'!$C:$C,A277)+SUMIFS('Weekly Log'!$G:$G,'Weekly Log'!$C:$C,A277))/(COUNTIFS('Weekly Log'!$C:$C,A277,'Weekly Log'!$F:$F,"&lt;&gt;")+COUNTIFS('Weekly Log'!$C:$C,A277,'Weekly Log'!$G:$G,"&lt;&gt;")),""))</f>
        <v/>
      </c>
      <c r="N277" s="15" t="str">
        <f aca="false">IF(A277="","",IF(K277=0,"",_xlfn.MAXIFS('Weekly Log'!$A:$A,'Weekly Log'!$C:$C,A277,'Weekly Log'!$E:$E,"Yes")))</f>
        <v/>
      </c>
      <c r="O277" s="12" t="str">
        <f aca="true">IF(N277="","",MAX(0,INT((TODAY()-N277)/7)))</f>
        <v/>
      </c>
      <c r="Q277" s="12" t="str">
        <f aca="false">IF(A277="","",IFERROR(LOOKUP(2,1/(('Weekly Log'!$C$4:$C$1003=A277)*('Weekly Log'!$I$4:$I$1003&lt;&gt;"")),'Weekly Log'!$I$4:$I$1003),""))</f>
        <v/>
      </c>
    </row>
    <row r="278" customFormat="false" ht="15" hidden="false" customHeight="false" outlineLevel="0" collapsed="false">
      <c r="H278" s="16"/>
      <c r="J278" s="12" t="str">
        <f aca="false">IF(A278="","",COUNTIF('Weekly Log'!$C:$C,A278))</f>
        <v/>
      </c>
      <c r="K278" s="12" t="str">
        <f aca="false">IF(A278="","",COUNTIFS('Weekly Log'!$C:$C,A278,'Weekly Log'!$E:$E,"Yes"))</f>
        <v/>
      </c>
      <c r="L278" s="13" t="str">
        <f aca="false">IF(A278="","",IF(J278=0,"",K278/J278))</f>
        <v/>
      </c>
      <c r="M278" s="14" t="str">
        <f aca="false">IF(A278="","",IFERROR((SUMIFS('Weekly Log'!$F:$F,'Weekly Log'!$C:$C,A278)+SUMIFS('Weekly Log'!$G:$G,'Weekly Log'!$C:$C,A278))/(COUNTIFS('Weekly Log'!$C:$C,A278,'Weekly Log'!$F:$F,"&lt;&gt;")+COUNTIFS('Weekly Log'!$C:$C,A278,'Weekly Log'!$G:$G,"&lt;&gt;")),""))</f>
        <v/>
      </c>
      <c r="N278" s="15" t="str">
        <f aca="false">IF(A278="","",IF(K278=0,"",_xlfn.MAXIFS('Weekly Log'!$A:$A,'Weekly Log'!$C:$C,A278,'Weekly Log'!$E:$E,"Yes")))</f>
        <v/>
      </c>
      <c r="O278" s="12" t="str">
        <f aca="true">IF(N278="","",MAX(0,INT((TODAY()-N278)/7)))</f>
        <v/>
      </c>
      <c r="Q278" s="12" t="str">
        <f aca="false">IF(A278="","",IFERROR(LOOKUP(2,1/(('Weekly Log'!$C$4:$C$1003=A278)*('Weekly Log'!$I$4:$I$1003&lt;&gt;"")),'Weekly Log'!$I$4:$I$1003),""))</f>
        <v/>
      </c>
    </row>
    <row r="279" customFormat="false" ht="15" hidden="false" customHeight="false" outlineLevel="0" collapsed="false">
      <c r="H279" s="16"/>
      <c r="J279" s="12" t="str">
        <f aca="false">IF(A279="","",COUNTIF('Weekly Log'!$C:$C,A279))</f>
        <v/>
      </c>
      <c r="K279" s="12" t="str">
        <f aca="false">IF(A279="","",COUNTIFS('Weekly Log'!$C:$C,A279,'Weekly Log'!$E:$E,"Yes"))</f>
        <v/>
      </c>
      <c r="L279" s="13" t="str">
        <f aca="false">IF(A279="","",IF(J279=0,"",K279/J279))</f>
        <v/>
      </c>
      <c r="M279" s="14" t="str">
        <f aca="false">IF(A279="","",IFERROR((SUMIFS('Weekly Log'!$F:$F,'Weekly Log'!$C:$C,A279)+SUMIFS('Weekly Log'!$G:$G,'Weekly Log'!$C:$C,A279))/(COUNTIFS('Weekly Log'!$C:$C,A279,'Weekly Log'!$F:$F,"&lt;&gt;")+COUNTIFS('Weekly Log'!$C:$C,A279,'Weekly Log'!$G:$G,"&lt;&gt;")),""))</f>
        <v/>
      </c>
      <c r="N279" s="15" t="str">
        <f aca="false">IF(A279="","",IF(K279=0,"",_xlfn.MAXIFS('Weekly Log'!$A:$A,'Weekly Log'!$C:$C,A279,'Weekly Log'!$E:$E,"Yes")))</f>
        <v/>
      </c>
      <c r="O279" s="12" t="str">
        <f aca="true">IF(N279="","",MAX(0,INT((TODAY()-N279)/7)))</f>
        <v/>
      </c>
      <c r="Q279" s="12" t="str">
        <f aca="false">IF(A279="","",IFERROR(LOOKUP(2,1/(('Weekly Log'!$C$4:$C$1003=A279)*('Weekly Log'!$I$4:$I$1003&lt;&gt;"")),'Weekly Log'!$I$4:$I$1003),""))</f>
        <v/>
      </c>
    </row>
    <row r="280" customFormat="false" ht="15" hidden="false" customHeight="false" outlineLevel="0" collapsed="false">
      <c r="H280" s="16"/>
      <c r="J280" s="12" t="str">
        <f aca="false">IF(A280="","",COUNTIF('Weekly Log'!$C:$C,A280))</f>
        <v/>
      </c>
      <c r="K280" s="12" t="str">
        <f aca="false">IF(A280="","",COUNTIFS('Weekly Log'!$C:$C,A280,'Weekly Log'!$E:$E,"Yes"))</f>
        <v/>
      </c>
      <c r="L280" s="13" t="str">
        <f aca="false">IF(A280="","",IF(J280=0,"",K280/J280))</f>
        <v/>
      </c>
      <c r="M280" s="14" t="str">
        <f aca="false">IF(A280="","",IFERROR((SUMIFS('Weekly Log'!$F:$F,'Weekly Log'!$C:$C,A280)+SUMIFS('Weekly Log'!$G:$G,'Weekly Log'!$C:$C,A280))/(COUNTIFS('Weekly Log'!$C:$C,A280,'Weekly Log'!$F:$F,"&lt;&gt;")+COUNTIFS('Weekly Log'!$C:$C,A280,'Weekly Log'!$G:$G,"&lt;&gt;")),""))</f>
        <v/>
      </c>
      <c r="N280" s="15" t="str">
        <f aca="false">IF(A280="","",IF(K280=0,"",_xlfn.MAXIFS('Weekly Log'!$A:$A,'Weekly Log'!$C:$C,A280,'Weekly Log'!$E:$E,"Yes")))</f>
        <v/>
      </c>
      <c r="O280" s="12" t="str">
        <f aca="true">IF(N280="","",MAX(0,INT((TODAY()-N280)/7)))</f>
        <v/>
      </c>
      <c r="Q280" s="12" t="str">
        <f aca="false">IF(A280="","",IFERROR(LOOKUP(2,1/(('Weekly Log'!$C$4:$C$1003=A280)*('Weekly Log'!$I$4:$I$1003&lt;&gt;"")),'Weekly Log'!$I$4:$I$1003),""))</f>
        <v/>
      </c>
    </row>
    <row r="281" customFormat="false" ht="15" hidden="false" customHeight="false" outlineLevel="0" collapsed="false">
      <c r="H281" s="16"/>
      <c r="J281" s="12" t="str">
        <f aca="false">IF(A281="","",COUNTIF('Weekly Log'!$C:$C,A281))</f>
        <v/>
      </c>
      <c r="K281" s="12" t="str">
        <f aca="false">IF(A281="","",COUNTIFS('Weekly Log'!$C:$C,A281,'Weekly Log'!$E:$E,"Yes"))</f>
        <v/>
      </c>
      <c r="L281" s="13" t="str">
        <f aca="false">IF(A281="","",IF(J281=0,"",K281/J281))</f>
        <v/>
      </c>
      <c r="M281" s="14" t="str">
        <f aca="false">IF(A281="","",IFERROR((SUMIFS('Weekly Log'!$F:$F,'Weekly Log'!$C:$C,A281)+SUMIFS('Weekly Log'!$G:$G,'Weekly Log'!$C:$C,A281))/(COUNTIFS('Weekly Log'!$C:$C,A281,'Weekly Log'!$F:$F,"&lt;&gt;")+COUNTIFS('Weekly Log'!$C:$C,A281,'Weekly Log'!$G:$G,"&lt;&gt;")),""))</f>
        <v/>
      </c>
      <c r="N281" s="15" t="str">
        <f aca="false">IF(A281="","",IF(K281=0,"",_xlfn.MAXIFS('Weekly Log'!$A:$A,'Weekly Log'!$C:$C,A281,'Weekly Log'!$E:$E,"Yes")))</f>
        <v/>
      </c>
      <c r="O281" s="12" t="str">
        <f aca="true">IF(N281="","",MAX(0,INT((TODAY()-N281)/7)))</f>
        <v/>
      </c>
      <c r="Q281" s="12" t="str">
        <f aca="false">IF(A281="","",IFERROR(LOOKUP(2,1/(('Weekly Log'!$C$4:$C$1003=A281)*('Weekly Log'!$I$4:$I$1003&lt;&gt;"")),'Weekly Log'!$I$4:$I$1003),""))</f>
        <v/>
      </c>
    </row>
    <row r="282" customFormat="false" ht="15" hidden="false" customHeight="false" outlineLevel="0" collapsed="false">
      <c r="H282" s="16"/>
      <c r="J282" s="12" t="str">
        <f aca="false">IF(A282="","",COUNTIF('Weekly Log'!$C:$C,A282))</f>
        <v/>
      </c>
      <c r="K282" s="12" t="str">
        <f aca="false">IF(A282="","",COUNTIFS('Weekly Log'!$C:$C,A282,'Weekly Log'!$E:$E,"Yes"))</f>
        <v/>
      </c>
      <c r="L282" s="13" t="str">
        <f aca="false">IF(A282="","",IF(J282=0,"",K282/J282))</f>
        <v/>
      </c>
      <c r="M282" s="14" t="str">
        <f aca="false">IF(A282="","",IFERROR((SUMIFS('Weekly Log'!$F:$F,'Weekly Log'!$C:$C,A282)+SUMIFS('Weekly Log'!$G:$G,'Weekly Log'!$C:$C,A282))/(COUNTIFS('Weekly Log'!$C:$C,A282,'Weekly Log'!$F:$F,"&lt;&gt;")+COUNTIFS('Weekly Log'!$C:$C,A282,'Weekly Log'!$G:$G,"&lt;&gt;")),""))</f>
        <v/>
      </c>
      <c r="N282" s="15" t="str">
        <f aca="false">IF(A282="","",IF(K282=0,"",_xlfn.MAXIFS('Weekly Log'!$A:$A,'Weekly Log'!$C:$C,A282,'Weekly Log'!$E:$E,"Yes")))</f>
        <v/>
      </c>
      <c r="O282" s="12" t="str">
        <f aca="true">IF(N282="","",MAX(0,INT((TODAY()-N282)/7)))</f>
        <v/>
      </c>
      <c r="Q282" s="12" t="str">
        <f aca="false">IF(A282="","",IFERROR(LOOKUP(2,1/(('Weekly Log'!$C$4:$C$1003=A282)*('Weekly Log'!$I$4:$I$1003&lt;&gt;"")),'Weekly Log'!$I$4:$I$1003),""))</f>
        <v/>
      </c>
    </row>
    <row r="283" customFormat="false" ht="15" hidden="false" customHeight="false" outlineLevel="0" collapsed="false">
      <c r="H283" s="16"/>
      <c r="J283" s="12" t="str">
        <f aca="false">IF(A283="","",COUNTIF('Weekly Log'!$C:$C,A283))</f>
        <v/>
      </c>
      <c r="K283" s="12" t="str">
        <f aca="false">IF(A283="","",COUNTIFS('Weekly Log'!$C:$C,A283,'Weekly Log'!$E:$E,"Yes"))</f>
        <v/>
      </c>
      <c r="L283" s="13" t="str">
        <f aca="false">IF(A283="","",IF(J283=0,"",K283/J283))</f>
        <v/>
      </c>
      <c r="M283" s="14" t="str">
        <f aca="false">IF(A283="","",IFERROR((SUMIFS('Weekly Log'!$F:$F,'Weekly Log'!$C:$C,A283)+SUMIFS('Weekly Log'!$G:$G,'Weekly Log'!$C:$C,A283))/(COUNTIFS('Weekly Log'!$C:$C,A283,'Weekly Log'!$F:$F,"&lt;&gt;")+COUNTIFS('Weekly Log'!$C:$C,A283,'Weekly Log'!$G:$G,"&lt;&gt;")),""))</f>
        <v/>
      </c>
      <c r="N283" s="15" t="str">
        <f aca="false">IF(A283="","",IF(K283=0,"",_xlfn.MAXIFS('Weekly Log'!$A:$A,'Weekly Log'!$C:$C,A283,'Weekly Log'!$E:$E,"Yes")))</f>
        <v/>
      </c>
      <c r="O283" s="12" t="str">
        <f aca="true">IF(N283="","",MAX(0,INT((TODAY()-N283)/7)))</f>
        <v/>
      </c>
      <c r="Q283" s="12" t="str">
        <f aca="false">IF(A283="","",IFERROR(LOOKUP(2,1/(('Weekly Log'!$C$4:$C$1003=A283)*('Weekly Log'!$I$4:$I$1003&lt;&gt;"")),'Weekly Log'!$I$4:$I$1003),""))</f>
        <v/>
      </c>
    </row>
    <row r="284" customFormat="false" ht="15" hidden="false" customHeight="false" outlineLevel="0" collapsed="false">
      <c r="H284" s="16"/>
      <c r="J284" s="12" t="str">
        <f aca="false">IF(A284="","",COUNTIF('Weekly Log'!$C:$C,A284))</f>
        <v/>
      </c>
      <c r="K284" s="12" t="str">
        <f aca="false">IF(A284="","",COUNTIFS('Weekly Log'!$C:$C,A284,'Weekly Log'!$E:$E,"Yes"))</f>
        <v/>
      </c>
      <c r="L284" s="13" t="str">
        <f aca="false">IF(A284="","",IF(J284=0,"",K284/J284))</f>
        <v/>
      </c>
      <c r="M284" s="14" t="str">
        <f aca="false">IF(A284="","",IFERROR((SUMIFS('Weekly Log'!$F:$F,'Weekly Log'!$C:$C,A284)+SUMIFS('Weekly Log'!$G:$G,'Weekly Log'!$C:$C,A284))/(COUNTIFS('Weekly Log'!$C:$C,A284,'Weekly Log'!$F:$F,"&lt;&gt;")+COUNTIFS('Weekly Log'!$C:$C,A284,'Weekly Log'!$G:$G,"&lt;&gt;")),""))</f>
        <v/>
      </c>
      <c r="N284" s="15" t="str">
        <f aca="false">IF(A284="","",IF(K284=0,"",_xlfn.MAXIFS('Weekly Log'!$A:$A,'Weekly Log'!$C:$C,A284,'Weekly Log'!$E:$E,"Yes")))</f>
        <v/>
      </c>
      <c r="O284" s="12" t="str">
        <f aca="true">IF(N284="","",MAX(0,INT((TODAY()-N284)/7)))</f>
        <v/>
      </c>
      <c r="Q284" s="12" t="str">
        <f aca="false">IF(A284="","",IFERROR(LOOKUP(2,1/(('Weekly Log'!$C$4:$C$1003=A284)*('Weekly Log'!$I$4:$I$1003&lt;&gt;"")),'Weekly Log'!$I$4:$I$1003),""))</f>
        <v/>
      </c>
    </row>
    <row r="285" customFormat="false" ht="15" hidden="false" customHeight="false" outlineLevel="0" collapsed="false">
      <c r="H285" s="16"/>
      <c r="J285" s="12" t="str">
        <f aca="false">IF(A285="","",COUNTIF('Weekly Log'!$C:$C,A285))</f>
        <v/>
      </c>
      <c r="K285" s="12" t="str">
        <f aca="false">IF(A285="","",COUNTIFS('Weekly Log'!$C:$C,A285,'Weekly Log'!$E:$E,"Yes"))</f>
        <v/>
      </c>
      <c r="L285" s="13" t="str">
        <f aca="false">IF(A285="","",IF(J285=0,"",K285/J285))</f>
        <v/>
      </c>
      <c r="M285" s="14" t="str">
        <f aca="false">IF(A285="","",IFERROR((SUMIFS('Weekly Log'!$F:$F,'Weekly Log'!$C:$C,A285)+SUMIFS('Weekly Log'!$G:$G,'Weekly Log'!$C:$C,A285))/(COUNTIFS('Weekly Log'!$C:$C,A285,'Weekly Log'!$F:$F,"&lt;&gt;")+COUNTIFS('Weekly Log'!$C:$C,A285,'Weekly Log'!$G:$G,"&lt;&gt;")),""))</f>
        <v/>
      </c>
      <c r="N285" s="15" t="str">
        <f aca="false">IF(A285="","",IF(K285=0,"",_xlfn.MAXIFS('Weekly Log'!$A:$A,'Weekly Log'!$C:$C,A285,'Weekly Log'!$E:$E,"Yes")))</f>
        <v/>
      </c>
      <c r="O285" s="12" t="str">
        <f aca="true">IF(N285="","",MAX(0,INT((TODAY()-N285)/7)))</f>
        <v/>
      </c>
      <c r="Q285" s="12" t="str">
        <f aca="false">IF(A285="","",IFERROR(LOOKUP(2,1/(('Weekly Log'!$C$4:$C$1003=A285)*('Weekly Log'!$I$4:$I$1003&lt;&gt;"")),'Weekly Log'!$I$4:$I$1003),""))</f>
        <v/>
      </c>
    </row>
    <row r="286" customFormat="false" ht="15" hidden="false" customHeight="false" outlineLevel="0" collapsed="false">
      <c r="H286" s="16"/>
      <c r="J286" s="12" t="str">
        <f aca="false">IF(A286="","",COUNTIF('Weekly Log'!$C:$C,A286))</f>
        <v/>
      </c>
      <c r="K286" s="12" t="str">
        <f aca="false">IF(A286="","",COUNTIFS('Weekly Log'!$C:$C,A286,'Weekly Log'!$E:$E,"Yes"))</f>
        <v/>
      </c>
      <c r="L286" s="13" t="str">
        <f aca="false">IF(A286="","",IF(J286=0,"",K286/J286))</f>
        <v/>
      </c>
      <c r="M286" s="14" t="str">
        <f aca="false">IF(A286="","",IFERROR((SUMIFS('Weekly Log'!$F:$F,'Weekly Log'!$C:$C,A286)+SUMIFS('Weekly Log'!$G:$G,'Weekly Log'!$C:$C,A286))/(COUNTIFS('Weekly Log'!$C:$C,A286,'Weekly Log'!$F:$F,"&lt;&gt;")+COUNTIFS('Weekly Log'!$C:$C,A286,'Weekly Log'!$G:$G,"&lt;&gt;")),""))</f>
        <v/>
      </c>
      <c r="N286" s="15" t="str">
        <f aca="false">IF(A286="","",IF(K286=0,"",_xlfn.MAXIFS('Weekly Log'!$A:$A,'Weekly Log'!$C:$C,A286,'Weekly Log'!$E:$E,"Yes")))</f>
        <v/>
      </c>
      <c r="O286" s="12" t="str">
        <f aca="true">IF(N286="","",MAX(0,INT((TODAY()-N286)/7)))</f>
        <v/>
      </c>
      <c r="Q286" s="12" t="str">
        <f aca="false">IF(A286="","",IFERROR(LOOKUP(2,1/(('Weekly Log'!$C$4:$C$1003=A286)*('Weekly Log'!$I$4:$I$1003&lt;&gt;"")),'Weekly Log'!$I$4:$I$1003),""))</f>
        <v/>
      </c>
    </row>
    <row r="287" customFormat="false" ht="15" hidden="false" customHeight="false" outlineLevel="0" collapsed="false">
      <c r="H287" s="16"/>
      <c r="J287" s="12" t="str">
        <f aca="false">IF(A287="","",COUNTIF('Weekly Log'!$C:$C,A287))</f>
        <v/>
      </c>
      <c r="K287" s="12" t="str">
        <f aca="false">IF(A287="","",COUNTIFS('Weekly Log'!$C:$C,A287,'Weekly Log'!$E:$E,"Yes"))</f>
        <v/>
      </c>
      <c r="L287" s="13" t="str">
        <f aca="false">IF(A287="","",IF(J287=0,"",K287/J287))</f>
        <v/>
      </c>
      <c r="M287" s="14" t="str">
        <f aca="false">IF(A287="","",IFERROR((SUMIFS('Weekly Log'!$F:$F,'Weekly Log'!$C:$C,A287)+SUMIFS('Weekly Log'!$G:$G,'Weekly Log'!$C:$C,A287))/(COUNTIFS('Weekly Log'!$C:$C,A287,'Weekly Log'!$F:$F,"&lt;&gt;")+COUNTIFS('Weekly Log'!$C:$C,A287,'Weekly Log'!$G:$G,"&lt;&gt;")),""))</f>
        <v/>
      </c>
      <c r="N287" s="15" t="str">
        <f aca="false">IF(A287="","",IF(K287=0,"",_xlfn.MAXIFS('Weekly Log'!$A:$A,'Weekly Log'!$C:$C,A287,'Weekly Log'!$E:$E,"Yes")))</f>
        <v/>
      </c>
      <c r="O287" s="12" t="str">
        <f aca="true">IF(N287="","",MAX(0,INT((TODAY()-N287)/7)))</f>
        <v/>
      </c>
      <c r="Q287" s="12" t="str">
        <f aca="false">IF(A287="","",IFERROR(LOOKUP(2,1/(('Weekly Log'!$C$4:$C$1003=A287)*('Weekly Log'!$I$4:$I$1003&lt;&gt;"")),'Weekly Log'!$I$4:$I$1003),""))</f>
        <v/>
      </c>
    </row>
    <row r="288" customFormat="false" ht="15" hidden="false" customHeight="false" outlineLevel="0" collapsed="false">
      <c r="H288" s="16"/>
      <c r="J288" s="12" t="str">
        <f aca="false">IF(A288="","",COUNTIF('Weekly Log'!$C:$C,A288))</f>
        <v/>
      </c>
      <c r="K288" s="12" t="str">
        <f aca="false">IF(A288="","",COUNTIFS('Weekly Log'!$C:$C,A288,'Weekly Log'!$E:$E,"Yes"))</f>
        <v/>
      </c>
      <c r="L288" s="13" t="str">
        <f aca="false">IF(A288="","",IF(J288=0,"",K288/J288))</f>
        <v/>
      </c>
      <c r="M288" s="14" t="str">
        <f aca="false">IF(A288="","",IFERROR((SUMIFS('Weekly Log'!$F:$F,'Weekly Log'!$C:$C,A288)+SUMIFS('Weekly Log'!$G:$G,'Weekly Log'!$C:$C,A288))/(COUNTIFS('Weekly Log'!$C:$C,A288,'Weekly Log'!$F:$F,"&lt;&gt;")+COUNTIFS('Weekly Log'!$C:$C,A288,'Weekly Log'!$G:$G,"&lt;&gt;")),""))</f>
        <v/>
      </c>
      <c r="N288" s="15" t="str">
        <f aca="false">IF(A288="","",IF(K288=0,"",_xlfn.MAXIFS('Weekly Log'!$A:$A,'Weekly Log'!$C:$C,A288,'Weekly Log'!$E:$E,"Yes")))</f>
        <v/>
      </c>
      <c r="O288" s="12" t="str">
        <f aca="true">IF(N288="","",MAX(0,INT((TODAY()-N288)/7)))</f>
        <v/>
      </c>
      <c r="Q288" s="12" t="str">
        <f aca="false">IF(A288="","",IFERROR(LOOKUP(2,1/(('Weekly Log'!$C$4:$C$1003=A288)*('Weekly Log'!$I$4:$I$1003&lt;&gt;"")),'Weekly Log'!$I$4:$I$1003),""))</f>
        <v/>
      </c>
    </row>
    <row r="289" customFormat="false" ht="15" hidden="false" customHeight="false" outlineLevel="0" collapsed="false">
      <c r="H289" s="16"/>
      <c r="J289" s="12" t="str">
        <f aca="false">IF(A289="","",COUNTIF('Weekly Log'!$C:$C,A289))</f>
        <v/>
      </c>
      <c r="K289" s="12" t="str">
        <f aca="false">IF(A289="","",COUNTIFS('Weekly Log'!$C:$C,A289,'Weekly Log'!$E:$E,"Yes"))</f>
        <v/>
      </c>
      <c r="L289" s="13" t="str">
        <f aca="false">IF(A289="","",IF(J289=0,"",K289/J289))</f>
        <v/>
      </c>
      <c r="M289" s="14" t="str">
        <f aca="false">IF(A289="","",IFERROR((SUMIFS('Weekly Log'!$F:$F,'Weekly Log'!$C:$C,A289)+SUMIFS('Weekly Log'!$G:$G,'Weekly Log'!$C:$C,A289))/(COUNTIFS('Weekly Log'!$C:$C,A289,'Weekly Log'!$F:$F,"&lt;&gt;")+COUNTIFS('Weekly Log'!$C:$C,A289,'Weekly Log'!$G:$G,"&lt;&gt;")),""))</f>
        <v/>
      </c>
      <c r="N289" s="15" t="str">
        <f aca="false">IF(A289="","",IF(K289=0,"",_xlfn.MAXIFS('Weekly Log'!$A:$A,'Weekly Log'!$C:$C,A289,'Weekly Log'!$E:$E,"Yes")))</f>
        <v/>
      </c>
      <c r="O289" s="12" t="str">
        <f aca="true">IF(N289="","",MAX(0,INT((TODAY()-N289)/7)))</f>
        <v/>
      </c>
      <c r="Q289" s="12" t="str">
        <f aca="false">IF(A289="","",IFERROR(LOOKUP(2,1/(('Weekly Log'!$C$4:$C$1003=A289)*('Weekly Log'!$I$4:$I$1003&lt;&gt;"")),'Weekly Log'!$I$4:$I$1003),""))</f>
        <v/>
      </c>
    </row>
    <row r="290" customFormat="false" ht="15" hidden="false" customHeight="false" outlineLevel="0" collapsed="false">
      <c r="H290" s="16"/>
      <c r="J290" s="12" t="str">
        <f aca="false">IF(A290="","",COUNTIF('Weekly Log'!$C:$C,A290))</f>
        <v/>
      </c>
      <c r="K290" s="12" t="str">
        <f aca="false">IF(A290="","",COUNTIFS('Weekly Log'!$C:$C,A290,'Weekly Log'!$E:$E,"Yes"))</f>
        <v/>
      </c>
      <c r="L290" s="13" t="str">
        <f aca="false">IF(A290="","",IF(J290=0,"",K290/J290))</f>
        <v/>
      </c>
      <c r="M290" s="14" t="str">
        <f aca="false">IF(A290="","",IFERROR((SUMIFS('Weekly Log'!$F:$F,'Weekly Log'!$C:$C,A290)+SUMIFS('Weekly Log'!$G:$G,'Weekly Log'!$C:$C,A290))/(COUNTIFS('Weekly Log'!$C:$C,A290,'Weekly Log'!$F:$F,"&lt;&gt;")+COUNTIFS('Weekly Log'!$C:$C,A290,'Weekly Log'!$G:$G,"&lt;&gt;")),""))</f>
        <v/>
      </c>
      <c r="N290" s="15" t="str">
        <f aca="false">IF(A290="","",IF(K290=0,"",_xlfn.MAXIFS('Weekly Log'!$A:$A,'Weekly Log'!$C:$C,A290,'Weekly Log'!$E:$E,"Yes")))</f>
        <v/>
      </c>
      <c r="O290" s="12" t="str">
        <f aca="true">IF(N290="","",MAX(0,INT((TODAY()-N290)/7)))</f>
        <v/>
      </c>
      <c r="Q290" s="12" t="str">
        <f aca="false">IF(A290="","",IFERROR(LOOKUP(2,1/(('Weekly Log'!$C$4:$C$1003=A290)*('Weekly Log'!$I$4:$I$1003&lt;&gt;"")),'Weekly Log'!$I$4:$I$1003),""))</f>
        <v/>
      </c>
    </row>
    <row r="291" customFormat="false" ht="15" hidden="false" customHeight="false" outlineLevel="0" collapsed="false">
      <c r="H291" s="16"/>
      <c r="J291" s="12" t="str">
        <f aca="false">IF(A291="","",COUNTIF('Weekly Log'!$C:$C,A291))</f>
        <v/>
      </c>
      <c r="K291" s="12" t="str">
        <f aca="false">IF(A291="","",COUNTIFS('Weekly Log'!$C:$C,A291,'Weekly Log'!$E:$E,"Yes"))</f>
        <v/>
      </c>
      <c r="L291" s="13" t="str">
        <f aca="false">IF(A291="","",IF(J291=0,"",K291/J291))</f>
        <v/>
      </c>
      <c r="M291" s="14" t="str">
        <f aca="false">IF(A291="","",IFERROR((SUMIFS('Weekly Log'!$F:$F,'Weekly Log'!$C:$C,A291)+SUMIFS('Weekly Log'!$G:$G,'Weekly Log'!$C:$C,A291))/(COUNTIFS('Weekly Log'!$C:$C,A291,'Weekly Log'!$F:$F,"&lt;&gt;")+COUNTIFS('Weekly Log'!$C:$C,A291,'Weekly Log'!$G:$G,"&lt;&gt;")),""))</f>
        <v/>
      </c>
      <c r="N291" s="15" t="str">
        <f aca="false">IF(A291="","",IF(K291=0,"",_xlfn.MAXIFS('Weekly Log'!$A:$A,'Weekly Log'!$C:$C,A291,'Weekly Log'!$E:$E,"Yes")))</f>
        <v/>
      </c>
      <c r="O291" s="12" t="str">
        <f aca="true">IF(N291="","",MAX(0,INT((TODAY()-N291)/7)))</f>
        <v/>
      </c>
      <c r="Q291" s="12" t="str">
        <f aca="false">IF(A291="","",IFERROR(LOOKUP(2,1/(('Weekly Log'!$C$4:$C$1003=A291)*('Weekly Log'!$I$4:$I$1003&lt;&gt;"")),'Weekly Log'!$I$4:$I$1003),""))</f>
        <v/>
      </c>
    </row>
    <row r="292" customFormat="false" ht="15" hidden="false" customHeight="false" outlineLevel="0" collapsed="false">
      <c r="H292" s="16"/>
      <c r="J292" s="12" t="str">
        <f aca="false">IF(A292="","",COUNTIF('Weekly Log'!$C:$C,A292))</f>
        <v/>
      </c>
      <c r="K292" s="12" t="str">
        <f aca="false">IF(A292="","",COUNTIFS('Weekly Log'!$C:$C,A292,'Weekly Log'!$E:$E,"Yes"))</f>
        <v/>
      </c>
      <c r="L292" s="13" t="str">
        <f aca="false">IF(A292="","",IF(J292=0,"",K292/J292))</f>
        <v/>
      </c>
      <c r="M292" s="14" t="str">
        <f aca="false">IF(A292="","",IFERROR((SUMIFS('Weekly Log'!$F:$F,'Weekly Log'!$C:$C,A292)+SUMIFS('Weekly Log'!$G:$G,'Weekly Log'!$C:$C,A292))/(COUNTIFS('Weekly Log'!$C:$C,A292,'Weekly Log'!$F:$F,"&lt;&gt;")+COUNTIFS('Weekly Log'!$C:$C,A292,'Weekly Log'!$G:$G,"&lt;&gt;")),""))</f>
        <v/>
      </c>
      <c r="N292" s="15" t="str">
        <f aca="false">IF(A292="","",IF(K292=0,"",_xlfn.MAXIFS('Weekly Log'!$A:$A,'Weekly Log'!$C:$C,A292,'Weekly Log'!$E:$E,"Yes")))</f>
        <v/>
      </c>
      <c r="O292" s="12" t="str">
        <f aca="true">IF(N292="","",MAX(0,INT((TODAY()-N292)/7)))</f>
        <v/>
      </c>
      <c r="Q292" s="12" t="str">
        <f aca="false">IF(A292="","",IFERROR(LOOKUP(2,1/(('Weekly Log'!$C$4:$C$1003=A292)*('Weekly Log'!$I$4:$I$1003&lt;&gt;"")),'Weekly Log'!$I$4:$I$1003),""))</f>
        <v/>
      </c>
    </row>
    <row r="293" customFormat="false" ht="15" hidden="false" customHeight="false" outlineLevel="0" collapsed="false">
      <c r="H293" s="16"/>
      <c r="J293" s="12" t="str">
        <f aca="false">IF(A293="","",COUNTIF('Weekly Log'!$C:$C,A293))</f>
        <v/>
      </c>
      <c r="K293" s="12" t="str">
        <f aca="false">IF(A293="","",COUNTIFS('Weekly Log'!$C:$C,A293,'Weekly Log'!$E:$E,"Yes"))</f>
        <v/>
      </c>
      <c r="L293" s="13" t="str">
        <f aca="false">IF(A293="","",IF(J293=0,"",K293/J293))</f>
        <v/>
      </c>
      <c r="M293" s="14" t="str">
        <f aca="false">IF(A293="","",IFERROR((SUMIFS('Weekly Log'!$F:$F,'Weekly Log'!$C:$C,A293)+SUMIFS('Weekly Log'!$G:$G,'Weekly Log'!$C:$C,A293))/(COUNTIFS('Weekly Log'!$C:$C,A293,'Weekly Log'!$F:$F,"&lt;&gt;")+COUNTIFS('Weekly Log'!$C:$C,A293,'Weekly Log'!$G:$G,"&lt;&gt;")),""))</f>
        <v/>
      </c>
      <c r="N293" s="15" t="str">
        <f aca="false">IF(A293="","",IF(K293=0,"",_xlfn.MAXIFS('Weekly Log'!$A:$A,'Weekly Log'!$C:$C,A293,'Weekly Log'!$E:$E,"Yes")))</f>
        <v/>
      </c>
      <c r="O293" s="12" t="str">
        <f aca="true">IF(N293="","",MAX(0,INT((TODAY()-N293)/7)))</f>
        <v/>
      </c>
      <c r="Q293" s="12" t="str">
        <f aca="false">IF(A293="","",IFERROR(LOOKUP(2,1/(('Weekly Log'!$C$4:$C$1003=A293)*('Weekly Log'!$I$4:$I$1003&lt;&gt;"")),'Weekly Log'!$I$4:$I$1003),""))</f>
        <v/>
      </c>
    </row>
    <row r="294" customFormat="false" ht="15" hidden="false" customHeight="false" outlineLevel="0" collapsed="false">
      <c r="H294" s="16"/>
      <c r="J294" s="12" t="str">
        <f aca="false">IF(A294="","",COUNTIF('Weekly Log'!$C:$C,A294))</f>
        <v/>
      </c>
      <c r="K294" s="12" t="str">
        <f aca="false">IF(A294="","",COUNTIFS('Weekly Log'!$C:$C,A294,'Weekly Log'!$E:$E,"Yes"))</f>
        <v/>
      </c>
      <c r="L294" s="13" t="str">
        <f aca="false">IF(A294="","",IF(J294=0,"",K294/J294))</f>
        <v/>
      </c>
      <c r="M294" s="14" t="str">
        <f aca="false">IF(A294="","",IFERROR((SUMIFS('Weekly Log'!$F:$F,'Weekly Log'!$C:$C,A294)+SUMIFS('Weekly Log'!$G:$G,'Weekly Log'!$C:$C,A294))/(COUNTIFS('Weekly Log'!$C:$C,A294,'Weekly Log'!$F:$F,"&lt;&gt;")+COUNTIFS('Weekly Log'!$C:$C,A294,'Weekly Log'!$G:$G,"&lt;&gt;")),""))</f>
        <v/>
      </c>
      <c r="N294" s="15" t="str">
        <f aca="false">IF(A294="","",IF(K294=0,"",_xlfn.MAXIFS('Weekly Log'!$A:$A,'Weekly Log'!$C:$C,A294,'Weekly Log'!$E:$E,"Yes")))</f>
        <v/>
      </c>
      <c r="O294" s="12" t="str">
        <f aca="true">IF(N294="","",MAX(0,INT((TODAY()-N294)/7)))</f>
        <v/>
      </c>
      <c r="Q294" s="12" t="str">
        <f aca="false">IF(A294="","",IFERROR(LOOKUP(2,1/(('Weekly Log'!$C$4:$C$1003=A294)*('Weekly Log'!$I$4:$I$1003&lt;&gt;"")),'Weekly Log'!$I$4:$I$1003),""))</f>
        <v/>
      </c>
    </row>
    <row r="295" customFormat="false" ht="15" hidden="false" customHeight="false" outlineLevel="0" collapsed="false">
      <c r="H295" s="16"/>
      <c r="J295" s="12" t="str">
        <f aca="false">IF(A295="","",COUNTIF('Weekly Log'!$C:$C,A295))</f>
        <v/>
      </c>
      <c r="K295" s="12" t="str">
        <f aca="false">IF(A295="","",COUNTIFS('Weekly Log'!$C:$C,A295,'Weekly Log'!$E:$E,"Yes"))</f>
        <v/>
      </c>
      <c r="L295" s="13" t="str">
        <f aca="false">IF(A295="","",IF(J295=0,"",K295/J295))</f>
        <v/>
      </c>
      <c r="M295" s="14" t="str">
        <f aca="false">IF(A295="","",IFERROR((SUMIFS('Weekly Log'!$F:$F,'Weekly Log'!$C:$C,A295)+SUMIFS('Weekly Log'!$G:$G,'Weekly Log'!$C:$C,A295))/(COUNTIFS('Weekly Log'!$C:$C,A295,'Weekly Log'!$F:$F,"&lt;&gt;")+COUNTIFS('Weekly Log'!$C:$C,A295,'Weekly Log'!$G:$G,"&lt;&gt;")),""))</f>
        <v/>
      </c>
      <c r="N295" s="15" t="str">
        <f aca="false">IF(A295="","",IF(K295=0,"",_xlfn.MAXIFS('Weekly Log'!$A:$A,'Weekly Log'!$C:$C,A295,'Weekly Log'!$E:$E,"Yes")))</f>
        <v/>
      </c>
      <c r="O295" s="12" t="str">
        <f aca="true">IF(N295="","",MAX(0,INT((TODAY()-N295)/7)))</f>
        <v/>
      </c>
      <c r="Q295" s="12" t="str">
        <f aca="false">IF(A295="","",IFERROR(LOOKUP(2,1/(('Weekly Log'!$C$4:$C$1003=A295)*('Weekly Log'!$I$4:$I$1003&lt;&gt;"")),'Weekly Log'!$I$4:$I$1003),""))</f>
        <v/>
      </c>
    </row>
    <row r="296" customFormat="false" ht="15" hidden="false" customHeight="false" outlineLevel="0" collapsed="false">
      <c r="H296" s="16"/>
      <c r="J296" s="12" t="str">
        <f aca="false">IF(A296="","",COUNTIF('Weekly Log'!$C:$C,A296))</f>
        <v/>
      </c>
      <c r="K296" s="12" t="str">
        <f aca="false">IF(A296="","",COUNTIFS('Weekly Log'!$C:$C,A296,'Weekly Log'!$E:$E,"Yes"))</f>
        <v/>
      </c>
      <c r="L296" s="13" t="str">
        <f aca="false">IF(A296="","",IF(J296=0,"",K296/J296))</f>
        <v/>
      </c>
      <c r="M296" s="14" t="str">
        <f aca="false">IF(A296="","",IFERROR((SUMIFS('Weekly Log'!$F:$F,'Weekly Log'!$C:$C,A296)+SUMIFS('Weekly Log'!$G:$G,'Weekly Log'!$C:$C,A296))/(COUNTIFS('Weekly Log'!$C:$C,A296,'Weekly Log'!$F:$F,"&lt;&gt;")+COUNTIFS('Weekly Log'!$C:$C,A296,'Weekly Log'!$G:$G,"&lt;&gt;")),""))</f>
        <v/>
      </c>
      <c r="N296" s="15" t="str">
        <f aca="false">IF(A296="","",IF(K296=0,"",_xlfn.MAXIFS('Weekly Log'!$A:$A,'Weekly Log'!$C:$C,A296,'Weekly Log'!$E:$E,"Yes")))</f>
        <v/>
      </c>
      <c r="O296" s="12" t="str">
        <f aca="true">IF(N296="","",MAX(0,INT((TODAY()-N296)/7)))</f>
        <v/>
      </c>
      <c r="Q296" s="12" t="str">
        <f aca="false">IF(A296="","",IFERROR(LOOKUP(2,1/(('Weekly Log'!$C$4:$C$1003=A296)*('Weekly Log'!$I$4:$I$1003&lt;&gt;"")),'Weekly Log'!$I$4:$I$1003),""))</f>
        <v/>
      </c>
    </row>
    <row r="297" customFormat="false" ht="15" hidden="false" customHeight="false" outlineLevel="0" collapsed="false">
      <c r="H297" s="16"/>
      <c r="J297" s="12" t="str">
        <f aca="false">IF(A297="","",COUNTIF('Weekly Log'!$C:$C,A297))</f>
        <v/>
      </c>
      <c r="K297" s="12" t="str">
        <f aca="false">IF(A297="","",COUNTIFS('Weekly Log'!$C:$C,A297,'Weekly Log'!$E:$E,"Yes"))</f>
        <v/>
      </c>
      <c r="L297" s="13" t="str">
        <f aca="false">IF(A297="","",IF(J297=0,"",K297/J297))</f>
        <v/>
      </c>
      <c r="M297" s="14" t="str">
        <f aca="false">IF(A297="","",IFERROR((SUMIFS('Weekly Log'!$F:$F,'Weekly Log'!$C:$C,A297)+SUMIFS('Weekly Log'!$G:$G,'Weekly Log'!$C:$C,A297))/(COUNTIFS('Weekly Log'!$C:$C,A297,'Weekly Log'!$F:$F,"&lt;&gt;")+COUNTIFS('Weekly Log'!$C:$C,A297,'Weekly Log'!$G:$G,"&lt;&gt;")),""))</f>
        <v/>
      </c>
      <c r="N297" s="15" t="str">
        <f aca="false">IF(A297="","",IF(K297=0,"",_xlfn.MAXIFS('Weekly Log'!$A:$A,'Weekly Log'!$C:$C,A297,'Weekly Log'!$E:$E,"Yes")))</f>
        <v/>
      </c>
      <c r="O297" s="12" t="str">
        <f aca="true">IF(N297="","",MAX(0,INT((TODAY()-N297)/7)))</f>
        <v/>
      </c>
      <c r="Q297" s="12" t="str">
        <f aca="false">IF(A297="","",IFERROR(LOOKUP(2,1/(('Weekly Log'!$C$4:$C$1003=A297)*('Weekly Log'!$I$4:$I$1003&lt;&gt;"")),'Weekly Log'!$I$4:$I$1003),""))</f>
        <v/>
      </c>
    </row>
    <row r="298" customFormat="false" ht="15" hidden="false" customHeight="false" outlineLevel="0" collapsed="false">
      <c r="H298" s="16"/>
      <c r="J298" s="12" t="str">
        <f aca="false">IF(A298="","",COUNTIF('Weekly Log'!$C:$C,A298))</f>
        <v/>
      </c>
      <c r="K298" s="12" t="str">
        <f aca="false">IF(A298="","",COUNTIFS('Weekly Log'!$C:$C,A298,'Weekly Log'!$E:$E,"Yes"))</f>
        <v/>
      </c>
      <c r="L298" s="13" t="str">
        <f aca="false">IF(A298="","",IF(J298=0,"",K298/J298))</f>
        <v/>
      </c>
      <c r="M298" s="14" t="str">
        <f aca="false">IF(A298="","",IFERROR((SUMIFS('Weekly Log'!$F:$F,'Weekly Log'!$C:$C,A298)+SUMIFS('Weekly Log'!$G:$G,'Weekly Log'!$C:$C,A298))/(COUNTIFS('Weekly Log'!$C:$C,A298,'Weekly Log'!$F:$F,"&lt;&gt;")+COUNTIFS('Weekly Log'!$C:$C,A298,'Weekly Log'!$G:$G,"&lt;&gt;")),""))</f>
        <v/>
      </c>
      <c r="N298" s="15" t="str">
        <f aca="false">IF(A298="","",IF(K298=0,"",_xlfn.MAXIFS('Weekly Log'!$A:$A,'Weekly Log'!$C:$C,A298,'Weekly Log'!$E:$E,"Yes")))</f>
        <v/>
      </c>
      <c r="O298" s="12" t="str">
        <f aca="true">IF(N298="","",MAX(0,INT((TODAY()-N298)/7)))</f>
        <v/>
      </c>
      <c r="Q298" s="12" t="str">
        <f aca="false">IF(A298="","",IFERROR(LOOKUP(2,1/(('Weekly Log'!$C$4:$C$1003=A298)*('Weekly Log'!$I$4:$I$1003&lt;&gt;"")),'Weekly Log'!$I$4:$I$1003),""))</f>
        <v/>
      </c>
    </row>
    <row r="299" customFormat="false" ht="15" hidden="false" customHeight="false" outlineLevel="0" collapsed="false">
      <c r="H299" s="16"/>
      <c r="J299" s="12" t="str">
        <f aca="false">IF(A299="","",COUNTIF('Weekly Log'!$C:$C,A299))</f>
        <v/>
      </c>
      <c r="K299" s="12" t="str">
        <f aca="false">IF(A299="","",COUNTIFS('Weekly Log'!$C:$C,A299,'Weekly Log'!$E:$E,"Yes"))</f>
        <v/>
      </c>
      <c r="L299" s="13" t="str">
        <f aca="false">IF(A299="","",IF(J299=0,"",K299/J299))</f>
        <v/>
      </c>
      <c r="M299" s="14" t="str">
        <f aca="false">IF(A299="","",IFERROR((SUMIFS('Weekly Log'!$F:$F,'Weekly Log'!$C:$C,A299)+SUMIFS('Weekly Log'!$G:$G,'Weekly Log'!$C:$C,A299))/(COUNTIFS('Weekly Log'!$C:$C,A299,'Weekly Log'!$F:$F,"&lt;&gt;")+COUNTIFS('Weekly Log'!$C:$C,A299,'Weekly Log'!$G:$G,"&lt;&gt;")),""))</f>
        <v/>
      </c>
      <c r="N299" s="15" t="str">
        <f aca="false">IF(A299="","",IF(K299=0,"",_xlfn.MAXIFS('Weekly Log'!$A:$A,'Weekly Log'!$C:$C,A299,'Weekly Log'!$E:$E,"Yes")))</f>
        <v/>
      </c>
      <c r="O299" s="12" t="str">
        <f aca="true">IF(N299="","",MAX(0,INT((TODAY()-N299)/7)))</f>
        <v/>
      </c>
      <c r="Q299" s="12" t="str">
        <f aca="false">IF(A299="","",IFERROR(LOOKUP(2,1/(('Weekly Log'!$C$4:$C$1003=A299)*('Weekly Log'!$I$4:$I$1003&lt;&gt;"")),'Weekly Log'!$I$4:$I$1003),""))</f>
        <v/>
      </c>
    </row>
    <row r="300" customFormat="false" ht="15" hidden="false" customHeight="false" outlineLevel="0" collapsed="false">
      <c r="H300" s="16"/>
      <c r="J300" s="12" t="str">
        <f aca="false">IF(A300="","",COUNTIF('Weekly Log'!$C:$C,A300))</f>
        <v/>
      </c>
      <c r="K300" s="12" t="str">
        <f aca="false">IF(A300="","",COUNTIFS('Weekly Log'!$C:$C,A300,'Weekly Log'!$E:$E,"Yes"))</f>
        <v/>
      </c>
      <c r="L300" s="13" t="str">
        <f aca="false">IF(A300="","",IF(J300=0,"",K300/J300))</f>
        <v/>
      </c>
      <c r="M300" s="14" t="str">
        <f aca="false">IF(A300="","",IFERROR((SUMIFS('Weekly Log'!$F:$F,'Weekly Log'!$C:$C,A300)+SUMIFS('Weekly Log'!$G:$G,'Weekly Log'!$C:$C,A300))/(COUNTIFS('Weekly Log'!$C:$C,A300,'Weekly Log'!$F:$F,"&lt;&gt;")+COUNTIFS('Weekly Log'!$C:$C,A300,'Weekly Log'!$G:$G,"&lt;&gt;")),""))</f>
        <v/>
      </c>
      <c r="N300" s="15" t="str">
        <f aca="false">IF(A300="","",IF(K300=0,"",_xlfn.MAXIFS('Weekly Log'!$A:$A,'Weekly Log'!$C:$C,A300,'Weekly Log'!$E:$E,"Yes")))</f>
        <v/>
      </c>
      <c r="O300" s="12" t="str">
        <f aca="true">IF(N300="","",MAX(0,INT((TODAY()-N300)/7)))</f>
        <v/>
      </c>
      <c r="Q300" s="12" t="str">
        <f aca="false">IF(A300="","",IFERROR(LOOKUP(2,1/(('Weekly Log'!$C$4:$C$1003=A300)*('Weekly Log'!$I$4:$I$1003&lt;&gt;"")),'Weekly Log'!$I$4:$I$1003),""))</f>
        <v/>
      </c>
    </row>
    <row r="301" customFormat="false" ht="15" hidden="false" customHeight="false" outlineLevel="0" collapsed="false">
      <c r="H301" s="16"/>
      <c r="J301" s="12" t="str">
        <f aca="false">IF(A301="","",COUNTIF('Weekly Log'!$C:$C,A301))</f>
        <v/>
      </c>
      <c r="K301" s="12" t="str">
        <f aca="false">IF(A301="","",COUNTIFS('Weekly Log'!$C:$C,A301,'Weekly Log'!$E:$E,"Yes"))</f>
        <v/>
      </c>
      <c r="L301" s="13" t="str">
        <f aca="false">IF(A301="","",IF(J301=0,"",K301/J301))</f>
        <v/>
      </c>
      <c r="M301" s="14" t="str">
        <f aca="false">IF(A301="","",IFERROR((SUMIFS('Weekly Log'!$F:$F,'Weekly Log'!$C:$C,A301)+SUMIFS('Weekly Log'!$G:$G,'Weekly Log'!$C:$C,A301))/(COUNTIFS('Weekly Log'!$C:$C,A301,'Weekly Log'!$F:$F,"&lt;&gt;")+COUNTIFS('Weekly Log'!$C:$C,A301,'Weekly Log'!$G:$G,"&lt;&gt;")),""))</f>
        <v/>
      </c>
      <c r="N301" s="15" t="str">
        <f aca="false">IF(A301="","",IF(K301=0,"",_xlfn.MAXIFS('Weekly Log'!$A:$A,'Weekly Log'!$C:$C,A301,'Weekly Log'!$E:$E,"Yes")))</f>
        <v/>
      </c>
      <c r="O301" s="12" t="str">
        <f aca="true">IF(N301="","",MAX(0,INT((TODAY()-N301)/7)))</f>
        <v/>
      </c>
      <c r="Q301" s="12" t="str">
        <f aca="false">IF(A301="","",IFERROR(LOOKUP(2,1/(('Weekly Log'!$C$4:$C$1003=A301)*('Weekly Log'!$I$4:$I$1003&lt;&gt;"")),'Weekly Log'!$I$4:$I$1003),""))</f>
        <v/>
      </c>
    </row>
    <row r="302" customFormat="false" ht="15" hidden="false" customHeight="false" outlineLevel="0" collapsed="false">
      <c r="H302" s="16"/>
      <c r="J302" s="12" t="str">
        <f aca="false">IF(A302="","",COUNTIF('Weekly Log'!$C:$C,A302))</f>
        <v/>
      </c>
      <c r="K302" s="12" t="str">
        <f aca="false">IF(A302="","",COUNTIFS('Weekly Log'!$C:$C,A302,'Weekly Log'!$E:$E,"Yes"))</f>
        <v/>
      </c>
      <c r="L302" s="13" t="str">
        <f aca="false">IF(A302="","",IF(J302=0,"",K302/J302))</f>
        <v/>
      </c>
      <c r="M302" s="14" t="str">
        <f aca="false">IF(A302="","",IFERROR((SUMIFS('Weekly Log'!$F:$F,'Weekly Log'!$C:$C,A302)+SUMIFS('Weekly Log'!$G:$G,'Weekly Log'!$C:$C,A302))/(COUNTIFS('Weekly Log'!$C:$C,A302,'Weekly Log'!$F:$F,"&lt;&gt;")+COUNTIFS('Weekly Log'!$C:$C,A302,'Weekly Log'!$G:$G,"&lt;&gt;")),""))</f>
        <v/>
      </c>
      <c r="N302" s="15" t="str">
        <f aca="false">IF(A302="","",IF(K302=0,"",_xlfn.MAXIFS('Weekly Log'!$A:$A,'Weekly Log'!$C:$C,A302,'Weekly Log'!$E:$E,"Yes")))</f>
        <v/>
      </c>
      <c r="O302" s="12" t="str">
        <f aca="true">IF(N302="","",MAX(0,INT((TODAY()-N302)/7)))</f>
        <v/>
      </c>
      <c r="Q302" s="12" t="str">
        <f aca="false">IF(A302="","",IFERROR(LOOKUP(2,1/(('Weekly Log'!$C$4:$C$1003=A302)*('Weekly Log'!$I$4:$I$1003&lt;&gt;"")),'Weekly Log'!$I$4:$I$1003),""))</f>
        <v/>
      </c>
    </row>
    <row r="303" customFormat="false" ht="15" hidden="false" customHeight="false" outlineLevel="0" collapsed="false">
      <c r="H303" s="16"/>
      <c r="J303" s="12" t="str">
        <f aca="false">IF(A303="","",COUNTIF('Weekly Log'!$C:$C,A303))</f>
        <v/>
      </c>
      <c r="K303" s="12" t="str">
        <f aca="false">IF(A303="","",COUNTIFS('Weekly Log'!$C:$C,A303,'Weekly Log'!$E:$E,"Yes"))</f>
        <v/>
      </c>
      <c r="L303" s="13" t="str">
        <f aca="false">IF(A303="","",IF(J303=0,"",K303/J303))</f>
        <v/>
      </c>
      <c r="M303" s="14" t="str">
        <f aca="false">IF(A303="","",IFERROR((SUMIFS('Weekly Log'!$F:$F,'Weekly Log'!$C:$C,A303)+SUMIFS('Weekly Log'!$G:$G,'Weekly Log'!$C:$C,A303))/(COUNTIFS('Weekly Log'!$C:$C,A303,'Weekly Log'!$F:$F,"&lt;&gt;")+COUNTIFS('Weekly Log'!$C:$C,A303,'Weekly Log'!$G:$G,"&lt;&gt;")),""))</f>
        <v/>
      </c>
      <c r="N303" s="15" t="str">
        <f aca="false">IF(A303="","",IF(K303=0,"",_xlfn.MAXIFS('Weekly Log'!$A:$A,'Weekly Log'!$C:$C,A303,'Weekly Log'!$E:$E,"Yes")))</f>
        <v/>
      </c>
      <c r="O303" s="12" t="str">
        <f aca="true">IF(N303="","",MAX(0,INT((TODAY()-N303)/7)))</f>
        <v/>
      </c>
      <c r="Q303" s="12" t="str">
        <f aca="false">IF(A303="","",IFERROR(LOOKUP(2,1/(('Weekly Log'!$C$4:$C$1003=A303)*('Weekly Log'!$I$4:$I$1003&lt;&gt;"")),'Weekly Log'!$I$4:$I$1003),""))</f>
        <v/>
      </c>
    </row>
    <row r="304" customFormat="false" ht="15" hidden="false" customHeight="false" outlineLevel="0" collapsed="false">
      <c r="H304" s="16"/>
      <c r="J304" s="12" t="str">
        <f aca="false">IF(A304="","",COUNTIF('Weekly Log'!$C:$C,A304))</f>
        <v/>
      </c>
      <c r="K304" s="12" t="str">
        <f aca="false">IF(A304="","",COUNTIFS('Weekly Log'!$C:$C,A304,'Weekly Log'!$E:$E,"Yes"))</f>
        <v/>
      </c>
      <c r="L304" s="13" t="str">
        <f aca="false">IF(A304="","",IF(J304=0,"",K304/J304))</f>
        <v/>
      </c>
      <c r="M304" s="14" t="str">
        <f aca="false">IF(A304="","",IFERROR((SUMIFS('Weekly Log'!$F:$F,'Weekly Log'!$C:$C,A304)+SUMIFS('Weekly Log'!$G:$G,'Weekly Log'!$C:$C,A304))/(COUNTIFS('Weekly Log'!$C:$C,A304,'Weekly Log'!$F:$F,"&lt;&gt;")+COUNTIFS('Weekly Log'!$C:$C,A304,'Weekly Log'!$G:$G,"&lt;&gt;")),""))</f>
        <v/>
      </c>
      <c r="N304" s="15" t="str">
        <f aca="false">IF(A304="","",IF(K304=0,"",_xlfn.MAXIFS('Weekly Log'!$A:$A,'Weekly Log'!$C:$C,A304,'Weekly Log'!$E:$E,"Yes")))</f>
        <v/>
      </c>
      <c r="O304" s="12" t="str">
        <f aca="true">IF(N304="","",MAX(0,INT((TODAY()-N304)/7)))</f>
        <v/>
      </c>
      <c r="Q304" s="12" t="str">
        <f aca="false">IF(A304="","",IFERROR(LOOKUP(2,1/(('Weekly Log'!$C$4:$C$1003=A304)*('Weekly Log'!$I$4:$I$1003&lt;&gt;"")),'Weekly Log'!$I$4:$I$1003),""))</f>
        <v/>
      </c>
    </row>
    <row r="305" customFormat="false" ht="15" hidden="false" customHeight="false" outlineLevel="0" collapsed="false">
      <c r="H305" s="16"/>
      <c r="J305" s="12" t="str">
        <f aca="false">IF(A305="","",COUNTIF('Weekly Log'!$C:$C,A305))</f>
        <v/>
      </c>
      <c r="K305" s="12" t="str">
        <f aca="false">IF(A305="","",COUNTIFS('Weekly Log'!$C:$C,A305,'Weekly Log'!$E:$E,"Yes"))</f>
        <v/>
      </c>
      <c r="L305" s="13" t="str">
        <f aca="false">IF(A305="","",IF(J305=0,"",K305/J305))</f>
        <v/>
      </c>
      <c r="M305" s="14" t="str">
        <f aca="false">IF(A305="","",IFERROR((SUMIFS('Weekly Log'!$F:$F,'Weekly Log'!$C:$C,A305)+SUMIFS('Weekly Log'!$G:$G,'Weekly Log'!$C:$C,A305))/(COUNTIFS('Weekly Log'!$C:$C,A305,'Weekly Log'!$F:$F,"&lt;&gt;")+COUNTIFS('Weekly Log'!$C:$C,A305,'Weekly Log'!$G:$G,"&lt;&gt;")),""))</f>
        <v/>
      </c>
      <c r="N305" s="15" t="str">
        <f aca="false">IF(A305="","",IF(K305=0,"",_xlfn.MAXIFS('Weekly Log'!$A:$A,'Weekly Log'!$C:$C,A305,'Weekly Log'!$E:$E,"Yes")))</f>
        <v/>
      </c>
      <c r="O305" s="12" t="str">
        <f aca="true">IF(N305="","",MAX(0,INT((TODAY()-N305)/7)))</f>
        <v/>
      </c>
      <c r="Q305" s="12" t="str">
        <f aca="false">IF(A305="","",IFERROR(LOOKUP(2,1/(('Weekly Log'!$C$4:$C$1003=A305)*('Weekly Log'!$I$4:$I$1003&lt;&gt;"")),'Weekly Log'!$I$4:$I$1003),""))</f>
        <v/>
      </c>
    </row>
    <row r="306" customFormat="false" ht="15" hidden="false" customHeight="false" outlineLevel="0" collapsed="false">
      <c r="H306" s="16"/>
      <c r="J306" s="12" t="str">
        <f aca="false">IF(A306="","",COUNTIF('Weekly Log'!$C:$C,A306))</f>
        <v/>
      </c>
      <c r="K306" s="12" t="str">
        <f aca="false">IF(A306="","",COUNTIFS('Weekly Log'!$C:$C,A306,'Weekly Log'!$E:$E,"Yes"))</f>
        <v/>
      </c>
      <c r="L306" s="13" t="str">
        <f aca="false">IF(A306="","",IF(J306=0,"",K306/J306))</f>
        <v/>
      </c>
      <c r="M306" s="14" t="str">
        <f aca="false">IF(A306="","",IFERROR((SUMIFS('Weekly Log'!$F:$F,'Weekly Log'!$C:$C,A306)+SUMIFS('Weekly Log'!$G:$G,'Weekly Log'!$C:$C,A306))/(COUNTIFS('Weekly Log'!$C:$C,A306,'Weekly Log'!$F:$F,"&lt;&gt;")+COUNTIFS('Weekly Log'!$C:$C,A306,'Weekly Log'!$G:$G,"&lt;&gt;")),""))</f>
        <v/>
      </c>
      <c r="N306" s="15" t="str">
        <f aca="false">IF(A306="","",IF(K306=0,"",_xlfn.MAXIFS('Weekly Log'!$A:$A,'Weekly Log'!$C:$C,A306,'Weekly Log'!$E:$E,"Yes")))</f>
        <v/>
      </c>
      <c r="O306" s="12" t="str">
        <f aca="true">IF(N306="","",MAX(0,INT((TODAY()-N306)/7)))</f>
        <v/>
      </c>
      <c r="Q306" s="12" t="str">
        <f aca="false">IF(A306="","",IFERROR(LOOKUP(2,1/(('Weekly Log'!$C$4:$C$1003=A306)*('Weekly Log'!$I$4:$I$1003&lt;&gt;"")),'Weekly Log'!$I$4:$I$1003),""))</f>
        <v/>
      </c>
    </row>
    <row r="307" customFormat="false" ht="15" hidden="false" customHeight="false" outlineLevel="0" collapsed="false">
      <c r="H307" s="16"/>
      <c r="J307" s="12" t="str">
        <f aca="false">IF(A307="","",COUNTIF('Weekly Log'!$C:$C,A307))</f>
        <v/>
      </c>
      <c r="K307" s="12" t="str">
        <f aca="false">IF(A307="","",COUNTIFS('Weekly Log'!$C:$C,A307,'Weekly Log'!$E:$E,"Yes"))</f>
        <v/>
      </c>
      <c r="L307" s="13" t="str">
        <f aca="false">IF(A307="","",IF(J307=0,"",K307/J307))</f>
        <v/>
      </c>
      <c r="M307" s="14" t="str">
        <f aca="false">IF(A307="","",IFERROR((SUMIFS('Weekly Log'!$F:$F,'Weekly Log'!$C:$C,A307)+SUMIFS('Weekly Log'!$G:$G,'Weekly Log'!$C:$C,A307))/(COUNTIFS('Weekly Log'!$C:$C,A307,'Weekly Log'!$F:$F,"&lt;&gt;")+COUNTIFS('Weekly Log'!$C:$C,A307,'Weekly Log'!$G:$G,"&lt;&gt;")),""))</f>
        <v/>
      </c>
      <c r="N307" s="15" t="str">
        <f aca="false">IF(A307="","",IF(K307=0,"",_xlfn.MAXIFS('Weekly Log'!$A:$A,'Weekly Log'!$C:$C,A307,'Weekly Log'!$E:$E,"Yes")))</f>
        <v/>
      </c>
      <c r="O307" s="12" t="str">
        <f aca="true">IF(N307="","",MAX(0,INT((TODAY()-N307)/7)))</f>
        <v/>
      </c>
      <c r="Q307" s="12" t="str">
        <f aca="false">IF(A307="","",IFERROR(LOOKUP(2,1/(('Weekly Log'!$C$4:$C$1003=A307)*('Weekly Log'!$I$4:$I$1003&lt;&gt;"")),'Weekly Log'!$I$4:$I$1003),""))</f>
        <v/>
      </c>
    </row>
    <row r="308" customFormat="false" ht="15" hidden="false" customHeight="false" outlineLevel="0" collapsed="false">
      <c r="H308" s="16"/>
      <c r="J308" s="12" t="str">
        <f aca="false">IF(A308="","",COUNTIF('Weekly Log'!$C:$C,A308))</f>
        <v/>
      </c>
      <c r="K308" s="12" t="str">
        <f aca="false">IF(A308="","",COUNTIFS('Weekly Log'!$C:$C,A308,'Weekly Log'!$E:$E,"Yes"))</f>
        <v/>
      </c>
      <c r="L308" s="13" t="str">
        <f aca="false">IF(A308="","",IF(J308=0,"",K308/J308))</f>
        <v/>
      </c>
      <c r="M308" s="14" t="str">
        <f aca="false">IF(A308="","",IFERROR((SUMIFS('Weekly Log'!$F:$F,'Weekly Log'!$C:$C,A308)+SUMIFS('Weekly Log'!$G:$G,'Weekly Log'!$C:$C,A308))/(COUNTIFS('Weekly Log'!$C:$C,A308,'Weekly Log'!$F:$F,"&lt;&gt;")+COUNTIFS('Weekly Log'!$C:$C,A308,'Weekly Log'!$G:$G,"&lt;&gt;")),""))</f>
        <v/>
      </c>
      <c r="N308" s="15" t="str">
        <f aca="false">IF(A308="","",IF(K308=0,"",_xlfn.MAXIFS('Weekly Log'!$A:$A,'Weekly Log'!$C:$C,A308,'Weekly Log'!$E:$E,"Yes")))</f>
        <v/>
      </c>
      <c r="O308" s="12" t="str">
        <f aca="true">IF(N308="","",MAX(0,INT((TODAY()-N308)/7)))</f>
        <v/>
      </c>
      <c r="Q308" s="12" t="str">
        <f aca="false">IF(A308="","",IFERROR(LOOKUP(2,1/(('Weekly Log'!$C$4:$C$1003=A308)*('Weekly Log'!$I$4:$I$1003&lt;&gt;"")),'Weekly Log'!$I$4:$I$1003),""))</f>
        <v/>
      </c>
    </row>
    <row r="309" customFormat="false" ht="15" hidden="false" customHeight="false" outlineLevel="0" collapsed="false">
      <c r="H309" s="16"/>
      <c r="J309" s="12" t="str">
        <f aca="false">IF(A309="","",COUNTIF('Weekly Log'!$C:$C,A309))</f>
        <v/>
      </c>
      <c r="K309" s="12" t="str">
        <f aca="false">IF(A309="","",COUNTIFS('Weekly Log'!$C:$C,A309,'Weekly Log'!$E:$E,"Yes"))</f>
        <v/>
      </c>
      <c r="L309" s="13" t="str">
        <f aca="false">IF(A309="","",IF(J309=0,"",K309/J309))</f>
        <v/>
      </c>
      <c r="M309" s="14" t="str">
        <f aca="false">IF(A309="","",IFERROR((SUMIFS('Weekly Log'!$F:$F,'Weekly Log'!$C:$C,A309)+SUMIFS('Weekly Log'!$G:$G,'Weekly Log'!$C:$C,A309))/(COUNTIFS('Weekly Log'!$C:$C,A309,'Weekly Log'!$F:$F,"&lt;&gt;")+COUNTIFS('Weekly Log'!$C:$C,A309,'Weekly Log'!$G:$G,"&lt;&gt;")),""))</f>
        <v/>
      </c>
      <c r="N309" s="15" t="str">
        <f aca="false">IF(A309="","",IF(K309=0,"",_xlfn.MAXIFS('Weekly Log'!$A:$A,'Weekly Log'!$C:$C,A309,'Weekly Log'!$E:$E,"Yes")))</f>
        <v/>
      </c>
      <c r="O309" s="12" t="str">
        <f aca="true">IF(N309="","",MAX(0,INT((TODAY()-N309)/7)))</f>
        <v/>
      </c>
      <c r="Q309" s="12" t="str">
        <f aca="false">IF(A309="","",IFERROR(LOOKUP(2,1/(('Weekly Log'!$C$4:$C$1003=A309)*('Weekly Log'!$I$4:$I$1003&lt;&gt;"")),'Weekly Log'!$I$4:$I$1003),""))</f>
        <v/>
      </c>
    </row>
    <row r="310" customFormat="false" ht="15" hidden="false" customHeight="false" outlineLevel="0" collapsed="false">
      <c r="H310" s="16"/>
      <c r="J310" s="12" t="str">
        <f aca="false">IF(A310="","",COUNTIF('Weekly Log'!$C:$C,A310))</f>
        <v/>
      </c>
      <c r="K310" s="12" t="str">
        <f aca="false">IF(A310="","",COUNTIFS('Weekly Log'!$C:$C,A310,'Weekly Log'!$E:$E,"Yes"))</f>
        <v/>
      </c>
      <c r="L310" s="13" t="str">
        <f aca="false">IF(A310="","",IF(J310=0,"",K310/J310))</f>
        <v/>
      </c>
      <c r="M310" s="14" t="str">
        <f aca="false">IF(A310="","",IFERROR((SUMIFS('Weekly Log'!$F:$F,'Weekly Log'!$C:$C,A310)+SUMIFS('Weekly Log'!$G:$G,'Weekly Log'!$C:$C,A310))/(COUNTIFS('Weekly Log'!$C:$C,A310,'Weekly Log'!$F:$F,"&lt;&gt;")+COUNTIFS('Weekly Log'!$C:$C,A310,'Weekly Log'!$G:$G,"&lt;&gt;")),""))</f>
        <v/>
      </c>
      <c r="N310" s="15" t="str">
        <f aca="false">IF(A310="","",IF(K310=0,"",_xlfn.MAXIFS('Weekly Log'!$A:$A,'Weekly Log'!$C:$C,A310,'Weekly Log'!$E:$E,"Yes")))</f>
        <v/>
      </c>
      <c r="O310" s="12" t="str">
        <f aca="true">IF(N310="","",MAX(0,INT((TODAY()-N310)/7)))</f>
        <v/>
      </c>
      <c r="Q310" s="12" t="str">
        <f aca="false">IF(A310="","",IFERROR(LOOKUP(2,1/(('Weekly Log'!$C$4:$C$1003=A310)*('Weekly Log'!$I$4:$I$1003&lt;&gt;"")),'Weekly Log'!$I$4:$I$1003),""))</f>
        <v/>
      </c>
    </row>
    <row r="311" customFormat="false" ht="15" hidden="false" customHeight="false" outlineLevel="0" collapsed="false">
      <c r="H311" s="16"/>
      <c r="J311" s="12" t="str">
        <f aca="false">IF(A311="","",COUNTIF('Weekly Log'!$C:$C,A311))</f>
        <v/>
      </c>
      <c r="K311" s="12" t="str">
        <f aca="false">IF(A311="","",COUNTIFS('Weekly Log'!$C:$C,A311,'Weekly Log'!$E:$E,"Yes"))</f>
        <v/>
      </c>
      <c r="L311" s="13" t="str">
        <f aca="false">IF(A311="","",IF(J311=0,"",K311/J311))</f>
        <v/>
      </c>
      <c r="M311" s="14" t="str">
        <f aca="false">IF(A311="","",IFERROR((SUMIFS('Weekly Log'!$F:$F,'Weekly Log'!$C:$C,A311)+SUMIFS('Weekly Log'!$G:$G,'Weekly Log'!$C:$C,A311))/(COUNTIFS('Weekly Log'!$C:$C,A311,'Weekly Log'!$F:$F,"&lt;&gt;")+COUNTIFS('Weekly Log'!$C:$C,A311,'Weekly Log'!$G:$G,"&lt;&gt;")),""))</f>
        <v/>
      </c>
      <c r="N311" s="15" t="str">
        <f aca="false">IF(A311="","",IF(K311=0,"",_xlfn.MAXIFS('Weekly Log'!$A:$A,'Weekly Log'!$C:$C,A311,'Weekly Log'!$E:$E,"Yes")))</f>
        <v/>
      </c>
      <c r="O311" s="12" t="str">
        <f aca="true">IF(N311="","",MAX(0,INT((TODAY()-N311)/7)))</f>
        <v/>
      </c>
      <c r="Q311" s="12" t="str">
        <f aca="false">IF(A311="","",IFERROR(LOOKUP(2,1/(('Weekly Log'!$C$4:$C$1003=A311)*('Weekly Log'!$I$4:$I$1003&lt;&gt;"")),'Weekly Log'!$I$4:$I$1003),""))</f>
        <v/>
      </c>
    </row>
    <row r="312" customFormat="false" ht="15" hidden="false" customHeight="false" outlineLevel="0" collapsed="false">
      <c r="H312" s="16"/>
      <c r="J312" s="12" t="str">
        <f aca="false">IF(A312="","",COUNTIF('Weekly Log'!$C:$C,A312))</f>
        <v/>
      </c>
      <c r="K312" s="12" t="str">
        <f aca="false">IF(A312="","",COUNTIFS('Weekly Log'!$C:$C,A312,'Weekly Log'!$E:$E,"Yes"))</f>
        <v/>
      </c>
      <c r="L312" s="13" t="str">
        <f aca="false">IF(A312="","",IF(J312=0,"",K312/J312))</f>
        <v/>
      </c>
      <c r="M312" s="14" t="str">
        <f aca="false">IF(A312="","",IFERROR((SUMIFS('Weekly Log'!$F:$F,'Weekly Log'!$C:$C,A312)+SUMIFS('Weekly Log'!$G:$G,'Weekly Log'!$C:$C,A312))/(COUNTIFS('Weekly Log'!$C:$C,A312,'Weekly Log'!$F:$F,"&lt;&gt;")+COUNTIFS('Weekly Log'!$C:$C,A312,'Weekly Log'!$G:$G,"&lt;&gt;")),""))</f>
        <v/>
      </c>
      <c r="N312" s="15" t="str">
        <f aca="false">IF(A312="","",IF(K312=0,"",_xlfn.MAXIFS('Weekly Log'!$A:$A,'Weekly Log'!$C:$C,A312,'Weekly Log'!$E:$E,"Yes")))</f>
        <v/>
      </c>
      <c r="O312" s="12" t="str">
        <f aca="true">IF(N312="","",MAX(0,INT((TODAY()-N312)/7)))</f>
        <v/>
      </c>
      <c r="Q312" s="12" t="str">
        <f aca="false">IF(A312="","",IFERROR(LOOKUP(2,1/(('Weekly Log'!$C$4:$C$1003=A312)*('Weekly Log'!$I$4:$I$1003&lt;&gt;"")),'Weekly Log'!$I$4:$I$1003),""))</f>
        <v/>
      </c>
    </row>
    <row r="313" customFormat="false" ht="15" hidden="false" customHeight="false" outlineLevel="0" collapsed="false">
      <c r="H313" s="16"/>
      <c r="J313" s="12" t="str">
        <f aca="false">IF(A313="","",COUNTIF('Weekly Log'!$C:$C,A313))</f>
        <v/>
      </c>
      <c r="K313" s="12" t="str">
        <f aca="false">IF(A313="","",COUNTIFS('Weekly Log'!$C:$C,A313,'Weekly Log'!$E:$E,"Yes"))</f>
        <v/>
      </c>
      <c r="L313" s="13" t="str">
        <f aca="false">IF(A313="","",IF(J313=0,"",K313/J313))</f>
        <v/>
      </c>
      <c r="M313" s="14" t="str">
        <f aca="false">IF(A313="","",IFERROR((SUMIFS('Weekly Log'!$F:$F,'Weekly Log'!$C:$C,A313)+SUMIFS('Weekly Log'!$G:$G,'Weekly Log'!$C:$C,A313))/(COUNTIFS('Weekly Log'!$C:$C,A313,'Weekly Log'!$F:$F,"&lt;&gt;")+COUNTIFS('Weekly Log'!$C:$C,A313,'Weekly Log'!$G:$G,"&lt;&gt;")),""))</f>
        <v/>
      </c>
      <c r="N313" s="15" t="str">
        <f aca="false">IF(A313="","",IF(K313=0,"",_xlfn.MAXIFS('Weekly Log'!$A:$A,'Weekly Log'!$C:$C,A313,'Weekly Log'!$E:$E,"Yes")))</f>
        <v/>
      </c>
      <c r="O313" s="12" t="str">
        <f aca="true">IF(N313="","",MAX(0,INT((TODAY()-N313)/7)))</f>
        <v/>
      </c>
      <c r="Q313" s="12" t="str">
        <f aca="false">IF(A313="","",IFERROR(LOOKUP(2,1/(('Weekly Log'!$C$4:$C$1003=A313)*('Weekly Log'!$I$4:$I$1003&lt;&gt;"")),'Weekly Log'!$I$4:$I$1003),""))</f>
        <v/>
      </c>
    </row>
    <row r="314" customFormat="false" ht="15" hidden="false" customHeight="false" outlineLevel="0" collapsed="false">
      <c r="H314" s="16"/>
      <c r="J314" s="12" t="str">
        <f aca="false">IF(A314="","",COUNTIF('Weekly Log'!$C:$C,A314))</f>
        <v/>
      </c>
      <c r="K314" s="12" t="str">
        <f aca="false">IF(A314="","",COUNTIFS('Weekly Log'!$C:$C,A314,'Weekly Log'!$E:$E,"Yes"))</f>
        <v/>
      </c>
      <c r="L314" s="13" t="str">
        <f aca="false">IF(A314="","",IF(J314=0,"",K314/J314))</f>
        <v/>
      </c>
      <c r="M314" s="14" t="str">
        <f aca="false">IF(A314="","",IFERROR((SUMIFS('Weekly Log'!$F:$F,'Weekly Log'!$C:$C,A314)+SUMIFS('Weekly Log'!$G:$G,'Weekly Log'!$C:$C,A314))/(COUNTIFS('Weekly Log'!$C:$C,A314,'Weekly Log'!$F:$F,"&lt;&gt;")+COUNTIFS('Weekly Log'!$C:$C,A314,'Weekly Log'!$G:$G,"&lt;&gt;")),""))</f>
        <v/>
      </c>
      <c r="N314" s="15" t="str">
        <f aca="false">IF(A314="","",IF(K314=0,"",_xlfn.MAXIFS('Weekly Log'!$A:$A,'Weekly Log'!$C:$C,A314,'Weekly Log'!$E:$E,"Yes")))</f>
        <v/>
      </c>
      <c r="O314" s="12" t="str">
        <f aca="true">IF(N314="","",MAX(0,INT((TODAY()-N314)/7)))</f>
        <v/>
      </c>
      <c r="Q314" s="12" t="str">
        <f aca="false">IF(A314="","",IFERROR(LOOKUP(2,1/(('Weekly Log'!$C$4:$C$1003=A314)*('Weekly Log'!$I$4:$I$1003&lt;&gt;"")),'Weekly Log'!$I$4:$I$1003),""))</f>
        <v/>
      </c>
    </row>
    <row r="315" customFormat="false" ht="15" hidden="false" customHeight="false" outlineLevel="0" collapsed="false">
      <c r="H315" s="16"/>
      <c r="J315" s="12" t="str">
        <f aca="false">IF(A315="","",COUNTIF('Weekly Log'!$C:$C,A315))</f>
        <v/>
      </c>
      <c r="K315" s="12" t="str">
        <f aca="false">IF(A315="","",COUNTIFS('Weekly Log'!$C:$C,A315,'Weekly Log'!$E:$E,"Yes"))</f>
        <v/>
      </c>
      <c r="L315" s="13" t="str">
        <f aca="false">IF(A315="","",IF(J315=0,"",K315/J315))</f>
        <v/>
      </c>
      <c r="M315" s="14" t="str">
        <f aca="false">IF(A315="","",IFERROR((SUMIFS('Weekly Log'!$F:$F,'Weekly Log'!$C:$C,A315)+SUMIFS('Weekly Log'!$G:$G,'Weekly Log'!$C:$C,A315))/(COUNTIFS('Weekly Log'!$C:$C,A315,'Weekly Log'!$F:$F,"&lt;&gt;")+COUNTIFS('Weekly Log'!$C:$C,A315,'Weekly Log'!$G:$G,"&lt;&gt;")),""))</f>
        <v/>
      </c>
      <c r="N315" s="15" t="str">
        <f aca="false">IF(A315="","",IF(K315=0,"",_xlfn.MAXIFS('Weekly Log'!$A:$A,'Weekly Log'!$C:$C,A315,'Weekly Log'!$E:$E,"Yes")))</f>
        <v/>
      </c>
      <c r="O315" s="12" t="str">
        <f aca="true">IF(N315="","",MAX(0,INT((TODAY()-N315)/7)))</f>
        <v/>
      </c>
      <c r="Q315" s="12" t="str">
        <f aca="false">IF(A315="","",IFERROR(LOOKUP(2,1/(('Weekly Log'!$C$4:$C$1003=A315)*('Weekly Log'!$I$4:$I$1003&lt;&gt;"")),'Weekly Log'!$I$4:$I$1003),""))</f>
        <v/>
      </c>
    </row>
    <row r="316" customFormat="false" ht="15" hidden="false" customHeight="false" outlineLevel="0" collapsed="false">
      <c r="H316" s="16"/>
      <c r="J316" s="12" t="str">
        <f aca="false">IF(A316="","",COUNTIF('Weekly Log'!$C:$C,A316))</f>
        <v/>
      </c>
      <c r="K316" s="12" t="str">
        <f aca="false">IF(A316="","",COUNTIFS('Weekly Log'!$C:$C,A316,'Weekly Log'!$E:$E,"Yes"))</f>
        <v/>
      </c>
      <c r="L316" s="13" t="str">
        <f aca="false">IF(A316="","",IF(J316=0,"",K316/J316))</f>
        <v/>
      </c>
      <c r="M316" s="14" t="str">
        <f aca="false">IF(A316="","",IFERROR((SUMIFS('Weekly Log'!$F:$F,'Weekly Log'!$C:$C,A316)+SUMIFS('Weekly Log'!$G:$G,'Weekly Log'!$C:$C,A316))/(COUNTIFS('Weekly Log'!$C:$C,A316,'Weekly Log'!$F:$F,"&lt;&gt;")+COUNTIFS('Weekly Log'!$C:$C,A316,'Weekly Log'!$G:$G,"&lt;&gt;")),""))</f>
        <v/>
      </c>
      <c r="N316" s="15" t="str">
        <f aca="false">IF(A316="","",IF(K316=0,"",_xlfn.MAXIFS('Weekly Log'!$A:$A,'Weekly Log'!$C:$C,A316,'Weekly Log'!$E:$E,"Yes")))</f>
        <v/>
      </c>
      <c r="O316" s="12" t="str">
        <f aca="true">IF(N316="","",MAX(0,INT((TODAY()-N316)/7)))</f>
        <v/>
      </c>
      <c r="Q316" s="12" t="str">
        <f aca="false">IF(A316="","",IFERROR(LOOKUP(2,1/(('Weekly Log'!$C$4:$C$1003=A316)*('Weekly Log'!$I$4:$I$1003&lt;&gt;"")),'Weekly Log'!$I$4:$I$1003),""))</f>
        <v/>
      </c>
    </row>
    <row r="317" customFormat="false" ht="15" hidden="false" customHeight="false" outlineLevel="0" collapsed="false">
      <c r="H317" s="16"/>
      <c r="J317" s="12" t="str">
        <f aca="false">IF(A317="","",COUNTIF('Weekly Log'!$C:$C,A317))</f>
        <v/>
      </c>
      <c r="K317" s="12" t="str">
        <f aca="false">IF(A317="","",COUNTIFS('Weekly Log'!$C:$C,A317,'Weekly Log'!$E:$E,"Yes"))</f>
        <v/>
      </c>
      <c r="L317" s="13" t="str">
        <f aca="false">IF(A317="","",IF(J317=0,"",K317/J317))</f>
        <v/>
      </c>
      <c r="M317" s="14" t="str">
        <f aca="false">IF(A317="","",IFERROR((SUMIFS('Weekly Log'!$F:$F,'Weekly Log'!$C:$C,A317)+SUMIFS('Weekly Log'!$G:$G,'Weekly Log'!$C:$C,A317))/(COUNTIFS('Weekly Log'!$C:$C,A317,'Weekly Log'!$F:$F,"&lt;&gt;")+COUNTIFS('Weekly Log'!$C:$C,A317,'Weekly Log'!$G:$G,"&lt;&gt;")),""))</f>
        <v/>
      </c>
      <c r="N317" s="15" t="str">
        <f aca="false">IF(A317="","",IF(K317=0,"",_xlfn.MAXIFS('Weekly Log'!$A:$A,'Weekly Log'!$C:$C,A317,'Weekly Log'!$E:$E,"Yes")))</f>
        <v/>
      </c>
      <c r="O317" s="12" t="str">
        <f aca="true">IF(N317="","",MAX(0,INT((TODAY()-N317)/7)))</f>
        <v/>
      </c>
      <c r="Q317" s="12" t="str">
        <f aca="false">IF(A317="","",IFERROR(LOOKUP(2,1/(('Weekly Log'!$C$4:$C$1003=A317)*('Weekly Log'!$I$4:$I$1003&lt;&gt;"")),'Weekly Log'!$I$4:$I$1003),""))</f>
        <v/>
      </c>
    </row>
    <row r="318" customFormat="false" ht="15" hidden="false" customHeight="false" outlineLevel="0" collapsed="false">
      <c r="H318" s="16"/>
      <c r="J318" s="12" t="str">
        <f aca="false">IF(A318="","",COUNTIF('Weekly Log'!$C:$C,A318))</f>
        <v/>
      </c>
      <c r="K318" s="12" t="str">
        <f aca="false">IF(A318="","",COUNTIFS('Weekly Log'!$C:$C,A318,'Weekly Log'!$E:$E,"Yes"))</f>
        <v/>
      </c>
      <c r="L318" s="13" t="str">
        <f aca="false">IF(A318="","",IF(J318=0,"",K318/J318))</f>
        <v/>
      </c>
      <c r="M318" s="14" t="str">
        <f aca="false">IF(A318="","",IFERROR((SUMIFS('Weekly Log'!$F:$F,'Weekly Log'!$C:$C,A318)+SUMIFS('Weekly Log'!$G:$G,'Weekly Log'!$C:$C,A318))/(COUNTIFS('Weekly Log'!$C:$C,A318,'Weekly Log'!$F:$F,"&lt;&gt;")+COUNTIFS('Weekly Log'!$C:$C,A318,'Weekly Log'!$G:$G,"&lt;&gt;")),""))</f>
        <v/>
      </c>
      <c r="N318" s="15" t="str">
        <f aca="false">IF(A318="","",IF(K318=0,"",_xlfn.MAXIFS('Weekly Log'!$A:$A,'Weekly Log'!$C:$C,A318,'Weekly Log'!$E:$E,"Yes")))</f>
        <v/>
      </c>
      <c r="O318" s="12" t="str">
        <f aca="true">IF(N318="","",MAX(0,INT((TODAY()-N318)/7)))</f>
        <v/>
      </c>
      <c r="Q318" s="12" t="str">
        <f aca="false">IF(A318="","",IFERROR(LOOKUP(2,1/(('Weekly Log'!$C$4:$C$1003=A318)*('Weekly Log'!$I$4:$I$1003&lt;&gt;"")),'Weekly Log'!$I$4:$I$1003),""))</f>
        <v/>
      </c>
    </row>
    <row r="319" customFormat="false" ht="15" hidden="false" customHeight="false" outlineLevel="0" collapsed="false">
      <c r="H319" s="16"/>
      <c r="J319" s="12" t="str">
        <f aca="false">IF(A319="","",COUNTIF('Weekly Log'!$C:$C,A319))</f>
        <v/>
      </c>
      <c r="K319" s="12" t="str">
        <f aca="false">IF(A319="","",COUNTIFS('Weekly Log'!$C:$C,A319,'Weekly Log'!$E:$E,"Yes"))</f>
        <v/>
      </c>
      <c r="L319" s="13" t="str">
        <f aca="false">IF(A319="","",IF(J319=0,"",K319/J319))</f>
        <v/>
      </c>
      <c r="M319" s="14" t="str">
        <f aca="false">IF(A319="","",IFERROR((SUMIFS('Weekly Log'!$F:$F,'Weekly Log'!$C:$C,A319)+SUMIFS('Weekly Log'!$G:$G,'Weekly Log'!$C:$C,A319))/(COUNTIFS('Weekly Log'!$C:$C,A319,'Weekly Log'!$F:$F,"&lt;&gt;")+COUNTIFS('Weekly Log'!$C:$C,A319,'Weekly Log'!$G:$G,"&lt;&gt;")),""))</f>
        <v/>
      </c>
      <c r="N319" s="15" t="str">
        <f aca="false">IF(A319="","",IF(K319=0,"",_xlfn.MAXIFS('Weekly Log'!$A:$A,'Weekly Log'!$C:$C,A319,'Weekly Log'!$E:$E,"Yes")))</f>
        <v/>
      </c>
      <c r="O319" s="12" t="str">
        <f aca="true">IF(N319="","",MAX(0,INT((TODAY()-N319)/7)))</f>
        <v/>
      </c>
      <c r="Q319" s="12" t="str">
        <f aca="false">IF(A319="","",IFERROR(LOOKUP(2,1/(('Weekly Log'!$C$4:$C$1003=A319)*('Weekly Log'!$I$4:$I$1003&lt;&gt;"")),'Weekly Log'!$I$4:$I$1003),""))</f>
        <v/>
      </c>
    </row>
    <row r="320" customFormat="false" ht="15" hidden="false" customHeight="false" outlineLevel="0" collapsed="false">
      <c r="H320" s="16"/>
      <c r="J320" s="12" t="str">
        <f aca="false">IF(A320="","",COUNTIF('Weekly Log'!$C:$C,A320))</f>
        <v/>
      </c>
      <c r="K320" s="12" t="str">
        <f aca="false">IF(A320="","",COUNTIFS('Weekly Log'!$C:$C,A320,'Weekly Log'!$E:$E,"Yes"))</f>
        <v/>
      </c>
      <c r="L320" s="13" t="str">
        <f aca="false">IF(A320="","",IF(J320=0,"",K320/J320))</f>
        <v/>
      </c>
      <c r="M320" s="14" t="str">
        <f aca="false">IF(A320="","",IFERROR((SUMIFS('Weekly Log'!$F:$F,'Weekly Log'!$C:$C,A320)+SUMIFS('Weekly Log'!$G:$G,'Weekly Log'!$C:$C,A320))/(COUNTIFS('Weekly Log'!$C:$C,A320,'Weekly Log'!$F:$F,"&lt;&gt;")+COUNTIFS('Weekly Log'!$C:$C,A320,'Weekly Log'!$G:$G,"&lt;&gt;")),""))</f>
        <v/>
      </c>
      <c r="N320" s="15" t="str">
        <f aca="false">IF(A320="","",IF(K320=0,"",_xlfn.MAXIFS('Weekly Log'!$A:$A,'Weekly Log'!$C:$C,A320,'Weekly Log'!$E:$E,"Yes")))</f>
        <v/>
      </c>
      <c r="O320" s="12" t="str">
        <f aca="true">IF(N320="","",MAX(0,INT((TODAY()-N320)/7)))</f>
        <v/>
      </c>
      <c r="Q320" s="12" t="str">
        <f aca="false">IF(A320="","",IFERROR(LOOKUP(2,1/(('Weekly Log'!$C$4:$C$1003=A320)*('Weekly Log'!$I$4:$I$1003&lt;&gt;"")),'Weekly Log'!$I$4:$I$1003),""))</f>
        <v/>
      </c>
    </row>
    <row r="321" customFormat="false" ht="15" hidden="false" customHeight="false" outlineLevel="0" collapsed="false">
      <c r="H321" s="16"/>
      <c r="J321" s="12" t="str">
        <f aca="false">IF(A321="","",COUNTIF('Weekly Log'!$C:$C,A321))</f>
        <v/>
      </c>
      <c r="K321" s="12" t="str">
        <f aca="false">IF(A321="","",COUNTIFS('Weekly Log'!$C:$C,A321,'Weekly Log'!$E:$E,"Yes"))</f>
        <v/>
      </c>
      <c r="L321" s="13" t="str">
        <f aca="false">IF(A321="","",IF(J321=0,"",K321/J321))</f>
        <v/>
      </c>
      <c r="M321" s="14" t="str">
        <f aca="false">IF(A321="","",IFERROR((SUMIFS('Weekly Log'!$F:$F,'Weekly Log'!$C:$C,A321)+SUMIFS('Weekly Log'!$G:$G,'Weekly Log'!$C:$C,A321))/(COUNTIFS('Weekly Log'!$C:$C,A321,'Weekly Log'!$F:$F,"&lt;&gt;")+COUNTIFS('Weekly Log'!$C:$C,A321,'Weekly Log'!$G:$G,"&lt;&gt;")),""))</f>
        <v/>
      </c>
      <c r="N321" s="15" t="str">
        <f aca="false">IF(A321="","",IF(K321=0,"",_xlfn.MAXIFS('Weekly Log'!$A:$A,'Weekly Log'!$C:$C,A321,'Weekly Log'!$E:$E,"Yes")))</f>
        <v/>
      </c>
      <c r="O321" s="12" t="str">
        <f aca="true">IF(N321="","",MAX(0,INT((TODAY()-N321)/7)))</f>
        <v/>
      </c>
      <c r="Q321" s="12" t="str">
        <f aca="false">IF(A321="","",IFERROR(LOOKUP(2,1/(('Weekly Log'!$C$4:$C$1003=A321)*('Weekly Log'!$I$4:$I$1003&lt;&gt;"")),'Weekly Log'!$I$4:$I$1003),""))</f>
        <v/>
      </c>
    </row>
    <row r="322" customFormat="false" ht="15" hidden="false" customHeight="false" outlineLevel="0" collapsed="false">
      <c r="H322" s="16"/>
      <c r="J322" s="12" t="str">
        <f aca="false">IF(A322="","",COUNTIF('Weekly Log'!$C:$C,A322))</f>
        <v/>
      </c>
      <c r="K322" s="12" t="str">
        <f aca="false">IF(A322="","",COUNTIFS('Weekly Log'!$C:$C,A322,'Weekly Log'!$E:$E,"Yes"))</f>
        <v/>
      </c>
      <c r="L322" s="13" t="str">
        <f aca="false">IF(A322="","",IF(J322=0,"",K322/J322))</f>
        <v/>
      </c>
      <c r="M322" s="14" t="str">
        <f aca="false">IF(A322="","",IFERROR((SUMIFS('Weekly Log'!$F:$F,'Weekly Log'!$C:$C,A322)+SUMIFS('Weekly Log'!$G:$G,'Weekly Log'!$C:$C,A322))/(COUNTIFS('Weekly Log'!$C:$C,A322,'Weekly Log'!$F:$F,"&lt;&gt;")+COUNTIFS('Weekly Log'!$C:$C,A322,'Weekly Log'!$G:$G,"&lt;&gt;")),""))</f>
        <v/>
      </c>
      <c r="N322" s="15" t="str">
        <f aca="false">IF(A322="","",IF(K322=0,"",_xlfn.MAXIFS('Weekly Log'!$A:$A,'Weekly Log'!$C:$C,A322,'Weekly Log'!$E:$E,"Yes")))</f>
        <v/>
      </c>
      <c r="O322" s="12" t="str">
        <f aca="true">IF(N322="","",MAX(0,INT((TODAY()-N322)/7)))</f>
        <v/>
      </c>
      <c r="Q322" s="12" t="str">
        <f aca="false">IF(A322="","",IFERROR(LOOKUP(2,1/(('Weekly Log'!$C$4:$C$1003=A322)*('Weekly Log'!$I$4:$I$1003&lt;&gt;"")),'Weekly Log'!$I$4:$I$1003),""))</f>
        <v/>
      </c>
    </row>
    <row r="323" customFormat="false" ht="15" hidden="false" customHeight="false" outlineLevel="0" collapsed="false">
      <c r="H323" s="16"/>
      <c r="J323" s="12" t="str">
        <f aca="false">IF(A323="","",COUNTIF('Weekly Log'!$C:$C,A323))</f>
        <v/>
      </c>
      <c r="K323" s="12" t="str">
        <f aca="false">IF(A323="","",COUNTIFS('Weekly Log'!$C:$C,A323,'Weekly Log'!$E:$E,"Yes"))</f>
        <v/>
      </c>
      <c r="L323" s="13" t="str">
        <f aca="false">IF(A323="","",IF(J323=0,"",K323/J323))</f>
        <v/>
      </c>
      <c r="M323" s="14" t="str">
        <f aca="false">IF(A323="","",IFERROR((SUMIFS('Weekly Log'!$F:$F,'Weekly Log'!$C:$C,A323)+SUMIFS('Weekly Log'!$G:$G,'Weekly Log'!$C:$C,A323))/(COUNTIFS('Weekly Log'!$C:$C,A323,'Weekly Log'!$F:$F,"&lt;&gt;")+COUNTIFS('Weekly Log'!$C:$C,A323,'Weekly Log'!$G:$G,"&lt;&gt;")),""))</f>
        <v/>
      </c>
      <c r="N323" s="15" t="str">
        <f aca="false">IF(A323="","",IF(K323=0,"",_xlfn.MAXIFS('Weekly Log'!$A:$A,'Weekly Log'!$C:$C,A323,'Weekly Log'!$E:$E,"Yes")))</f>
        <v/>
      </c>
      <c r="O323" s="12" t="str">
        <f aca="true">IF(N323="","",MAX(0,INT((TODAY()-N323)/7)))</f>
        <v/>
      </c>
      <c r="Q323" s="12" t="str">
        <f aca="false">IF(A323="","",IFERROR(LOOKUP(2,1/(('Weekly Log'!$C$4:$C$1003=A323)*('Weekly Log'!$I$4:$I$1003&lt;&gt;"")),'Weekly Log'!$I$4:$I$1003),""))</f>
        <v/>
      </c>
    </row>
    <row r="324" customFormat="false" ht="15" hidden="false" customHeight="false" outlineLevel="0" collapsed="false">
      <c r="H324" s="16"/>
      <c r="J324" s="12" t="str">
        <f aca="false">IF(A324="","",COUNTIF('Weekly Log'!$C:$C,A324))</f>
        <v/>
      </c>
      <c r="K324" s="12" t="str">
        <f aca="false">IF(A324="","",COUNTIFS('Weekly Log'!$C:$C,A324,'Weekly Log'!$E:$E,"Yes"))</f>
        <v/>
      </c>
      <c r="L324" s="13" t="str">
        <f aca="false">IF(A324="","",IF(J324=0,"",K324/J324))</f>
        <v/>
      </c>
      <c r="M324" s="14" t="str">
        <f aca="false">IF(A324="","",IFERROR((SUMIFS('Weekly Log'!$F:$F,'Weekly Log'!$C:$C,A324)+SUMIFS('Weekly Log'!$G:$G,'Weekly Log'!$C:$C,A324))/(COUNTIFS('Weekly Log'!$C:$C,A324,'Weekly Log'!$F:$F,"&lt;&gt;")+COUNTIFS('Weekly Log'!$C:$C,A324,'Weekly Log'!$G:$G,"&lt;&gt;")),""))</f>
        <v/>
      </c>
      <c r="N324" s="15" t="str">
        <f aca="false">IF(A324="","",IF(K324=0,"",_xlfn.MAXIFS('Weekly Log'!$A:$A,'Weekly Log'!$C:$C,A324,'Weekly Log'!$E:$E,"Yes")))</f>
        <v/>
      </c>
      <c r="O324" s="12" t="str">
        <f aca="true">IF(N324="","",MAX(0,INT((TODAY()-N324)/7)))</f>
        <v/>
      </c>
      <c r="Q324" s="12" t="str">
        <f aca="false">IF(A324="","",IFERROR(LOOKUP(2,1/(('Weekly Log'!$C$4:$C$1003=A324)*('Weekly Log'!$I$4:$I$1003&lt;&gt;"")),'Weekly Log'!$I$4:$I$1003),""))</f>
        <v/>
      </c>
    </row>
    <row r="325" customFormat="false" ht="15" hidden="false" customHeight="false" outlineLevel="0" collapsed="false">
      <c r="H325" s="16"/>
      <c r="J325" s="12" t="str">
        <f aca="false">IF(A325="","",COUNTIF('Weekly Log'!$C:$C,A325))</f>
        <v/>
      </c>
      <c r="K325" s="12" t="str">
        <f aca="false">IF(A325="","",COUNTIFS('Weekly Log'!$C:$C,A325,'Weekly Log'!$E:$E,"Yes"))</f>
        <v/>
      </c>
      <c r="L325" s="13" t="str">
        <f aca="false">IF(A325="","",IF(J325=0,"",K325/J325))</f>
        <v/>
      </c>
      <c r="M325" s="14" t="str">
        <f aca="false">IF(A325="","",IFERROR((SUMIFS('Weekly Log'!$F:$F,'Weekly Log'!$C:$C,A325)+SUMIFS('Weekly Log'!$G:$G,'Weekly Log'!$C:$C,A325))/(COUNTIFS('Weekly Log'!$C:$C,A325,'Weekly Log'!$F:$F,"&lt;&gt;")+COUNTIFS('Weekly Log'!$C:$C,A325,'Weekly Log'!$G:$G,"&lt;&gt;")),""))</f>
        <v/>
      </c>
      <c r="N325" s="15" t="str">
        <f aca="false">IF(A325="","",IF(K325=0,"",_xlfn.MAXIFS('Weekly Log'!$A:$A,'Weekly Log'!$C:$C,A325,'Weekly Log'!$E:$E,"Yes")))</f>
        <v/>
      </c>
      <c r="O325" s="12" t="str">
        <f aca="true">IF(N325="","",MAX(0,INT((TODAY()-N325)/7)))</f>
        <v/>
      </c>
      <c r="Q325" s="12" t="str">
        <f aca="false">IF(A325="","",IFERROR(LOOKUP(2,1/(('Weekly Log'!$C$4:$C$1003=A325)*('Weekly Log'!$I$4:$I$1003&lt;&gt;"")),'Weekly Log'!$I$4:$I$1003),""))</f>
        <v/>
      </c>
    </row>
    <row r="326" customFormat="false" ht="15" hidden="false" customHeight="false" outlineLevel="0" collapsed="false">
      <c r="H326" s="16"/>
      <c r="J326" s="12" t="str">
        <f aca="false">IF(A326="","",COUNTIF('Weekly Log'!$C:$C,A326))</f>
        <v/>
      </c>
      <c r="K326" s="12" t="str">
        <f aca="false">IF(A326="","",COUNTIFS('Weekly Log'!$C:$C,A326,'Weekly Log'!$E:$E,"Yes"))</f>
        <v/>
      </c>
      <c r="L326" s="13" t="str">
        <f aca="false">IF(A326="","",IF(J326=0,"",K326/J326))</f>
        <v/>
      </c>
      <c r="M326" s="14" t="str">
        <f aca="false">IF(A326="","",IFERROR((SUMIFS('Weekly Log'!$F:$F,'Weekly Log'!$C:$C,A326)+SUMIFS('Weekly Log'!$G:$G,'Weekly Log'!$C:$C,A326))/(COUNTIFS('Weekly Log'!$C:$C,A326,'Weekly Log'!$F:$F,"&lt;&gt;")+COUNTIFS('Weekly Log'!$C:$C,A326,'Weekly Log'!$G:$G,"&lt;&gt;")),""))</f>
        <v/>
      </c>
      <c r="N326" s="15" t="str">
        <f aca="false">IF(A326="","",IF(K326=0,"",_xlfn.MAXIFS('Weekly Log'!$A:$A,'Weekly Log'!$C:$C,A326,'Weekly Log'!$E:$E,"Yes")))</f>
        <v/>
      </c>
      <c r="O326" s="12" t="str">
        <f aca="true">IF(N326="","",MAX(0,INT((TODAY()-N326)/7)))</f>
        <v/>
      </c>
      <c r="Q326" s="12" t="str">
        <f aca="false">IF(A326="","",IFERROR(LOOKUP(2,1/(('Weekly Log'!$C$4:$C$1003=A326)*('Weekly Log'!$I$4:$I$1003&lt;&gt;"")),'Weekly Log'!$I$4:$I$1003),""))</f>
        <v/>
      </c>
    </row>
    <row r="327" customFormat="false" ht="15" hidden="false" customHeight="false" outlineLevel="0" collapsed="false">
      <c r="H327" s="16"/>
      <c r="J327" s="12" t="str">
        <f aca="false">IF(A327="","",COUNTIF('Weekly Log'!$C:$C,A327))</f>
        <v/>
      </c>
      <c r="K327" s="12" t="str">
        <f aca="false">IF(A327="","",COUNTIFS('Weekly Log'!$C:$C,A327,'Weekly Log'!$E:$E,"Yes"))</f>
        <v/>
      </c>
      <c r="L327" s="13" t="str">
        <f aca="false">IF(A327="","",IF(J327=0,"",K327/J327))</f>
        <v/>
      </c>
      <c r="M327" s="14" t="str">
        <f aca="false">IF(A327="","",IFERROR((SUMIFS('Weekly Log'!$F:$F,'Weekly Log'!$C:$C,A327)+SUMIFS('Weekly Log'!$G:$G,'Weekly Log'!$C:$C,A327))/(COUNTIFS('Weekly Log'!$C:$C,A327,'Weekly Log'!$F:$F,"&lt;&gt;")+COUNTIFS('Weekly Log'!$C:$C,A327,'Weekly Log'!$G:$G,"&lt;&gt;")),""))</f>
        <v/>
      </c>
      <c r="N327" s="15" t="str">
        <f aca="false">IF(A327="","",IF(K327=0,"",_xlfn.MAXIFS('Weekly Log'!$A:$A,'Weekly Log'!$C:$C,A327,'Weekly Log'!$E:$E,"Yes")))</f>
        <v/>
      </c>
      <c r="O327" s="12" t="str">
        <f aca="true">IF(N327="","",MAX(0,INT((TODAY()-N327)/7)))</f>
        <v/>
      </c>
      <c r="Q327" s="12" t="str">
        <f aca="false">IF(A327="","",IFERROR(LOOKUP(2,1/(('Weekly Log'!$C$4:$C$1003=A327)*('Weekly Log'!$I$4:$I$1003&lt;&gt;"")),'Weekly Log'!$I$4:$I$1003),""))</f>
        <v/>
      </c>
    </row>
    <row r="328" customFormat="false" ht="15" hidden="false" customHeight="false" outlineLevel="0" collapsed="false">
      <c r="H328" s="16"/>
      <c r="J328" s="12" t="str">
        <f aca="false">IF(A328="","",COUNTIF('Weekly Log'!$C:$C,A328))</f>
        <v/>
      </c>
      <c r="K328" s="12" t="str">
        <f aca="false">IF(A328="","",COUNTIFS('Weekly Log'!$C:$C,A328,'Weekly Log'!$E:$E,"Yes"))</f>
        <v/>
      </c>
      <c r="L328" s="13" t="str">
        <f aca="false">IF(A328="","",IF(J328=0,"",K328/J328))</f>
        <v/>
      </c>
      <c r="M328" s="14" t="str">
        <f aca="false">IF(A328="","",IFERROR((SUMIFS('Weekly Log'!$F:$F,'Weekly Log'!$C:$C,A328)+SUMIFS('Weekly Log'!$G:$G,'Weekly Log'!$C:$C,A328))/(COUNTIFS('Weekly Log'!$C:$C,A328,'Weekly Log'!$F:$F,"&lt;&gt;")+COUNTIFS('Weekly Log'!$C:$C,A328,'Weekly Log'!$G:$G,"&lt;&gt;")),""))</f>
        <v/>
      </c>
      <c r="N328" s="15" t="str">
        <f aca="false">IF(A328="","",IF(K328=0,"",_xlfn.MAXIFS('Weekly Log'!$A:$A,'Weekly Log'!$C:$C,A328,'Weekly Log'!$E:$E,"Yes")))</f>
        <v/>
      </c>
      <c r="O328" s="12" t="str">
        <f aca="true">IF(N328="","",MAX(0,INT((TODAY()-N328)/7)))</f>
        <v/>
      </c>
      <c r="Q328" s="12" t="str">
        <f aca="false">IF(A328="","",IFERROR(LOOKUP(2,1/(('Weekly Log'!$C$4:$C$1003=A328)*('Weekly Log'!$I$4:$I$1003&lt;&gt;"")),'Weekly Log'!$I$4:$I$1003),""))</f>
        <v/>
      </c>
    </row>
    <row r="329" customFormat="false" ht="15" hidden="false" customHeight="false" outlineLevel="0" collapsed="false">
      <c r="H329" s="16"/>
      <c r="J329" s="12" t="str">
        <f aca="false">IF(A329="","",COUNTIF('Weekly Log'!$C:$C,A329))</f>
        <v/>
      </c>
      <c r="K329" s="12" t="str">
        <f aca="false">IF(A329="","",COUNTIFS('Weekly Log'!$C:$C,A329,'Weekly Log'!$E:$E,"Yes"))</f>
        <v/>
      </c>
      <c r="L329" s="13" t="str">
        <f aca="false">IF(A329="","",IF(J329=0,"",K329/J329))</f>
        <v/>
      </c>
      <c r="M329" s="14" t="str">
        <f aca="false">IF(A329="","",IFERROR((SUMIFS('Weekly Log'!$F:$F,'Weekly Log'!$C:$C,A329)+SUMIFS('Weekly Log'!$G:$G,'Weekly Log'!$C:$C,A329))/(COUNTIFS('Weekly Log'!$C:$C,A329,'Weekly Log'!$F:$F,"&lt;&gt;")+COUNTIFS('Weekly Log'!$C:$C,A329,'Weekly Log'!$G:$G,"&lt;&gt;")),""))</f>
        <v/>
      </c>
      <c r="N329" s="15" t="str">
        <f aca="false">IF(A329="","",IF(K329=0,"",_xlfn.MAXIFS('Weekly Log'!$A:$A,'Weekly Log'!$C:$C,A329,'Weekly Log'!$E:$E,"Yes")))</f>
        <v/>
      </c>
      <c r="O329" s="12" t="str">
        <f aca="true">IF(N329="","",MAX(0,INT((TODAY()-N329)/7)))</f>
        <v/>
      </c>
      <c r="Q329" s="12" t="str">
        <f aca="false">IF(A329="","",IFERROR(LOOKUP(2,1/(('Weekly Log'!$C$4:$C$1003=A329)*('Weekly Log'!$I$4:$I$1003&lt;&gt;"")),'Weekly Log'!$I$4:$I$1003),""))</f>
        <v/>
      </c>
    </row>
    <row r="330" customFormat="false" ht="15" hidden="false" customHeight="false" outlineLevel="0" collapsed="false">
      <c r="H330" s="16"/>
      <c r="J330" s="12" t="str">
        <f aca="false">IF(A330="","",COUNTIF('Weekly Log'!$C:$C,A330))</f>
        <v/>
      </c>
      <c r="K330" s="12" t="str">
        <f aca="false">IF(A330="","",COUNTIFS('Weekly Log'!$C:$C,A330,'Weekly Log'!$E:$E,"Yes"))</f>
        <v/>
      </c>
      <c r="L330" s="13" t="str">
        <f aca="false">IF(A330="","",IF(J330=0,"",K330/J330))</f>
        <v/>
      </c>
      <c r="M330" s="14" t="str">
        <f aca="false">IF(A330="","",IFERROR((SUMIFS('Weekly Log'!$F:$F,'Weekly Log'!$C:$C,A330)+SUMIFS('Weekly Log'!$G:$G,'Weekly Log'!$C:$C,A330))/(COUNTIFS('Weekly Log'!$C:$C,A330,'Weekly Log'!$F:$F,"&lt;&gt;")+COUNTIFS('Weekly Log'!$C:$C,A330,'Weekly Log'!$G:$G,"&lt;&gt;")),""))</f>
        <v/>
      </c>
      <c r="N330" s="15" t="str">
        <f aca="false">IF(A330="","",IF(K330=0,"",_xlfn.MAXIFS('Weekly Log'!$A:$A,'Weekly Log'!$C:$C,A330,'Weekly Log'!$E:$E,"Yes")))</f>
        <v/>
      </c>
      <c r="O330" s="12" t="str">
        <f aca="true">IF(N330="","",MAX(0,INT((TODAY()-N330)/7)))</f>
        <v/>
      </c>
      <c r="Q330" s="12" t="str">
        <f aca="false">IF(A330="","",IFERROR(LOOKUP(2,1/(('Weekly Log'!$C$4:$C$1003=A330)*('Weekly Log'!$I$4:$I$1003&lt;&gt;"")),'Weekly Log'!$I$4:$I$1003),""))</f>
        <v/>
      </c>
    </row>
    <row r="331" customFormat="false" ht="15" hidden="false" customHeight="false" outlineLevel="0" collapsed="false">
      <c r="H331" s="16"/>
      <c r="J331" s="12" t="str">
        <f aca="false">IF(A331="","",COUNTIF('Weekly Log'!$C:$C,A331))</f>
        <v/>
      </c>
      <c r="K331" s="12" t="str">
        <f aca="false">IF(A331="","",COUNTIFS('Weekly Log'!$C:$C,A331,'Weekly Log'!$E:$E,"Yes"))</f>
        <v/>
      </c>
      <c r="L331" s="13" t="str">
        <f aca="false">IF(A331="","",IF(J331=0,"",K331/J331))</f>
        <v/>
      </c>
      <c r="M331" s="14" t="str">
        <f aca="false">IF(A331="","",IFERROR((SUMIFS('Weekly Log'!$F:$F,'Weekly Log'!$C:$C,A331)+SUMIFS('Weekly Log'!$G:$G,'Weekly Log'!$C:$C,A331))/(COUNTIFS('Weekly Log'!$C:$C,A331,'Weekly Log'!$F:$F,"&lt;&gt;")+COUNTIFS('Weekly Log'!$C:$C,A331,'Weekly Log'!$G:$G,"&lt;&gt;")),""))</f>
        <v/>
      </c>
      <c r="N331" s="15" t="str">
        <f aca="false">IF(A331="","",IF(K331=0,"",_xlfn.MAXIFS('Weekly Log'!$A:$A,'Weekly Log'!$C:$C,A331,'Weekly Log'!$E:$E,"Yes")))</f>
        <v/>
      </c>
      <c r="O331" s="12" t="str">
        <f aca="true">IF(N331="","",MAX(0,INT((TODAY()-N331)/7)))</f>
        <v/>
      </c>
      <c r="Q331" s="12" t="str">
        <f aca="false">IF(A331="","",IFERROR(LOOKUP(2,1/(('Weekly Log'!$C$4:$C$1003=A331)*('Weekly Log'!$I$4:$I$1003&lt;&gt;"")),'Weekly Log'!$I$4:$I$1003),""))</f>
        <v/>
      </c>
    </row>
    <row r="332" customFormat="false" ht="15" hidden="false" customHeight="false" outlineLevel="0" collapsed="false">
      <c r="H332" s="16"/>
      <c r="J332" s="12" t="str">
        <f aca="false">IF(A332="","",COUNTIF('Weekly Log'!$C:$C,A332))</f>
        <v/>
      </c>
      <c r="K332" s="12" t="str">
        <f aca="false">IF(A332="","",COUNTIFS('Weekly Log'!$C:$C,A332,'Weekly Log'!$E:$E,"Yes"))</f>
        <v/>
      </c>
      <c r="L332" s="13" t="str">
        <f aca="false">IF(A332="","",IF(J332=0,"",K332/J332))</f>
        <v/>
      </c>
      <c r="M332" s="14" t="str">
        <f aca="false">IF(A332="","",IFERROR((SUMIFS('Weekly Log'!$F:$F,'Weekly Log'!$C:$C,A332)+SUMIFS('Weekly Log'!$G:$G,'Weekly Log'!$C:$C,A332))/(COUNTIFS('Weekly Log'!$C:$C,A332,'Weekly Log'!$F:$F,"&lt;&gt;")+COUNTIFS('Weekly Log'!$C:$C,A332,'Weekly Log'!$G:$G,"&lt;&gt;")),""))</f>
        <v/>
      </c>
      <c r="N332" s="15" t="str">
        <f aca="false">IF(A332="","",IF(K332=0,"",_xlfn.MAXIFS('Weekly Log'!$A:$A,'Weekly Log'!$C:$C,A332,'Weekly Log'!$E:$E,"Yes")))</f>
        <v/>
      </c>
      <c r="O332" s="12" t="str">
        <f aca="true">IF(N332="","",MAX(0,INT((TODAY()-N332)/7)))</f>
        <v/>
      </c>
      <c r="Q332" s="12" t="str">
        <f aca="false">IF(A332="","",IFERROR(LOOKUP(2,1/(('Weekly Log'!$C$4:$C$1003=A332)*('Weekly Log'!$I$4:$I$1003&lt;&gt;"")),'Weekly Log'!$I$4:$I$1003),""))</f>
        <v/>
      </c>
    </row>
    <row r="333" customFormat="false" ht="15" hidden="false" customHeight="false" outlineLevel="0" collapsed="false">
      <c r="H333" s="16"/>
      <c r="J333" s="12" t="str">
        <f aca="false">IF(A333="","",COUNTIF('Weekly Log'!$C:$C,A333))</f>
        <v/>
      </c>
      <c r="K333" s="12" t="str">
        <f aca="false">IF(A333="","",COUNTIFS('Weekly Log'!$C:$C,A333,'Weekly Log'!$E:$E,"Yes"))</f>
        <v/>
      </c>
      <c r="L333" s="13" t="str">
        <f aca="false">IF(A333="","",IF(J333=0,"",K333/J333))</f>
        <v/>
      </c>
      <c r="M333" s="14" t="str">
        <f aca="false">IF(A333="","",IFERROR((SUMIFS('Weekly Log'!$F:$F,'Weekly Log'!$C:$C,A333)+SUMIFS('Weekly Log'!$G:$G,'Weekly Log'!$C:$C,A333))/(COUNTIFS('Weekly Log'!$C:$C,A333,'Weekly Log'!$F:$F,"&lt;&gt;")+COUNTIFS('Weekly Log'!$C:$C,A333,'Weekly Log'!$G:$G,"&lt;&gt;")),""))</f>
        <v/>
      </c>
      <c r="N333" s="15" t="str">
        <f aca="false">IF(A333="","",IF(K333=0,"",_xlfn.MAXIFS('Weekly Log'!$A:$A,'Weekly Log'!$C:$C,A333,'Weekly Log'!$E:$E,"Yes")))</f>
        <v/>
      </c>
      <c r="O333" s="12" t="str">
        <f aca="true">IF(N333="","",MAX(0,INT((TODAY()-N333)/7)))</f>
        <v/>
      </c>
      <c r="Q333" s="12" t="str">
        <f aca="false">IF(A333="","",IFERROR(LOOKUP(2,1/(('Weekly Log'!$C$4:$C$1003=A333)*('Weekly Log'!$I$4:$I$1003&lt;&gt;"")),'Weekly Log'!$I$4:$I$1003),""))</f>
        <v/>
      </c>
    </row>
    <row r="334" customFormat="false" ht="15" hidden="false" customHeight="false" outlineLevel="0" collapsed="false">
      <c r="H334" s="16"/>
      <c r="J334" s="12" t="str">
        <f aca="false">IF(A334="","",COUNTIF('Weekly Log'!$C:$C,A334))</f>
        <v/>
      </c>
      <c r="K334" s="12" t="str">
        <f aca="false">IF(A334="","",COUNTIFS('Weekly Log'!$C:$C,A334,'Weekly Log'!$E:$E,"Yes"))</f>
        <v/>
      </c>
      <c r="L334" s="13" t="str">
        <f aca="false">IF(A334="","",IF(J334=0,"",K334/J334))</f>
        <v/>
      </c>
      <c r="M334" s="14" t="str">
        <f aca="false">IF(A334="","",IFERROR((SUMIFS('Weekly Log'!$F:$F,'Weekly Log'!$C:$C,A334)+SUMIFS('Weekly Log'!$G:$G,'Weekly Log'!$C:$C,A334))/(COUNTIFS('Weekly Log'!$C:$C,A334,'Weekly Log'!$F:$F,"&lt;&gt;")+COUNTIFS('Weekly Log'!$C:$C,A334,'Weekly Log'!$G:$G,"&lt;&gt;")),""))</f>
        <v/>
      </c>
      <c r="N334" s="15" t="str">
        <f aca="false">IF(A334="","",IF(K334=0,"",_xlfn.MAXIFS('Weekly Log'!$A:$A,'Weekly Log'!$C:$C,A334,'Weekly Log'!$E:$E,"Yes")))</f>
        <v/>
      </c>
      <c r="O334" s="12" t="str">
        <f aca="true">IF(N334="","",MAX(0,INT((TODAY()-N334)/7)))</f>
        <v/>
      </c>
      <c r="Q334" s="12" t="str">
        <f aca="false">IF(A334="","",IFERROR(LOOKUP(2,1/(('Weekly Log'!$C$4:$C$1003=A334)*('Weekly Log'!$I$4:$I$1003&lt;&gt;"")),'Weekly Log'!$I$4:$I$1003),""))</f>
        <v/>
      </c>
    </row>
    <row r="335" customFormat="false" ht="15" hidden="false" customHeight="false" outlineLevel="0" collapsed="false">
      <c r="H335" s="16"/>
      <c r="J335" s="12" t="str">
        <f aca="false">IF(A335="","",COUNTIF('Weekly Log'!$C:$C,A335))</f>
        <v/>
      </c>
      <c r="K335" s="12" t="str">
        <f aca="false">IF(A335="","",COUNTIFS('Weekly Log'!$C:$C,A335,'Weekly Log'!$E:$E,"Yes"))</f>
        <v/>
      </c>
      <c r="L335" s="13" t="str">
        <f aca="false">IF(A335="","",IF(J335=0,"",K335/J335))</f>
        <v/>
      </c>
      <c r="M335" s="14" t="str">
        <f aca="false">IF(A335="","",IFERROR((SUMIFS('Weekly Log'!$F:$F,'Weekly Log'!$C:$C,A335)+SUMIFS('Weekly Log'!$G:$G,'Weekly Log'!$C:$C,A335))/(COUNTIFS('Weekly Log'!$C:$C,A335,'Weekly Log'!$F:$F,"&lt;&gt;")+COUNTIFS('Weekly Log'!$C:$C,A335,'Weekly Log'!$G:$G,"&lt;&gt;")),""))</f>
        <v/>
      </c>
      <c r="N335" s="15" t="str">
        <f aca="false">IF(A335="","",IF(K335=0,"",_xlfn.MAXIFS('Weekly Log'!$A:$A,'Weekly Log'!$C:$C,A335,'Weekly Log'!$E:$E,"Yes")))</f>
        <v/>
      </c>
      <c r="O335" s="12" t="str">
        <f aca="true">IF(N335="","",MAX(0,INT((TODAY()-N335)/7)))</f>
        <v/>
      </c>
      <c r="Q335" s="12" t="str">
        <f aca="false">IF(A335="","",IFERROR(LOOKUP(2,1/(('Weekly Log'!$C$4:$C$1003=A335)*('Weekly Log'!$I$4:$I$1003&lt;&gt;"")),'Weekly Log'!$I$4:$I$1003),""))</f>
        <v/>
      </c>
    </row>
    <row r="336" customFormat="false" ht="15" hidden="false" customHeight="false" outlineLevel="0" collapsed="false">
      <c r="H336" s="16"/>
      <c r="J336" s="12" t="str">
        <f aca="false">IF(A336="","",COUNTIF('Weekly Log'!$C:$C,A336))</f>
        <v/>
      </c>
      <c r="K336" s="12" t="str">
        <f aca="false">IF(A336="","",COUNTIFS('Weekly Log'!$C:$C,A336,'Weekly Log'!$E:$E,"Yes"))</f>
        <v/>
      </c>
      <c r="L336" s="13" t="str">
        <f aca="false">IF(A336="","",IF(J336=0,"",K336/J336))</f>
        <v/>
      </c>
      <c r="M336" s="14" t="str">
        <f aca="false">IF(A336="","",IFERROR((SUMIFS('Weekly Log'!$F:$F,'Weekly Log'!$C:$C,A336)+SUMIFS('Weekly Log'!$G:$G,'Weekly Log'!$C:$C,A336))/(COUNTIFS('Weekly Log'!$C:$C,A336,'Weekly Log'!$F:$F,"&lt;&gt;")+COUNTIFS('Weekly Log'!$C:$C,A336,'Weekly Log'!$G:$G,"&lt;&gt;")),""))</f>
        <v/>
      </c>
      <c r="N336" s="15" t="str">
        <f aca="false">IF(A336="","",IF(K336=0,"",_xlfn.MAXIFS('Weekly Log'!$A:$A,'Weekly Log'!$C:$C,A336,'Weekly Log'!$E:$E,"Yes")))</f>
        <v/>
      </c>
      <c r="O336" s="12" t="str">
        <f aca="true">IF(N336="","",MAX(0,INT((TODAY()-N336)/7)))</f>
        <v/>
      </c>
      <c r="Q336" s="12" t="str">
        <f aca="false">IF(A336="","",IFERROR(LOOKUP(2,1/(('Weekly Log'!$C$4:$C$1003=A336)*('Weekly Log'!$I$4:$I$1003&lt;&gt;"")),'Weekly Log'!$I$4:$I$1003),""))</f>
        <v/>
      </c>
    </row>
    <row r="337" customFormat="false" ht="15" hidden="false" customHeight="false" outlineLevel="0" collapsed="false">
      <c r="H337" s="16"/>
      <c r="J337" s="12" t="str">
        <f aca="false">IF(A337="","",COUNTIF('Weekly Log'!$C:$C,A337))</f>
        <v/>
      </c>
      <c r="K337" s="12" t="str">
        <f aca="false">IF(A337="","",COUNTIFS('Weekly Log'!$C:$C,A337,'Weekly Log'!$E:$E,"Yes"))</f>
        <v/>
      </c>
      <c r="L337" s="13" t="str">
        <f aca="false">IF(A337="","",IF(J337=0,"",K337/J337))</f>
        <v/>
      </c>
      <c r="M337" s="14" t="str">
        <f aca="false">IF(A337="","",IFERROR((SUMIFS('Weekly Log'!$F:$F,'Weekly Log'!$C:$C,A337)+SUMIFS('Weekly Log'!$G:$G,'Weekly Log'!$C:$C,A337))/(COUNTIFS('Weekly Log'!$C:$C,A337,'Weekly Log'!$F:$F,"&lt;&gt;")+COUNTIFS('Weekly Log'!$C:$C,A337,'Weekly Log'!$G:$G,"&lt;&gt;")),""))</f>
        <v/>
      </c>
      <c r="N337" s="15" t="str">
        <f aca="false">IF(A337="","",IF(K337=0,"",_xlfn.MAXIFS('Weekly Log'!$A:$A,'Weekly Log'!$C:$C,A337,'Weekly Log'!$E:$E,"Yes")))</f>
        <v/>
      </c>
      <c r="O337" s="12" t="str">
        <f aca="true">IF(N337="","",MAX(0,INT((TODAY()-N337)/7)))</f>
        <v/>
      </c>
      <c r="Q337" s="12" t="str">
        <f aca="false">IF(A337="","",IFERROR(LOOKUP(2,1/(('Weekly Log'!$C$4:$C$1003=A337)*('Weekly Log'!$I$4:$I$1003&lt;&gt;"")),'Weekly Log'!$I$4:$I$1003),""))</f>
        <v/>
      </c>
    </row>
    <row r="338" customFormat="false" ht="15" hidden="false" customHeight="false" outlineLevel="0" collapsed="false">
      <c r="H338" s="16"/>
      <c r="J338" s="12" t="str">
        <f aca="false">IF(A338="","",COUNTIF('Weekly Log'!$C:$C,A338))</f>
        <v/>
      </c>
      <c r="K338" s="12" t="str">
        <f aca="false">IF(A338="","",COUNTIFS('Weekly Log'!$C:$C,A338,'Weekly Log'!$E:$E,"Yes"))</f>
        <v/>
      </c>
      <c r="L338" s="13" t="str">
        <f aca="false">IF(A338="","",IF(J338=0,"",K338/J338))</f>
        <v/>
      </c>
      <c r="M338" s="14" t="str">
        <f aca="false">IF(A338="","",IFERROR((SUMIFS('Weekly Log'!$F:$F,'Weekly Log'!$C:$C,A338)+SUMIFS('Weekly Log'!$G:$G,'Weekly Log'!$C:$C,A338))/(COUNTIFS('Weekly Log'!$C:$C,A338,'Weekly Log'!$F:$F,"&lt;&gt;")+COUNTIFS('Weekly Log'!$C:$C,A338,'Weekly Log'!$G:$G,"&lt;&gt;")),""))</f>
        <v/>
      </c>
      <c r="N338" s="15" t="str">
        <f aca="false">IF(A338="","",IF(K338=0,"",_xlfn.MAXIFS('Weekly Log'!$A:$A,'Weekly Log'!$C:$C,A338,'Weekly Log'!$E:$E,"Yes")))</f>
        <v/>
      </c>
      <c r="O338" s="12" t="str">
        <f aca="true">IF(N338="","",MAX(0,INT((TODAY()-N338)/7)))</f>
        <v/>
      </c>
      <c r="Q338" s="12" t="str">
        <f aca="false">IF(A338="","",IFERROR(LOOKUP(2,1/(('Weekly Log'!$C$4:$C$1003=A338)*('Weekly Log'!$I$4:$I$1003&lt;&gt;"")),'Weekly Log'!$I$4:$I$1003),""))</f>
        <v/>
      </c>
    </row>
    <row r="339" customFormat="false" ht="15" hidden="false" customHeight="false" outlineLevel="0" collapsed="false">
      <c r="H339" s="16"/>
      <c r="J339" s="12" t="str">
        <f aca="false">IF(A339="","",COUNTIF('Weekly Log'!$C:$C,A339))</f>
        <v/>
      </c>
      <c r="K339" s="12" t="str">
        <f aca="false">IF(A339="","",COUNTIFS('Weekly Log'!$C:$C,A339,'Weekly Log'!$E:$E,"Yes"))</f>
        <v/>
      </c>
      <c r="L339" s="13" t="str">
        <f aca="false">IF(A339="","",IF(J339=0,"",K339/J339))</f>
        <v/>
      </c>
      <c r="M339" s="14" t="str">
        <f aca="false">IF(A339="","",IFERROR((SUMIFS('Weekly Log'!$F:$F,'Weekly Log'!$C:$C,A339)+SUMIFS('Weekly Log'!$G:$G,'Weekly Log'!$C:$C,A339))/(COUNTIFS('Weekly Log'!$C:$C,A339,'Weekly Log'!$F:$F,"&lt;&gt;")+COUNTIFS('Weekly Log'!$C:$C,A339,'Weekly Log'!$G:$G,"&lt;&gt;")),""))</f>
        <v/>
      </c>
      <c r="N339" s="15" t="str">
        <f aca="false">IF(A339="","",IF(K339=0,"",_xlfn.MAXIFS('Weekly Log'!$A:$A,'Weekly Log'!$C:$C,A339,'Weekly Log'!$E:$E,"Yes")))</f>
        <v/>
      </c>
      <c r="O339" s="12" t="str">
        <f aca="true">IF(N339="","",MAX(0,INT((TODAY()-N339)/7)))</f>
        <v/>
      </c>
      <c r="Q339" s="12" t="str">
        <f aca="false">IF(A339="","",IFERROR(LOOKUP(2,1/(('Weekly Log'!$C$4:$C$1003=A339)*('Weekly Log'!$I$4:$I$1003&lt;&gt;"")),'Weekly Log'!$I$4:$I$1003),""))</f>
        <v/>
      </c>
    </row>
    <row r="340" customFormat="false" ht="15" hidden="false" customHeight="false" outlineLevel="0" collapsed="false">
      <c r="H340" s="16"/>
      <c r="J340" s="12" t="str">
        <f aca="false">IF(A340="","",COUNTIF('Weekly Log'!$C:$C,A340))</f>
        <v/>
      </c>
      <c r="K340" s="12" t="str">
        <f aca="false">IF(A340="","",COUNTIFS('Weekly Log'!$C:$C,A340,'Weekly Log'!$E:$E,"Yes"))</f>
        <v/>
      </c>
      <c r="L340" s="13" t="str">
        <f aca="false">IF(A340="","",IF(J340=0,"",K340/J340))</f>
        <v/>
      </c>
      <c r="M340" s="14" t="str">
        <f aca="false">IF(A340="","",IFERROR((SUMIFS('Weekly Log'!$F:$F,'Weekly Log'!$C:$C,A340)+SUMIFS('Weekly Log'!$G:$G,'Weekly Log'!$C:$C,A340))/(COUNTIFS('Weekly Log'!$C:$C,A340,'Weekly Log'!$F:$F,"&lt;&gt;")+COUNTIFS('Weekly Log'!$C:$C,A340,'Weekly Log'!$G:$G,"&lt;&gt;")),""))</f>
        <v/>
      </c>
      <c r="N340" s="15" t="str">
        <f aca="false">IF(A340="","",IF(K340=0,"",_xlfn.MAXIFS('Weekly Log'!$A:$A,'Weekly Log'!$C:$C,A340,'Weekly Log'!$E:$E,"Yes")))</f>
        <v/>
      </c>
      <c r="O340" s="12" t="str">
        <f aca="true">IF(N340="","",MAX(0,INT((TODAY()-N340)/7)))</f>
        <v/>
      </c>
      <c r="Q340" s="12" t="str">
        <f aca="false">IF(A340="","",IFERROR(LOOKUP(2,1/(('Weekly Log'!$C$4:$C$1003=A340)*('Weekly Log'!$I$4:$I$1003&lt;&gt;"")),'Weekly Log'!$I$4:$I$1003),""))</f>
        <v/>
      </c>
    </row>
    <row r="341" customFormat="false" ht="15" hidden="false" customHeight="false" outlineLevel="0" collapsed="false">
      <c r="H341" s="16"/>
      <c r="J341" s="12" t="str">
        <f aca="false">IF(A341="","",COUNTIF('Weekly Log'!$C:$C,A341))</f>
        <v/>
      </c>
      <c r="K341" s="12" t="str">
        <f aca="false">IF(A341="","",COUNTIFS('Weekly Log'!$C:$C,A341,'Weekly Log'!$E:$E,"Yes"))</f>
        <v/>
      </c>
      <c r="L341" s="13" t="str">
        <f aca="false">IF(A341="","",IF(J341=0,"",K341/J341))</f>
        <v/>
      </c>
      <c r="M341" s="14" t="str">
        <f aca="false">IF(A341="","",IFERROR((SUMIFS('Weekly Log'!$F:$F,'Weekly Log'!$C:$C,A341)+SUMIFS('Weekly Log'!$G:$G,'Weekly Log'!$C:$C,A341))/(COUNTIFS('Weekly Log'!$C:$C,A341,'Weekly Log'!$F:$F,"&lt;&gt;")+COUNTIFS('Weekly Log'!$C:$C,A341,'Weekly Log'!$G:$G,"&lt;&gt;")),""))</f>
        <v/>
      </c>
      <c r="N341" s="15" t="str">
        <f aca="false">IF(A341="","",IF(K341=0,"",_xlfn.MAXIFS('Weekly Log'!$A:$A,'Weekly Log'!$C:$C,A341,'Weekly Log'!$E:$E,"Yes")))</f>
        <v/>
      </c>
      <c r="O341" s="12" t="str">
        <f aca="true">IF(N341="","",MAX(0,INT((TODAY()-N341)/7)))</f>
        <v/>
      </c>
      <c r="Q341" s="12" t="str">
        <f aca="false">IF(A341="","",IFERROR(LOOKUP(2,1/(('Weekly Log'!$C$4:$C$1003=A341)*('Weekly Log'!$I$4:$I$1003&lt;&gt;"")),'Weekly Log'!$I$4:$I$1003),""))</f>
        <v/>
      </c>
    </row>
    <row r="342" customFormat="false" ht="15" hidden="false" customHeight="false" outlineLevel="0" collapsed="false">
      <c r="H342" s="16"/>
      <c r="J342" s="12" t="str">
        <f aca="false">IF(A342="","",COUNTIF('Weekly Log'!$C:$C,A342))</f>
        <v/>
      </c>
      <c r="K342" s="12" t="str">
        <f aca="false">IF(A342="","",COUNTIFS('Weekly Log'!$C:$C,A342,'Weekly Log'!$E:$E,"Yes"))</f>
        <v/>
      </c>
      <c r="L342" s="13" t="str">
        <f aca="false">IF(A342="","",IF(J342=0,"",K342/J342))</f>
        <v/>
      </c>
      <c r="M342" s="14" t="str">
        <f aca="false">IF(A342="","",IFERROR((SUMIFS('Weekly Log'!$F:$F,'Weekly Log'!$C:$C,A342)+SUMIFS('Weekly Log'!$G:$G,'Weekly Log'!$C:$C,A342))/(COUNTIFS('Weekly Log'!$C:$C,A342,'Weekly Log'!$F:$F,"&lt;&gt;")+COUNTIFS('Weekly Log'!$C:$C,A342,'Weekly Log'!$G:$G,"&lt;&gt;")),""))</f>
        <v/>
      </c>
      <c r="N342" s="15" t="str">
        <f aca="false">IF(A342="","",IF(K342=0,"",_xlfn.MAXIFS('Weekly Log'!$A:$A,'Weekly Log'!$C:$C,A342,'Weekly Log'!$E:$E,"Yes")))</f>
        <v/>
      </c>
      <c r="O342" s="12" t="str">
        <f aca="true">IF(N342="","",MAX(0,INT((TODAY()-N342)/7)))</f>
        <v/>
      </c>
      <c r="Q342" s="12" t="str">
        <f aca="false">IF(A342="","",IFERROR(LOOKUP(2,1/(('Weekly Log'!$C$4:$C$1003=A342)*('Weekly Log'!$I$4:$I$1003&lt;&gt;"")),'Weekly Log'!$I$4:$I$1003),""))</f>
        <v/>
      </c>
    </row>
    <row r="343" customFormat="false" ht="15" hidden="false" customHeight="false" outlineLevel="0" collapsed="false">
      <c r="H343" s="16"/>
      <c r="J343" s="12" t="str">
        <f aca="false">IF(A343="","",COUNTIF('Weekly Log'!$C:$C,A343))</f>
        <v/>
      </c>
      <c r="K343" s="12" t="str">
        <f aca="false">IF(A343="","",COUNTIFS('Weekly Log'!$C:$C,A343,'Weekly Log'!$E:$E,"Yes"))</f>
        <v/>
      </c>
      <c r="L343" s="13" t="str">
        <f aca="false">IF(A343="","",IF(J343=0,"",K343/J343))</f>
        <v/>
      </c>
      <c r="M343" s="14" t="str">
        <f aca="false">IF(A343="","",IFERROR((SUMIFS('Weekly Log'!$F:$F,'Weekly Log'!$C:$C,A343)+SUMIFS('Weekly Log'!$G:$G,'Weekly Log'!$C:$C,A343))/(COUNTIFS('Weekly Log'!$C:$C,A343,'Weekly Log'!$F:$F,"&lt;&gt;")+COUNTIFS('Weekly Log'!$C:$C,A343,'Weekly Log'!$G:$G,"&lt;&gt;")),""))</f>
        <v/>
      </c>
      <c r="N343" s="15" t="str">
        <f aca="false">IF(A343="","",IF(K343=0,"",_xlfn.MAXIFS('Weekly Log'!$A:$A,'Weekly Log'!$C:$C,A343,'Weekly Log'!$E:$E,"Yes")))</f>
        <v/>
      </c>
      <c r="O343" s="12" t="str">
        <f aca="true">IF(N343="","",MAX(0,INT((TODAY()-N343)/7)))</f>
        <v/>
      </c>
      <c r="Q343" s="12" t="str">
        <f aca="false">IF(A343="","",IFERROR(LOOKUP(2,1/(('Weekly Log'!$C$4:$C$1003=A343)*('Weekly Log'!$I$4:$I$1003&lt;&gt;"")),'Weekly Log'!$I$4:$I$1003),""))</f>
        <v/>
      </c>
    </row>
    <row r="344" customFormat="false" ht="15" hidden="false" customHeight="false" outlineLevel="0" collapsed="false">
      <c r="H344" s="16"/>
      <c r="J344" s="12" t="str">
        <f aca="false">IF(A344="","",COUNTIF('Weekly Log'!$C:$C,A344))</f>
        <v/>
      </c>
      <c r="K344" s="12" t="str">
        <f aca="false">IF(A344="","",COUNTIFS('Weekly Log'!$C:$C,A344,'Weekly Log'!$E:$E,"Yes"))</f>
        <v/>
      </c>
      <c r="L344" s="13" t="str">
        <f aca="false">IF(A344="","",IF(J344=0,"",K344/J344))</f>
        <v/>
      </c>
      <c r="M344" s="14" t="str">
        <f aca="false">IF(A344="","",IFERROR((SUMIFS('Weekly Log'!$F:$F,'Weekly Log'!$C:$C,A344)+SUMIFS('Weekly Log'!$G:$G,'Weekly Log'!$C:$C,A344))/(COUNTIFS('Weekly Log'!$C:$C,A344,'Weekly Log'!$F:$F,"&lt;&gt;")+COUNTIFS('Weekly Log'!$C:$C,A344,'Weekly Log'!$G:$G,"&lt;&gt;")),""))</f>
        <v/>
      </c>
      <c r="N344" s="15" t="str">
        <f aca="false">IF(A344="","",IF(K344=0,"",_xlfn.MAXIFS('Weekly Log'!$A:$A,'Weekly Log'!$C:$C,A344,'Weekly Log'!$E:$E,"Yes")))</f>
        <v/>
      </c>
      <c r="O344" s="12" t="str">
        <f aca="true">IF(N344="","",MAX(0,INT((TODAY()-N344)/7)))</f>
        <v/>
      </c>
      <c r="Q344" s="12" t="str">
        <f aca="false">IF(A344="","",IFERROR(LOOKUP(2,1/(('Weekly Log'!$C$4:$C$1003=A344)*('Weekly Log'!$I$4:$I$1003&lt;&gt;"")),'Weekly Log'!$I$4:$I$1003),""))</f>
        <v/>
      </c>
    </row>
    <row r="345" customFormat="false" ht="15" hidden="false" customHeight="false" outlineLevel="0" collapsed="false">
      <c r="H345" s="16"/>
      <c r="J345" s="12" t="str">
        <f aca="false">IF(A345="","",COUNTIF('Weekly Log'!$C:$C,A345))</f>
        <v/>
      </c>
      <c r="K345" s="12" t="str">
        <f aca="false">IF(A345="","",COUNTIFS('Weekly Log'!$C:$C,A345,'Weekly Log'!$E:$E,"Yes"))</f>
        <v/>
      </c>
      <c r="L345" s="13" t="str">
        <f aca="false">IF(A345="","",IF(J345=0,"",K345/J345))</f>
        <v/>
      </c>
      <c r="M345" s="14" t="str">
        <f aca="false">IF(A345="","",IFERROR((SUMIFS('Weekly Log'!$F:$F,'Weekly Log'!$C:$C,A345)+SUMIFS('Weekly Log'!$G:$G,'Weekly Log'!$C:$C,A345))/(COUNTIFS('Weekly Log'!$C:$C,A345,'Weekly Log'!$F:$F,"&lt;&gt;")+COUNTIFS('Weekly Log'!$C:$C,A345,'Weekly Log'!$G:$G,"&lt;&gt;")),""))</f>
        <v/>
      </c>
      <c r="N345" s="15" t="str">
        <f aca="false">IF(A345="","",IF(K345=0,"",_xlfn.MAXIFS('Weekly Log'!$A:$A,'Weekly Log'!$C:$C,A345,'Weekly Log'!$E:$E,"Yes")))</f>
        <v/>
      </c>
      <c r="O345" s="12" t="str">
        <f aca="true">IF(N345="","",MAX(0,INT((TODAY()-N345)/7)))</f>
        <v/>
      </c>
      <c r="Q345" s="12" t="str">
        <f aca="false">IF(A345="","",IFERROR(LOOKUP(2,1/(('Weekly Log'!$C$4:$C$1003=A345)*('Weekly Log'!$I$4:$I$1003&lt;&gt;"")),'Weekly Log'!$I$4:$I$1003),""))</f>
        <v/>
      </c>
    </row>
    <row r="346" customFormat="false" ht="15" hidden="false" customHeight="false" outlineLevel="0" collapsed="false">
      <c r="H346" s="16"/>
      <c r="J346" s="12" t="str">
        <f aca="false">IF(A346="","",COUNTIF('Weekly Log'!$C:$C,A346))</f>
        <v/>
      </c>
      <c r="K346" s="12" t="str">
        <f aca="false">IF(A346="","",COUNTIFS('Weekly Log'!$C:$C,A346,'Weekly Log'!$E:$E,"Yes"))</f>
        <v/>
      </c>
      <c r="L346" s="13" t="str">
        <f aca="false">IF(A346="","",IF(J346=0,"",K346/J346))</f>
        <v/>
      </c>
      <c r="M346" s="14" t="str">
        <f aca="false">IF(A346="","",IFERROR((SUMIFS('Weekly Log'!$F:$F,'Weekly Log'!$C:$C,A346)+SUMIFS('Weekly Log'!$G:$G,'Weekly Log'!$C:$C,A346))/(COUNTIFS('Weekly Log'!$C:$C,A346,'Weekly Log'!$F:$F,"&lt;&gt;")+COUNTIFS('Weekly Log'!$C:$C,A346,'Weekly Log'!$G:$G,"&lt;&gt;")),""))</f>
        <v/>
      </c>
      <c r="N346" s="15" t="str">
        <f aca="false">IF(A346="","",IF(K346=0,"",_xlfn.MAXIFS('Weekly Log'!$A:$A,'Weekly Log'!$C:$C,A346,'Weekly Log'!$E:$E,"Yes")))</f>
        <v/>
      </c>
      <c r="O346" s="12" t="str">
        <f aca="true">IF(N346="","",MAX(0,INT((TODAY()-N346)/7)))</f>
        <v/>
      </c>
      <c r="Q346" s="12" t="str">
        <f aca="false">IF(A346="","",IFERROR(LOOKUP(2,1/(('Weekly Log'!$C$4:$C$1003=A346)*('Weekly Log'!$I$4:$I$1003&lt;&gt;"")),'Weekly Log'!$I$4:$I$1003),""))</f>
        <v/>
      </c>
    </row>
    <row r="347" customFormat="false" ht="15" hidden="false" customHeight="false" outlineLevel="0" collapsed="false">
      <c r="H347" s="16"/>
      <c r="J347" s="12" t="str">
        <f aca="false">IF(A347="","",COUNTIF('Weekly Log'!$C:$C,A347))</f>
        <v/>
      </c>
      <c r="K347" s="12" t="str">
        <f aca="false">IF(A347="","",COUNTIFS('Weekly Log'!$C:$C,A347,'Weekly Log'!$E:$E,"Yes"))</f>
        <v/>
      </c>
      <c r="L347" s="13" t="str">
        <f aca="false">IF(A347="","",IF(J347=0,"",K347/J347))</f>
        <v/>
      </c>
      <c r="M347" s="14" t="str">
        <f aca="false">IF(A347="","",IFERROR((SUMIFS('Weekly Log'!$F:$F,'Weekly Log'!$C:$C,A347)+SUMIFS('Weekly Log'!$G:$G,'Weekly Log'!$C:$C,A347))/(COUNTIFS('Weekly Log'!$C:$C,A347,'Weekly Log'!$F:$F,"&lt;&gt;")+COUNTIFS('Weekly Log'!$C:$C,A347,'Weekly Log'!$G:$G,"&lt;&gt;")),""))</f>
        <v/>
      </c>
      <c r="N347" s="15" t="str">
        <f aca="false">IF(A347="","",IF(K347=0,"",_xlfn.MAXIFS('Weekly Log'!$A:$A,'Weekly Log'!$C:$C,A347,'Weekly Log'!$E:$E,"Yes")))</f>
        <v/>
      </c>
      <c r="O347" s="12" t="str">
        <f aca="true">IF(N347="","",MAX(0,INT((TODAY()-N347)/7)))</f>
        <v/>
      </c>
      <c r="Q347" s="12" t="str">
        <f aca="false">IF(A347="","",IFERROR(LOOKUP(2,1/(('Weekly Log'!$C$4:$C$1003=A347)*('Weekly Log'!$I$4:$I$1003&lt;&gt;"")),'Weekly Log'!$I$4:$I$1003),""))</f>
        <v/>
      </c>
    </row>
    <row r="348" customFormat="false" ht="15" hidden="false" customHeight="false" outlineLevel="0" collapsed="false">
      <c r="H348" s="16"/>
      <c r="J348" s="12" t="str">
        <f aca="false">IF(A348="","",COUNTIF('Weekly Log'!$C:$C,A348))</f>
        <v/>
      </c>
      <c r="K348" s="12" t="str">
        <f aca="false">IF(A348="","",COUNTIFS('Weekly Log'!$C:$C,A348,'Weekly Log'!$E:$E,"Yes"))</f>
        <v/>
      </c>
      <c r="L348" s="13" t="str">
        <f aca="false">IF(A348="","",IF(J348=0,"",K348/J348))</f>
        <v/>
      </c>
      <c r="M348" s="14" t="str">
        <f aca="false">IF(A348="","",IFERROR((SUMIFS('Weekly Log'!$F:$F,'Weekly Log'!$C:$C,A348)+SUMIFS('Weekly Log'!$G:$G,'Weekly Log'!$C:$C,A348))/(COUNTIFS('Weekly Log'!$C:$C,A348,'Weekly Log'!$F:$F,"&lt;&gt;")+COUNTIFS('Weekly Log'!$C:$C,A348,'Weekly Log'!$G:$G,"&lt;&gt;")),""))</f>
        <v/>
      </c>
      <c r="N348" s="15" t="str">
        <f aca="false">IF(A348="","",IF(K348=0,"",_xlfn.MAXIFS('Weekly Log'!$A:$A,'Weekly Log'!$C:$C,A348,'Weekly Log'!$E:$E,"Yes")))</f>
        <v/>
      </c>
      <c r="O348" s="12" t="str">
        <f aca="true">IF(N348="","",MAX(0,INT((TODAY()-N348)/7)))</f>
        <v/>
      </c>
      <c r="Q348" s="12" t="str">
        <f aca="false">IF(A348="","",IFERROR(LOOKUP(2,1/(('Weekly Log'!$C$4:$C$1003=A348)*('Weekly Log'!$I$4:$I$1003&lt;&gt;"")),'Weekly Log'!$I$4:$I$1003),""))</f>
        <v/>
      </c>
    </row>
    <row r="349" customFormat="false" ht="15" hidden="false" customHeight="false" outlineLevel="0" collapsed="false">
      <c r="H349" s="16"/>
      <c r="J349" s="12" t="str">
        <f aca="false">IF(A349="","",COUNTIF('Weekly Log'!$C:$C,A349))</f>
        <v/>
      </c>
      <c r="K349" s="12" t="str">
        <f aca="false">IF(A349="","",COUNTIFS('Weekly Log'!$C:$C,A349,'Weekly Log'!$E:$E,"Yes"))</f>
        <v/>
      </c>
      <c r="L349" s="13" t="str">
        <f aca="false">IF(A349="","",IF(J349=0,"",K349/J349))</f>
        <v/>
      </c>
      <c r="M349" s="14" t="str">
        <f aca="false">IF(A349="","",IFERROR((SUMIFS('Weekly Log'!$F:$F,'Weekly Log'!$C:$C,A349)+SUMIFS('Weekly Log'!$G:$G,'Weekly Log'!$C:$C,A349))/(COUNTIFS('Weekly Log'!$C:$C,A349,'Weekly Log'!$F:$F,"&lt;&gt;")+COUNTIFS('Weekly Log'!$C:$C,A349,'Weekly Log'!$G:$G,"&lt;&gt;")),""))</f>
        <v/>
      </c>
      <c r="N349" s="15" t="str">
        <f aca="false">IF(A349="","",IF(K349=0,"",_xlfn.MAXIFS('Weekly Log'!$A:$A,'Weekly Log'!$C:$C,A349,'Weekly Log'!$E:$E,"Yes")))</f>
        <v/>
      </c>
      <c r="O349" s="12" t="str">
        <f aca="true">IF(N349="","",MAX(0,INT((TODAY()-N349)/7)))</f>
        <v/>
      </c>
      <c r="Q349" s="12" t="str">
        <f aca="false">IF(A349="","",IFERROR(LOOKUP(2,1/(('Weekly Log'!$C$4:$C$1003=A349)*('Weekly Log'!$I$4:$I$1003&lt;&gt;"")),'Weekly Log'!$I$4:$I$1003),""))</f>
        <v/>
      </c>
    </row>
    <row r="350" customFormat="false" ht="15" hidden="false" customHeight="false" outlineLevel="0" collapsed="false">
      <c r="H350" s="16"/>
      <c r="J350" s="12" t="str">
        <f aca="false">IF(A350="","",COUNTIF('Weekly Log'!$C:$C,A350))</f>
        <v/>
      </c>
      <c r="K350" s="12" t="str">
        <f aca="false">IF(A350="","",COUNTIFS('Weekly Log'!$C:$C,A350,'Weekly Log'!$E:$E,"Yes"))</f>
        <v/>
      </c>
      <c r="L350" s="13" t="str">
        <f aca="false">IF(A350="","",IF(J350=0,"",K350/J350))</f>
        <v/>
      </c>
      <c r="M350" s="14" t="str">
        <f aca="false">IF(A350="","",IFERROR((SUMIFS('Weekly Log'!$F:$F,'Weekly Log'!$C:$C,A350)+SUMIFS('Weekly Log'!$G:$G,'Weekly Log'!$C:$C,A350))/(COUNTIFS('Weekly Log'!$C:$C,A350,'Weekly Log'!$F:$F,"&lt;&gt;")+COUNTIFS('Weekly Log'!$C:$C,A350,'Weekly Log'!$G:$G,"&lt;&gt;")),""))</f>
        <v/>
      </c>
      <c r="N350" s="15" t="str">
        <f aca="false">IF(A350="","",IF(K350=0,"",_xlfn.MAXIFS('Weekly Log'!$A:$A,'Weekly Log'!$C:$C,A350,'Weekly Log'!$E:$E,"Yes")))</f>
        <v/>
      </c>
      <c r="O350" s="12" t="str">
        <f aca="true">IF(N350="","",MAX(0,INT((TODAY()-N350)/7)))</f>
        <v/>
      </c>
      <c r="Q350" s="12" t="str">
        <f aca="false">IF(A350="","",IFERROR(LOOKUP(2,1/(('Weekly Log'!$C$4:$C$1003=A350)*('Weekly Log'!$I$4:$I$1003&lt;&gt;"")),'Weekly Log'!$I$4:$I$1003),""))</f>
        <v/>
      </c>
    </row>
    <row r="351" customFormat="false" ht="15" hidden="false" customHeight="false" outlineLevel="0" collapsed="false">
      <c r="H351" s="16"/>
      <c r="J351" s="12" t="str">
        <f aca="false">IF(A351="","",COUNTIF('Weekly Log'!$C:$C,A351))</f>
        <v/>
      </c>
      <c r="K351" s="12" t="str">
        <f aca="false">IF(A351="","",COUNTIFS('Weekly Log'!$C:$C,A351,'Weekly Log'!$E:$E,"Yes"))</f>
        <v/>
      </c>
      <c r="L351" s="13" t="str">
        <f aca="false">IF(A351="","",IF(J351=0,"",K351/J351))</f>
        <v/>
      </c>
      <c r="M351" s="14" t="str">
        <f aca="false">IF(A351="","",IFERROR((SUMIFS('Weekly Log'!$F:$F,'Weekly Log'!$C:$C,A351)+SUMIFS('Weekly Log'!$G:$G,'Weekly Log'!$C:$C,A351))/(COUNTIFS('Weekly Log'!$C:$C,A351,'Weekly Log'!$F:$F,"&lt;&gt;")+COUNTIFS('Weekly Log'!$C:$C,A351,'Weekly Log'!$G:$G,"&lt;&gt;")),""))</f>
        <v/>
      </c>
      <c r="N351" s="15" t="str">
        <f aca="false">IF(A351="","",IF(K351=0,"",_xlfn.MAXIFS('Weekly Log'!$A:$A,'Weekly Log'!$C:$C,A351,'Weekly Log'!$E:$E,"Yes")))</f>
        <v/>
      </c>
      <c r="O351" s="12" t="str">
        <f aca="true">IF(N351="","",MAX(0,INT((TODAY()-N351)/7)))</f>
        <v/>
      </c>
      <c r="Q351" s="12" t="str">
        <f aca="false">IF(A351="","",IFERROR(LOOKUP(2,1/(('Weekly Log'!$C$4:$C$1003=A351)*('Weekly Log'!$I$4:$I$1003&lt;&gt;"")),'Weekly Log'!$I$4:$I$1003),""))</f>
        <v/>
      </c>
    </row>
    <row r="352" customFormat="false" ht="15" hidden="false" customHeight="false" outlineLevel="0" collapsed="false">
      <c r="H352" s="16"/>
      <c r="J352" s="12" t="str">
        <f aca="false">IF(A352="","",COUNTIF('Weekly Log'!$C:$C,A352))</f>
        <v/>
      </c>
      <c r="K352" s="12" t="str">
        <f aca="false">IF(A352="","",COUNTIFS('Weekly Log'!$C:$C,A352,'Weekly Log'!$E:$E,"Yes"))</f>
        <v/>
      </c>
      <c r="L352" s="13" t="str">
        <f aca="false">IF(A352="","",IF(J352=0,"",K352/J352))</f>
        <v/>
      </c>
      <c r="M352" s="14" t="str">
        <f aca="false">IF(A352="","",IFERROR((SUMIFS('Weekly Log'!$F:$F,'Weekly Log'!$C:$C,A352)+SUMIFS('Weekly Log'!$G:$G,'Weekly Log'!$C:$C,A352))/(COUNTIFS('Weekly Log'!$C:$C,A352,'Weekly Log'!$F:$F,"&lt;&gt;")+COUNTIFS('Weekly Log'!$C:$C,A352,'Weekly Log'!$G:$G,"&lt;&gt;")),""))</f>
        <v/>
      </c>
      <c r="N352" s="15" t="str">
        <f aca="false">IF(A352="","",IF(K352=0,"",_xlfn.MAXIFS('Weekly Log'!$A:$A,'Weekly Log'!$C:$C,A352,'Weekly Log'!$E:$E,"Yes")))</f>
        <v/>
      </c>
      <c r="O352" s="12" t="str">
        <f aca="true">IF(N352="","",MAX(0,INT((TODAY()-N352)/7)))</f>
        <v/>
      </c>
      <c r="Q352" s="12" t="str">
        <f aca="false">IF(A352="","",IFERROR(LOOKUP(2,1/(('Weekly Log'!$C$4:$C$1003=A352)*('Weekly Log'!$I$4:$I$1003&lt;&gt;"")),'Weekly Log'!$I$4:$I$1003),""))</f>
        <v/>
      </c>
    </row>
    <row r="353" customFormat="false" ht="15" hidden="false" customHeight="false" outlineLevel="0" collapsed="false">
      <c r="H353" s="16"/>
      <c r="J353" s="12" t="str">
        <f aca="false">IF(A353="","",COUNTIF('Weekly Log'!$C:$C,A353))</f>
        <v/>
      </c>
      <c r="K353" s="12" t="str">
        <f aca="false">IF(A353="","",COUNTIFS('Weekly Log'!$C:$C,A353,'Weekly Log'!$E:$E,"Yes"))</f>
        <v/>
      </c>
      <c r="L353" s="13" t="str">
        <f aca="false">IF(A353="","",IF(J353=0,"",K353/J353))</f>
        <v/>
      </c>
      <c r="M353" s="14" t="str">
        <f aca="false">IF(A353="","",IFERROR((SUMIFS('Weekly Log'!$F:$F,'Weekly Log'!$C:$C,A353)+SUMIFS('Weekly Log'!$G:$G,'Weekly Log'!$C:$C,A353))/(COUNTIFS('Weekly Log'!$C:$C,A353,'Weekly Log'!$F:$F,"&lt;&gt;")+COUNTIFS('Weekly Log'!$C:$C,A353,'Weekly Log'!$G:$G,"&lt;&gt;")),""))</f>
        <v/>
      </c>
      <c r="N353" s="15" t="str">
        <f aca="false">IF(A353="","",IF(K353=0,"",_xlfn.MAXIFS('Weekly Log'!$A:$A,'Weekly Log'!$C:$C,A353,'Weekly Log'!$E:$E,"Yes")))</f>
        <v/>
      </c>
      <c r="O353" s="12" t="str">
        <f aca="true">IF(N353="","",MAX(0,INT((TODAY()-N353)/7)))</f>
        <v/>
      </c>
      <c r="Q353" s="12" t="str">
        <f aca="false">IF(A353="","",IFERROR(LOOKUP(2,1/(('Weekly Log'!$C$4:$C$1003=A353)*('Weekly Log'!$I$4:$I$1003&lt;&gt;"")),'Weekly Log'!$I$4:$I$1003),""))</f>
        <v/>
      </c>
    </row>
    <row r="354" customFormat="false" ht="15" hidden="false" customHeight="false" outlineLevel="0" collapsed="false">
      <c r="H354" s="16"/>
      <c r="J354" s="12" t="str">
        <f aca="false">IF(A354="","",COUNTIF('Weekly Log'!$C:$C,A354))</f>
        <v/>
      </c>
      <c r="K354" s="12" t="str">
        <f aca="false">IF(A354="","",COUNTIFS('Weekly Log'!$C:$C,A354,'Weekly Log'!$E:$E,"Yes"))</f>
        <v/>
      </c>
      <c r="L354" s="13" t="str">
        <f aca="false">IF(A354="","",IF(J354=0,"",K354/J354))</f>
        <v/>
      </c>
      <c r="M354" s="14" t="str">
        <f aca="false">IF(A354="","",IFERROR((SUMIFS('Weekly Log'!$F:$F,'Weekly Log'!$C:$C,A354)+SUMIFS('Weekly Log'!$G:$G,'Weekly Log'!$C:$C,A354))/(COUNTIFS('Weekly Log'!$C:$C,A354,'Weekly Log'!$F:$F,"&lt;&gt;")+COUNTIFS('Weekly Log'!$C:$C,A354,'Weekly Log'!$G:$G,"&lt;&gt;")),""))</f>
        <v/>
      </c>
      <c r="N354" s="15" t="str">
        <f aca="false">IF(A354="","",IF(K354=0,"",_xlfn.MAXIFS('Weekly Log'!$A:$A,'Weekly Log'!$C:$C,A354,'Weekly Log'!$E:$E,"Yes")))</f>
        <v/>
      </c>
      <c r="O354" s="12" t="str">
        <f aca="true">IF(N354="","",MAX(0,INT((TODAY()-N354)/7)))</f>
        <v/>
      </c>
      <c r="Q354" s="12" t="str">
        <f aca="false">IF(A354="","",IFERROR(LOOKUP(2,1/(('Weekly Log'!$C$4:$C$1003=A354)*('Weekly Log'!$I$4:$I$1003&lt;&gt;"")),'Weekly Log'!$I$4:$I$1003),""))</f>
        <v/>
      </c>
    </row>
    <row r="355" customFormat="false" ht="15" hidden="false" customHeight="false" outlineLevel="0" collapsed="false">
      <c r="H355" s="16"/>
      <c r="J355" s="12" t="str">
        <f aca="false">IF(A355="","",COUNTIF('Weekly Log'!$C:$C,A355))</f>
        <v/>
      </c>
      <c r="K355" s="12" t="str">
        <f aca="false">IF(A355="","",COUNTIFS('Weekly Log'!$C:$C,A355,'Weekly Log'!$E:$E,"Yes"))</f>
        <v/>
      </c>
      <c r="L355" s="13" t="str">
        <f aca="false">IF(A355="","",IF(J355=0,"",K355/J355))</f>
        <v/>
      </c>
      <c r="M355" s="14" t="str">
        <f aca="false">IF(A355="","",IFERROR((SUMIFS('Weekly Log'!$F:$F,'Weekly Log'!$C:$C,A355)+SUMIFS('Weekly Log'!$G:$G,'Weekly Log'!$C:$C,A355))/(COUNTIFS('Weekly Log'!$C:$C,A355,'Weekly Log'!$F:$F,"&lt;&gt;")+COUNTIFS('Weekly Log'!$C:$C,A355,'Weekly Log'!$G:$G,"&lt;&gt;")),""))</f>
        <v/>
      </c>
      <c r="N355" s="15" t="str">
        <f aca="false">IF(A355="","",IF(K355=0,"",_xlfn.MAXIFS('Weekly Log'!$A:$A,'Weekly Log'!$C:$C,A355,'Weekly Log'!$E:$E,"Yes")))</f>
        <v/>
      </c>
      <c r="O355" s="12" t="str">
        <f aca="true">IF(N355="","",MAX(0,INT((TODAY()-N355)/7)))</f>
        <v/>
      </c>
      <c r="Q355" s="12" t="str">
        <f aca="false">IF(A355="","",IFERROR(LOOKUP(2,1/(('Weekly Log'!$C$4:$C$1003=A355)*('Weekly Log'!$I$4:$I$1003&lt;&gt;"")),'Weekly Log'!$I$4:$I$1003),""))</f>
        <v/>
      </c>
    </row>
    <row r="356" customFormat="false" ht="15" hidden="false" customHeight="false" outlineLevel="0" collapsed="false">
      <c r="H356" s="16"/>
      <c r="J356" s="12" t="str">
        <f aca="false">IF(A356="","",COUNTIF('Weekly Log'!$C:$C,A356))</f>
        <v/>
      </c>
      <c r="K356" s="12" t="str">
        <f aca="false">IF(A356="","",COUNTIFS('Weekly Log'!$C:$C,A356,'Weekly Log'!$E:$E,"Yes"))</f>
        <v/>
      </c>
      <c r="L356" s="13" t="str">
        <f aca="false">IF(A356="","",IF(J356=0,"",K356/J356))</f>
        <v/>
      </c>
      <c r="M356" s="14" t="str">
        <f aca="false">IF(A356="","",IFERROR((SUMIFS('Weekly Log'!$F:$F,'Weekly Log'!$C:$C,A356)+SUMIFS('Weekly Log'!$G:$G,'Weekly Log'!$C:$C,A356))/(COUNTIFS('Weekly Log'!$C:$C,A356,'Weekly Log'!$F:$F,"&lt;&gt;")+COUNTIFS('Weekly Log'!$C:$C,A356,'Weekly Log'!$G:$G,"&lt;&gt;")),""))</f>
        <v/>
      </c>
      <c r="N356" s="15" t="str">
        <f aca="false">IF(A356="","",IF(K356=0,"",_xlfn.MAXIFS('Weekly Log'!$A:$A,'Weekly Log'!$C:$C,A356,'Weekly Log'!$E:$E,"Yes")))</f>
        <v/>
      </c>
      <c r="O356" s="12" t="str">
        <f aca="true">IF(N356="","",MAX(0,INT((TODAY()-N356)/7)))</f>
        <v/>
      </c>
      <c r="Q356" s="12" t="str">
        <f aca="false">IF(A356="","",IFERROR(LOOKUP(2,1/(('Weekly Log'!$C$4:$C$1003=A356)*('Weekly Log'!$I$4:$I$1003&lt;&gt;"")),'Weekly Log'!$I$4:$I$1003),""))</f>
        <v/>
      </c>
    </row>
    <row r="357" customFormat="false" ht="15" hidden="false" customHeight="false" outlineLevel="0" collapsed="false">
      <c r="H357" s="16"/>
      <c r="J357" s="12" t="str">
        <f aca="false">IF(A357="","",COUNTIF('Weekly Log'!$C:$C,A357))</f>
        <v/>
      </c>
      <c r="K357" s="12" t="str">
        <f aca="false">IF(A357="","",COUNTIFS('Weekly Log'!$C:$C,A357,'Weekly Log'!$E:$E,"Yes"))</f>
        <v/>
      </c>
      <c r="L357" s="13" t="str">
        <f aca="false">IF(A357="","",IF(J357=0,"",K357/J357))</f>
        <v/>
      </c>
      <c r="M357" s="14" t="str">
        <f aca="false">IF(A357="","",IFERROR((SUMIFS('Weekly Log'!$F:$F,'Weekly Log'!$C:$C,A357)+SUMIFS('Weekly Log'!$G:$G,'Weekly Log'!$C:$C,A357))/(COUNTIFS('Weekly Log'!$C:$C,A357,'Weekly Log'!$F:$F,"&lt;&gt;")+COUNTIFS('Weekly Log'!$C:$C,A357,'Weekly Log'!$G:$G,"&lt;&gt;")),""))</f>
        <v/>
      </c>
      <c r="N357" s="15" t="str">
        <f aca="false">IF(A357="","",IF(K357=0,"",_xlfn.MAXIFS('Weekly Log'!$A:$A,'Weekly Log'!$C:$C,A357,'Weekly Log'!$E:$E,"Yes")))</f>
        <v/>
      </c>
      <c r="O357" s="12" t="str">
        <f aca="true">IF(N357="","",MAX(0,INT((TODAY()-N357)/7)))</f>
        <v/>
      </c>
      <c r="Q357" s="12" t="str">
        <f aca="false">IF(A357="","",IFERROR(LOOKUP(2,1/(('Weekly Log'!$C$4:$C$1003=A357)*('Weekly Log'!$I$4:$I$1003&lt;&gt;"")),'Weekly Log'!$I$4:$I$1003),""))</f>
        <v/>
      </c>
    </row>
    <row r="358" customFormat="false" ht="15" hidden="false" customHeight="false" outlineLevel="0" collapsed="false">
      <c r="H358" s="16"/>
      <c r="J358" s="12" t="str">
        <f aca="false">IF(A358="","",COUNTIF('Weekly Log'!$C:$C,A358))</f>
        <v/>
      </c>
      <c r="K358" s="12" t="str">
        <f aca="false">IF(A358="","",COUNTIFS('Weekly Log'!$C:$C,A358,'Weekly Log'!$E:$E,"Yes"))</f>
        <v/>
      </c>
      <c r="L358" s="13" t="str">
        <f aca="false">IF(A358="","",IF(J358=0,"",K358/J358))</f>
        <v/>
      </c>
      <c r="M358" s="14" t="str">
        <f aca="false">IF(A358="","",IFERROR((SUMIFS('Weekly Log'!$F:$F,'Weekly Log'!$C:$C,A358)+SUMIFS('Weekly Log'!$G:$G,'Weekly Log'!$C:$C,A358))/(COUNTIFS('Weekly Log'!$C:$C,A358,'Weekly Log'!$F:$F,"&lt;&gt;")+COUNTIFS('Weekly Log'!$C:$C,A358,'Weekly Log'!$G:$G,"&lt;&gt;")),""))</f>
        <v/>
      </c>
      <c r="N358" s="15" t="str">
        <f aca="false">IF(A358="","",IF(K358=0,"",_xlfn.MAXIFS('Weekly Log'!$A:$A,'Weekly Log'!$C:$C,A358,'Weekly Log'!$E:$E,"Yes")))</f>
        <v/>
      </c>
      <c r="O358" s="12" t="str">
        <f aca="true">IF(N358="","",MAX(0,INT((TODAY()-N358)/7)))</f>
        <v/>
      </c>
      <c r="Q358" s="12" t="str">
        <f aca="false">IF(A358="","",IFERROR(LOOKUP(2,1/(('Weekly Log'!$C$4:$C$1003=A358)*('Weekly Log'!$I$4:$I$1003&lt;&gt;"")),'Weekly Log'!$I$4:$I$1003),""))</f>
        <v/>
      </c>
    </row>
    <row r="359" customFormat="false" ht="15" hidden="false" customHeight="false" outlineLevel="0" collapsed="false">
      <c r="H359" s="16"/>
      <c r="J359" s="12" t="str">
        <f aca="false">IF(A359="","",COUNTIF('Weekly Log'!$C:$C,A359))</f>
        <v/>
      </c>
      <c r="K359" s="12" t="str">
        <f aca="false">IF(A359="","",COUNTIFS('Weekly Log'!$C:$C,A359,'Weekly Log'!$E:$E,"Yes"))</f>
        <v/>
      </c>
      <c r="L359" s="13" t="str">
        <f aca="false">IF(A359="","",IF(J359=0,"",K359/J359))</f>
        <v/>
      </c>
      <c r="M359" s="14" t="str">
        <f aca="false">IF(A359="","",IFERROR((SUMIFS('Weekly Log'!$F:$F,'Weekly Log'!$C:$C,A359)+SUMIFS('Weekly Log'!$G:$G,'Weekly Log'!$C:$C,A359))/(COUNTIFS('Weekly Log'!$C:$C,A359,'Weekly Log'!$F:$F,"&lt;&gt;")+COUNTIFS('Weekly Log'!$C:$C,A359,'Weekly Log'!$G:$G,"&lt;&gt;")),""))</f>
        <v/>
      </c>
      <c r="N359" s="15" t="str">
        <f aca="false">IF(A359="","",IF(K359=0,"",_xlfn.MAXIFS('Weekly Log'!$A:$A,'Weekly Log'!$C:$C,A359,'Weekly Log'!$E:$E,"Yes")))</f>
        <v/>
      </c>
      <c r="O359" s="12" t="str">
        <f aca="true">IF(N359="","",MAX(0,INT((TODAY()-N359)/7)))</f>
        <v/>
      </c>
      <c r="Q359" s="12" t="str">
        <f aca="false">IF(A359="","",IFERROR(LOOKUP(2,1/(('Weekly Log'!$C$4:$C$1003=A359)*('Weekly Log'!$I$4:$I$1003&lt;&gt;"")),'Weekly Log'!$I$4:$I$1003),""))</f>
        <v/>
      </c>
    </row>
    <row r="360" customFormat="false" ht="15" hidden="false" customHeight="false" outlineLevel="0" collapsed="false">
      <c r="H360" s="16"/>
      <c r="J360" s="12" t="str">
        <f aca="false">IF(A360="","",COUNTIF('Weekly Log'!$C:$C,A360))</f>
        <v/>
      </c>
      <c r="K360" s="12" t="str">
        <f aca="false">IF(A360="","",COUNTIFS('Weekly Log'!$C:$C,A360,'Weekly Log'!$E:$E,"Yes"))</f>
        <v/>
      </c>
      <c r="L360" s="13" t="str">
        <f aca="false">IF(A360="","",IF(J360=0,"",K360/J360))</f>
        <v/>
      </c>
      <c r="M360" s="14" t="str">
        <f aca="false">IF(A360="","",IFERROR((SUMIFS('Weekly Log'!$F:$F,'Weekly Log'!$C:$C,A360)+SUMIFS('Weekly Log'!$G:$G,'Weekly Log'!$C:$C,A360))/(COUNTIFS('Weekly Log'!$C:$C,A360,'Weekly Log'!$F:$F,"&lt;&gt;")+COUNTIFS('Weekly Log'!$C:$C,A360,'Weekly Log'!$G:$G,"&lt;&gt;")),""))</f>
        <v/>
      </c>
      <c r="N360" s="15" t="str">
        <f aca="false">IF(A360="","",IF(K360=0,"",_xlfn.MAXIFS('Weekly Log'!$A:$A,'Weekly Log'!$C:$C,A360,'Weekly Log'!$E:$E,"Yes")))</f>
        <v/>
      </c>
      <c r="O360" s="12" t="str">
        <f aca="true">IF(N360="","",MAX(0,INT((TODAY()-N360)/7)))</f>
        <v/>
      </c>
      <c r="Q360" s="12" t="str">
        <f aca="false">IF(A360="","",IFERROR(LOOKUP(2,1/(('Weekly Log'!$C$4:$C$1003=A360)*('Weekly Log'!$I$4:$I$1003&lt;&gt;"")),'Weekly Log'!$I$4:$I$1003),""))</f>
        <v/>
      </c>
    </row>
    <row r="361" customFormat="false" ht="15" hidden="false" customHeight="false" outlineLevel="0" collapsed="false">
      <c r="H361" s="16"/>
      <c r="J361" s="12" t="str">
        <f aca="false">IF(A361="","",COUNTIF('Weekly Log'!$C:$C,A361))</f>
        <v/>
      </c>
      <c r="K361" s="12" t="str">
        <f aca="false">IF(A361="","",COUNTIFS('Weekly Log'!$C:$C,A361,'Weekly Log'!$E:$E,"Yes"))</f>
        <v/>
      </c>
      <c r="L361" s="13" t="str">
        <f aca="false">IF(A361="","",IF(J361=0,"",K361/J361))</f>
        <v/>
      </c>
      <c r="M361" s="14" t="str">
        <f aca="false">IF(A361="","",IFERROR((SUMIFS('Weekly Log'!$F:$F,'Weekly Log'!$C:$C,A361)+SUMIFS('Weekly Log'!$G:$G,'Weekly Log'!$C:$C,A361))/(COUNTIFS('Weekly Log'!$C:$C,A361,'Weekly Log'!$F:$F,"&lt;&gt;")+COUNTIFS('Weekly Log'!$C:$C,A361,'Weekly Log'!$G:$G,"&lt;&gt;")),""))</f>
        <v/>
      </c>
      <c r="N361" s="15" t="str">
        <f aca="false">IF(A361="","",IF(K361=0,"",_xlfn.MAXIFS('Weekly Log'!$A:$A,'Weekly Log'!$C:$C,A361,'Weekly Log'!$E:$E,"Yes")))</f>
        <v/>
      </c>
      <c r="O361" s="12" t="str">
        <f aca="true">IF(N361="","",MAX(0,INT((TODAY()-N361)/7)))</f>
        <v/>
      </c>
      <c r="Q361" s="12" t="str">
        <f aca="false">IF(A361="","",IFERROR(LOOKUP(2,1/(('Weekly Log'!$C$4:$C$1003=A361)*('Weekly Log'!$I$4:$I$1003&lt;&gt;"")),'Weekly Log'!$I$4:$I$1003),""))</f>
        <v/>
      </c>
    </row>
    <row r="362" customFormat="false" ht="15" hidden="false" customHeight="false" outlineLevel="0" collapsed="false">
      <c r="H362" s="16"/>
      <c r="J362" s="12" t="str">
        <f aca="false">IF(A362="","",COUNTIF('Weekly Log'!$C:$C,A362))</f>
        <v/>
      </c>
      <c r="K362" s="12" t="str">
        <f aca="false">IF(A362="","",COUNTIFS('Weekly Log'!$C:$C,A362,'Weekly Log'!$E:$E,"Yes"))</f>
        <v/>
      </c>
      <c r="L362" s="13" t="str">
        <f aca="false">IF(A362="","",IF(J362=0,"",K362/J362))</f>
        <v/>
      </c>
      <c r="M362" s="14" t="str">
        <f aca="false">IF(A362="","",IFERROR((SUMIFS('Weekly Log'!$F:$F,'Weekly Log'!$C:$C,A362)+SUMIFS('Weekly Log'!$G:$G,'Weekly Log'!$C:$C,A362))/(COUNTIFS('Weekly Log'!$C:$C,A362,'Weekly Log'!$F:$F,"&lt;&gt;")+COUNTIFS('Weekly Log'!$C:$C,A362,'Weekly Log'!$G:$G,"&lt;&gt;")),""))</f>
        <v/>
      </c>
      <c r="N362" s="15" t="str">
        <f aca="false">IF(A362="","",IF(K362=0,"",_xlfn.MAXIFS('Weekly Log'!$A:$A,'Weekly Log'!$C:$C,A362,'Weekly Log'!$E:$E,"Yes")))</f>
        <v/>
      </c>
      <c r="O362" s="12" t="str">
        <f aca="true">IF(N362="","",MAX(0,INT((TODAY()-N362)/7)))</f>
        <v/>
      </c>
      <c r="Q362" s="12" t="str">
        <f aca="false">IF(A362="","",IFERROR(LOOKUP(2,1/(('Weekly Log'!$C$4:$C$1003=A362)*('Weekly Log'!$I$4:$I$1003&lt;&gt;"")),'Weekly Log'!$I$4:$I$1003),""))</f>
        <v/>
      </c>
    </row>
    <row r="363" customFormat="false" ht="15" hidden="false" customHeight="false" outlineLevel="0" collapsed="false">
      <c r="H363" s="16"/>
      <c r="J363" s="12" t="str">
        <f aca="false">IF(A363="","",COUNTIF('Weekly Log'!$C:$C,A363))</f>
        <v/>
      </c>
      <c r="K363" s="12" t="str">
        <f aca="false">IF(A363="","",COUNTIFS('Weekly Log'!$C:$C,A363,'Weekly Log'!$E:$E,"Yes"))</f>
        <v/>
      </c>
      <c r="L363" s="13" t="str">
        <f aca="false">IF(A363="","",IF(J363=0,"",K363/J363))</f>
        <v/>
      </c>
      <c r="M363" s="14" t="str">
        <f aca="false">IF(A363="","",IFERROR((SUMIFS('Weekly Log'!$F:$F,'Weekly Log'!$C:$C,A363)+SUMIFS('Weekly Log'!$G:$G,'Weekly Log'!$C:$C,A363))/(COUNTIFS('Weekly Log'!$C:$C,A363,'Weekly Log'!$F:$F,"&lt;&gt;")+COUNTIFS('Weekly Log'!$C:$C,A363,'Weekly Log'!$G:$G,"&lt;&gt;")),""))</f>
        <v/>
      </c>
      <c r="N363" s="15" t="str">
        <f aca="false">IF(A363="","",IF(K363=0,"",_xlfn.MAXIFS('Weekly Log'!$A:$A,'Weekly Log'!$C:$C,A363,'Weekly Log'!$E:$E,"Yes")))</f>
        <v/>
      </c>
      <c r="O363" s="12" t="str">
        <f aca="true">IF(N363="","",MAX(0,INT((TODAY()-N363)/7)))</f>
        <v/>
      </c>
      <c r="Q363" s="12" t="str">
        <f aca="false">IF(A363="","",IFERROR(LOOKUP(2,1/(('Weekly Log'!$C$4:$C$1003=A363)*('Weekly Log'!$I$4:$I$1003&lt;&gt;"")),'Weekly Log'!$I$4:$I$1003),""))</f>
        <v/>
      </c>
    </row>
    <row r="364" customFormat="false" ht="15" hidden="false" customHeight="false" outlineLevel="0" collapsed="false">
      <c r="H364" s="16"/>
      <c r="J364" s="12" t="str">
        <f aca="false">IF(A364="","",COUNTIF('Weekly Log'!$C:$C,A364))</f>
        <v/>
      </c>
      <c r="K364" s="12" t="str">
        <f aca="false">IF(A364="","",COUNTIFS('Weekly Log'!$C:$C,A364,'Weekly Log'!$E:$E,"Yes"))</f>
        <v/>
      </c>
      <c r="L364" s="13" t="str">
        <f aca="false">IF(A364="","",IF(J364=0,"",K364/J364))</f>
        <v/>
      </c>
      <c r="M364" s="14" t="str">
        <f aca="false">IF(A364="","",IFERROR((SUMIFS('Weekly Log'!$F:$F,'Weekly Log'!$C:$C,A364)+SUMIFS('Weekly Log'!$G:$G,'Weekly Log'!$C:$C,A364))/(COUNTIFS('Weekly Log'!$C:$C,A364,'Weekly Log'!$F:$F,"&lt;&gt;")+COUNTIFS('Weekly Log'!$C:$C,A364,'Weekly Log'!$G:$G,"&lt;&gt;")),""))</f>
        <v/>
      </c>
      <c r="N364" s="15" t="str">
        <f aca="false">IF(A364="","",IF(K364=0,"",_xlfn.MAXIFS('Weekly Log'!$A:$A,'Weekly Log'!$C:$C,A364,'Weekly Log'!$E:$E,"Yes")))</f>
        <v/>
      </c>
      <c r="O364" s="12" t="str">
        <f aca="true">IF(N364="","",MAX(0,INT((TODAY()-N364)/7)))</f>
        <v/>
      </c>
      <c r="Q364" s="12" t="str">
        <f aca="false">IF(A364="","",IFERROR(LOOKUP(2,1/(('Weekly Log'!$C$4:$C$1003=A364)*('Weekly Log'!$I$4:$I$1003&lt;&gt;"")),'Weekly Log'!$I$4:$I$1003),""))</f>
        <v/>
      </c>
    </row>
    <row r="365" customFormat="false" ht="15" hidden="false" customHeight="false" outlineLevel="0" collapsed="false">
      <c r="H365" s="16"/>
      <c r="J365" s="12" t="str">
        <f aca="false">IF(A365="","",COUNTIF('Weekly Log'!$C:$C,A365))</f>
        <v/>
      </c>
      <c r="K365" s="12" t="str">
        <f aca="false">IF(A365="","",COUNTIFS('Weekly Log'!$C:$C,A365,'Weekly Log'!$E:$E,"Yes"))</f>
        <v/>
      </c>
      <c r="L365" s="13" t="str">
        <f aca="false">IF(A365="","",IF(J365=0,"",K365/J365))</f>
        <v/>
      </c>
      <c r="M365" s="14" t="str">
        <f aca="false">IF(A365="","",IFERROR((SUMIFS('Weekly Log'!$F:$F,'Weekly Log'!$C:$C,A365)+SUMIFS('Weekly Log'!$G:$G,'Weekly Log'!$C:$C,A365))/(COUNTIFS('Weekly Log'!$C:$C,A365,'Weekly Log'!$F:$F,"&lt;&gt;")+COUNTIFS('Weekly Log'!$C:$C,A365,'Weekly Log'!$G:$G,"&lt;&gt;")),""))</f>
        <v/>
      </c>
      <c r="N365" s="15" t="str">
        <f aca="false">IF(A365="","",IF(K365=0,"",_xlfn.MAXIFS('Weekly Log'!$A:$A,'Weekly Log'!$C:$C,A365,'Weekly Log'!$E:$E,"Yes")))</f>
        <v/>
      </c>
      <c r="O365" s="12" t="str">
        <f aca="true">IF(N365="","",MAX(0,INT((TODAY()-N365)/7)))</f>
        <v/>
      </c>
      <c r="Q365" s="12" t="str">
        <f aca="false">IF(A365="","",IFERROR(LOOKUP(2,1/(('Weekly Log'!$C$4:$C$1003=A365)*('Weekly Log'!$I$4:$I$1003&lt;&gt;"")),'Weekly Log'!$I$4:$I$1003),""))</f>
        <v/>
      </c>
    </row>
    <row r="366" customFormat="false" ht="15" hidden="false" customHeight="false" outlineLevel="0" collapsed="false">
      <c r="H366" s="16"/>
      <c r="J366" s="12" t="str">
        <f aca="false">IF(A366="","",COUNTIF('Weekly Log'!$C:$C,A366))</f>
        <v/>
      </c>
      <c r="K366" s="12" t="str">
        <f aca="false">IF(A366="","",COUNTIFS('Weekly Log'!$C:$C,A366,'Weekly Log'!$E:$E,"Yes"))</f>
        <v/>
      </c>
      <c r="L366" s="13" t="str">
        <f aca="false">IF(A366="","",IF(J366=0,"",K366/J366))</f>
        <v/>
      </c>
      <c r="M366" s="14" t="str">
        <f aca="false">IF(A366="","",IFERROR((SUMIFS('Weekly Log'!$F:$F,'Weekly Log'!$C:$C,A366)+SUMIFS('Weekly Log'!$G:$G,'Weekly Log'!$C:$C,A366))/(COUNTIFS('Weekly Log'!$C:$C,A366,'Weekly Log'!$F:$F,"&lt;&gt;")+COUNTIFS('Weekly Log'!$C:$C,A366,'Weekly Log'!$G:$G,"&lt;&gt;")),""))</f>
        <v/>
      </c>
      <c r="N366" s="15" t="str">
        <f aca="false">IF(A366="","",IF(K366=0,"",_xlfn.MAXIFS('Weekly Log'!$A:$A,'Weekly Log'!$C:$C,A366,'Weekly Log'!$E:$E,"Yes")))</f>
        <v/>
      </c>
      <c r="O366" s="12" t="str">
        <f aca="true">IF(N366="","",MAX(0,INT((TODAY()-N366)/7)))</f>
        <v/>
      </c>
      <c r="Q366" s="12" t="str">
        <f aca="false">IF(A366="","",IFERROR(LOOKUP(2,1/(('Weekly Log'!$C$4:$C$1003=A366)*('Weekly Log'!$I$4:$I$1003&lt;&gt;"")),'Weekly Log'!$I$4:$I$1003),""))</f>
        <v/>
      </c>
    </row>
    <row r="367" customFormat="false" ht="15" hidden="false" customHeight="false" outlineLevel="0" collapsed="false">
      <c r="H367" s="16"/>
      <c r="J367" s="12" t="str">
        <f aca="false">IF(A367="","",COUNTIF('Weekly Log'!$C:$C,A367))</f>
        <v/>
      </c>
      <c r="K367" s="12" t="str">
        <f aca="false">IF(A367="","",COUNTIFS('Weekly Log'!$C:$C,A367,'Weekly Log'!$E:$E,"Yes"))</f>
        <v/>
      </c>
      <c r="L367" s="13" t="str">
        <f aca="false">IF(A367="","",IF(J367=0,"",K367/J367))</f>
        <v/>
      </c>
      <c r="M367" s="14" t="str">
        <f aca="false">IF(A367="","",IFERROR((SUMIFS('Weekly Log'!$F:$F,'Weekly Log'!$C:$C,A367)+SUMIFS('Weekly Log'!$G:$G,'Weekly Log'!$C:$C,A367))/(COUNTIFS('Weekly Log'!$C:$C,A367,'Weekly Log'!$F:$F,"&lt;&gt;")+COUNTIFS('Weekly Log'!$C:$C,A367,'Weekly Log'!$G:$G,"&lt;&gt;")),""))</f>
        <v/>
      </c>
      <c r="N367" s="15" t="str">
        <f aca="false">IF(A367="","",IF(K367=0,"",_xlfn.MAXIFS('Weekly Log'!$A:$A,'Weekly Log'!$C:$C,A367,'Weekly Log'!$E:$E,"Yes")))</f>
        <v/>
      </c>
      <c r="O367" s="12" t="str">
        <f aca="true">IF(N367="","",MAX(0,INT((TODAY()-N367)/7)))</f>
        <v/>
      </c>
      <c r="Q367" s="12" t="str">
        <f aca="false">IF(A367="","",IFERROR(LOOKUP(2,1/(('Weekly Log'!$C$4:$C$1003=A367)*('Weekly Log'!$I$4:$I$1003&lt;&gt;"")),'Weekly Log'!$I$4:$I$1003),""))</f>
        <v/>
      </c>
    </row>
    <row r="368" customFormat="false" ht="15" hidden="false" customHeight="false" outlineLevel="0" collapsed="false">
      <c r="H368" s="16"/>
      <c r="J368" s="12" t="str">
        <f aca="false">IF(A368="","",COUNTIF('Weekly Log'!$C:$C,A368))</f>
        <v/>
      </c>
      <c r="K368" s="12" t="str">
        <f aca="false">IF(A368="","",COUNTIFS('Weekly Log'!$C:$C,A368,'Weekly Log'!$E:$E,"Yes"))</f>
        <v/>
      </c>
      <c r="L368" s="13" t="str">
        <f aca="false">IF(A368="","",IF(J368=0,"",K368/J368))</f>
        <v/>
      </c>
      <c r="M368" s="14" t="str">
        <f aca="false">IF(A368="","",IFERROR((SUMIFS('Weekly Log'!$F:$F,'Weekly Log'!$C:$C,A368)+SUMIFS('Weekly Log'!$G:$G,'Weekly Log'!$C:$C,A368))/(COUNTIFS('Weekly Log'!$C:$C,A368,'Weekly Log'!$F:$F,"&lt;&gt;")+COUNTIFS('Weekly Log'!$C:$C,A368,'Weekly Log'!$G:$G,"&lt;&gt;")),""))</f>
        <v/>
      </c>
      <c r="N368" s="15" t="str">
        <f aca="false">IF(A368="","",IF(K368=0,"",_xlfn.MAXIFS('Weekly Log'!$A:$A,'Weekly Log'!$C:$C,A368,'Weekly Log'!$E:$E,"Yes")))</f>
        <v/>
      </c>
      <c r="O368" s="12" t="str">
        <f aca="true">IF(N368="","",MAX(0,INT((TODAY()-N368)/7)))</f>
        <v/>
      </c>
      <c r="Q368" s="12" t="str">
        <f aca="false">IF(A368="","",IFERROR(LOOKUP(2,1/(('Weekly Log'!$C$4:$C$1003=A368)*('Weekly Log'!$I$4:$I$1003&lt;&gt;"")),'Weekly Log'!$I$4:$I$1003),""))</f>
        <v/>
      </c>
    </row>
    <row r="369" customFormat="false" ht="15" hidden="false" customHeight="false" outlineLevel="0" collapsed="false">
      <c r="H369" s="16"/>
      <c r="J369" s="12" t="str">
        <f aca="false">IF(A369="","",COUNTIF('Weekly Log'!$C:$C,A369))</f>
        <v/>
      </c>
      <c r="K369" s="12" t="str">
        <f aca="false">IF(A369="","",COUNTIFS('Weekly Log'!$C:$C,A369,'Weekly Log'!$E:$E,"Yes"))</f>
        <v/>
      </c>
      <c r="L369" s="13" t="str">
        <f aca="false">IF(A369="","",IF(J369=0,"",K369/J369))</f>
        <v/>
      </c>
      <c r="M369" s="14" t="str">
        <f aca="false">IF(A369="","",IFERROR((SUMIFS('Weekly Log'!$F:$F,'Weekly Log'!$C:$C,A369)+SUMIFS('Weekly Log'!$G:$G,'Weekly Log'!$C:$C,A369))/(COUNTIFS('Weekly Log'!$C:$C,A369,'Weekly Log'!$F:$F,"&lt;&gt;")+COUNTIFS('Weekly Log'!$C:$C,A369,'Weekly Log'!$G:$G,"&lt;&gt;")),""))</f>
        <v/>
      </c>
      <c r="N369" s="15" t="str">
        <f aca="false">IF(A369="","",IF(K369=0,"",_xlfn.MAXIFS('Weekly Log'!$A:$A,'Weekly Log'!$C:$C,A369,'Weekly Log'!$E:$E,"Yes")))</f>
        <v/>
      </c>
      <c r="O369" s="12" t="str">
        <f aca="true">IF(N369="","",MAX(0,INT((TODAY()-N369)/7)))</f>
        <v/>
      </c>
      <c r="Q369" s="12" t="str">
        <f aca="false">IF(A369="","",IFERROR(LOOKUP(2,1/(('Weekly Log'!$C$4:$C$1003=A369)*('Weekly Log'!$I$4:$I$1003&lt;&gt;"")),'Weekly Log'!$I$4:$I$1003),""))</f>
        <v/>
      </c>
    </row>
    <row r="370" customFormat="false" ht="15" hidden="false" customHeight="false" outlineLevel="0" collapsed="false">
      <c r="H370" s="16"/>
      <c r="J370" s="12" t="str">
        <f aca="false">IF(A370="","",COUNTIF('Weekly Log'!$C:$C,A370))</f>
        <v/>
      </c>
      <c r="K370" s="12" t="str">
        <f aca="false">IF(A370="","",COUNTIFS('Weekly Log'!$C:$C,A370,'Weekly Log'!$E:$E,"Yes"))</f>
        <v/>
      </c>
      <c r="L370" s="13" t="str">
        <f aca="false">IF(A370="","",IF(J370=0,"",K370/J370))</f>
        <v/>
      </c>
      <c r="M370" s="14" t="str">
        <f aca="false">IF(A370="","",IFERROR((SUMIFS('Weekly Log'!$F:$F,'Weekly Log'!$C:$C,A370)+SUMIFS('Weekly Log'!$G:$G,'Weekly Log'!$C:$C,A370))/(COUNTIFS('Weekly Log'!$C:$C,A370,'Weekly Log'!$F:$F,"&lt;&gt;")+COUNTIFS('Weekly Log'!$C:$C,A370,'Weekly Log'!$G:$G,"&lt;&gt;")),""))</f>
        <v/>
      </c>
      <c r="N370" s="15" t="str">
        <f aca="false">IF(A370="","",IF(K370=0,"",_xlfn.MAXIFS('Weekly Log'!$A:$A,'Weekly Log'!$C:$C,A370,'Weekly Log'!$E:$E,"Yes")))</f>
        <v/>
      </c>
      <c r="O370" s="12" t="str">
        <f aca="true">IF(N370="","",MAX(0,INT((TODAY()-N370)/7)))</f>
        <v/>
      </c>
      <c r="Q370" s="12" t="str">
        <f aca="false">IF(A370="","",IFERROR(LOOKUP(2,1/(('Weekly Log'!$C$4:$C$1003=A370)*('Weekly Log'!$I$4:$I$1003&lt;&gt;"")),'Weekly Log'!$I$4:$I$1003),""))</f>
        <v/>
      </c>
    </row>
    <row r="371" customFormat="false" ht="15" hidden="false" customHeight="false" outlineLevel="0" collapsed="false">
      <c r="H371" s="16"/>
      <c r="J371" s="12" t="str">
        <f aca="false">IF(A371="","",COUNTIF('Weekly Log'!$C:$C,A371))</f>
        <v/>
      </c>
      <c r="K371" s="12" t="str">
        <f aca="false">IF(A371="","",COUNTIFS('Weekly Log'!$C:$C,A371,'Weekly Log'!$E:$E,"Yes"))</f>
        <v/>
      </c>
      <c r="L371" s="13" t="str">
        <f aca="false">IF(A371="","",IF(J371=0,"",K371/J371))</f>
        <v/>
      </c>
      <c r="M371" s="14" t="str">
        <f aca="false">IF(A371="","",IFERROR((SUMIFS('Weekly Log'!$F:$F,'Weekly Log'!$C:$C,A371)+SUMIFS('Weekly Log'!$G:$G,'Weekly Log'!$C:$C,A371))/(COUNTIFS('Weekly Log'!$C:$C,A371,'Weekly Log'!$F:$F,"&lt;&gt;")+COUNTIFS('Weekly Log'!$C:$C,A371,'Weekly Log'!$G:$G,"&lt;&gt;")),""))</f>
        <v/>
      </c>
      <c r="N371" s="15" t="str">
        <f aca="false">IF(A371="","",IF(K371=0,"",_xlfn.MAXIFS('Weekly Log'!$A:$A,'Weekly Log'!$C:$C,A371,'Weekly Log'!$E:$E,"Yes")))</f>
        <v/>
      </c>
      <c r="O371" s="12" t="str">
        <f aca="true">IF(N371="","",MAX(0,INT((TODAY()-N371)/7)))</f>
        <v/>
      </c>
      <c r="Q371" s="12" t="str">
        <f aca="false">IF(A371="","",IFERROR(LOOKUP(2,1/(('Weekly Log'!$C$4:$C$1003=A371)*('Weekly Log'!$I$4:$I$1003&lt;&gt;"")),'Weekly Log'!$I$4:$I$1003),""))</f>
        <v/>
      </c>
    </row>
    <row r="372" customFormat="false" ht="15" hidden="false" customHeight="false" outlineLevel="0" collapsed="false">
      <c r="H372" s="16"/>
      <c r="J372" s="12" t="str">
        <f aca="false">IF(A372="","",COUNTIF('Weekly Log'!$C:$C,A372))</f>
        <v/>
      </c>
      <c r="K372" s="12" t="str">
        <f aca="false">IF(A372="","",COUNTIFS('Weekly Log'!$C:$C,A372,'Weekly Log'!$E:$E,"Yes"))</f>
        <v/>
      </c>
      <c r="L372" s="13" t="str">
        <f aca="false">IF(A372="","",IF(J372=0,"",K372/J372))</f>
        <v/>
      </c>
      <c r="M372" s="14" t="str">
        <f aca="false">IF(A372="","",IFERROR((SUMIFS('Weekly Log'!$F:$F,'Weekly Log'!$C:$C,A372)+SUMIFS('Weekly Log'!$G:$G,'Weekly Log'!$C:$C,A372))/(COUNTIFS('Weekly Log'!$C:$C,A372,'Weekly Log'!$F:$F,"&lt;&gt;")+COUNTIFS('Weekly Log'!$C:$C,A372,'Weekly Log'!$G:$G,"&lt;&gt;")),""))</f>
        <v/>
      </c>
      <c r="N372" s="15" t="str">
        <f aca="false">IF(A372="","",IF(K372=0,"",_xlfn.MAXIFS('Weekly Log'!$A:$A,'Weekly Log'!$C:$C,A372,'Weekly Log'!$E:$E,"Yes")))</f>
        <v/>
      </c>
      <c r="O372" s="12" t="str">
        <f aca="true">IF(N372="","",MAX(0,INT((TODAY()-N372)/7)))</f>
        <v/>
      </c>
      <c r="Q372" s="12" t="str">
        <f aca="false">IF(A372="","",IFERROR(LOOKUP(2,1/(('Weekly Log'!$C$4:$C$1003=A372)*('Weekly Log'!$I$4:$I$1003&lt;&gt;"")),'Weekly Log'!$I$4:$I$1003),""))</f>
        <v/>
      </c>
    </row>
    <row r="373" customFormat="false" ht="15" hidden="false" customHeight="false" outlineLevel="0" collapsed="false">
      <c r="H373" s="16"/>
      <c r="J373" s="12" t="str">
        <f aca="false">IF(A373="","",COUNTIF('Weekly Log'!$C:$C,A373))</f>
        <v/>
      </c>
      <c r="K373" s="12" t="str">
        <f aca="false">IF(A373="","",COUNTIFS('Weekly Log'!$C:$C,A373,'Weekly Log'!$E:$E,"Yes"))</f>
        <v/>
      </c>
      <c r="L373" s="13" t="str">
        <f aca="false">IF(A373="","",IF(J373=0,"",K373/J373))</f>
        <v/>
      </c>
      <c r="M373" s="14" t="str">
        <f aca="false">IF(A373="","",IFERROR((SUMIFS('Weekly Log'!$F:$F,'Weekly Log'!$C:$C,A373)+SUMIFS('Weekly Log'!$G:$G,'Weekly Log'!$C:$C,A373))/(COUNTIFS('Weekly Log'!$C:$C,A373,'Weekly Log'!$F:$F,"&lt;&gt;")+COUNTIFS('Weekly Log'!$C:$C,A373,'Weekly Log'!$G:$G,"&lt;&gt;")),""))</f>
        <v/>
      </c>
      <c r="N373" s="15" t="str">
        <f aca="false">IF(A373="","",IF(K373=0,"",_xlfn.MAXIFS('Weekly Log'!$A:$A,'Weekly Log'!$C:$C,A373,'Weekly Log'!$E:$E,"Yes")))</f>
        <v/>
      </c>
      <c r="O373" s="12" t="str">
        <f aca="true">IF(N373="","",MAX(0,INT((TODAY()-N373)/7)))</f>
        <v/>
      </c>
      <c r="Q373" s="12" t="str">
        <f aca="false">IF(A373="","",IFERROR(LOOKUP(2,1/(('Weekly Log'!$C$4:$C$1003=A373)*('Weekly Log'!$I$4:$I$1003&lt;&gt;"")),'Weekly Log'!$I$4:$I$1003),""))</f>
        <v/>
      </c>
    </row>
    <row r="374" customFormat="false" ht="15" hidden="false" customHeight="false" outlineLevel="0" collapsed="false">
      <c r="H374" s="16"/>
      <c r="J374" s="12" t="str">
        <f aca="false">IF(A374="","",COUNTIF('Weekly Log'!$C:$C,A374))</f>
        <v/>
      </c>
      <c r="K374" s="12" t="str">
        <f aca="false">IF(A374="","",COUNTIFS('Weekly Log'!$C:$C,A374,'Weekly Log'!$E:$E,"Yes"))</f>
        <v/>
      </c>
      <c r="L374" s="13" t="str">
        <f aca="false">IF(A374="","",IF(J374=0,"",K374/J374))</f>
        <v/>
      </c>
      <c r="M374" s="14" t="str">
        <f aca="false">IF(A374="","",IFERROR((SUMIFS('Weekly Log'!$F:$F,'Weekly Log'!$C:$C,A374)+SUMIFS('Weekly Log'!$G:$G,'Weekly Log'!$C:$C,A374))/(COUNTIFS('Weekly Log'!$C:$C,A374,'Weekly Log'!$F:$F,"&lt;&gt;")+COUNTIFS('Weekly Log'!$C:$C,A374,'Weekly Log'!$G:$G,"&lt;&gt;")),""))</f>
        <v/>
      </c>
      <c r="N374" s="15" t="str">
        <f aca="false">IF(A374="","",IF(K374=0,"",_xlfn.MAXIFS('Weekly Log'!$A:$A,'Weekly Log'!$C:$C,A374,'Weekly Log'!$E:$E,"Yes")))</f>
        <v/>
      </c>
      <c r="O374" s="12" t="str">
        <f aca="true">IF(N374="","",MAX(0,INT((TODAY()-N374)/7)))</f>
        <v/>
      </c>
      <c r="Q374" s="12" t="str">
        <f aca="false">IF(A374="","",IFERROR(LOOKUP(2,1/(('Weekly Log'!$C$4:$C$1003=A374)*('Weekly Log'!$I$4:$I$1003&lt;&gt;"")),'Weekly Log'!$I$4:$I$1003),""))</f>
        <v/>
      </c>
    </row>
    <row r="375" customFormat="false" ht="15" hidden="false" customHeight="false" outlineLevel="0" collapsed="false">
      <c r="H375" s="16"/>
      <c r="J375" s="12" t="str">
        <f aca="false">IF(A375="","",COUNTIF('Weekly Log'!$C:$C,A375))</f>
        <v/>
      </c>
      <c r="K375" s="12" t="str">
        <f aca="false">IF(A375="","",COUNTIFS('Weekly Log'!$C:$C,A375,'Weekly Log'!$E:$E,"Yes"))</f>
        <v/>
      </c>
      <c r="L375" s="13" t="str">
        <f aca="false">IF(A375="","",IF(J375=0,"",K375/J375))</f>
        <v/>
      </c>
      <c r="M375" s="14" t="str">
        <f aca="false">IF(A375="","",IFERROR((SUMIFS('Weekly Log'!$F:$F,'Weekly Log'!$C:$C,A375)+SUMIFS('Weekly Log'!$G:$G,'Weekly Log'!$C:$C,A375))/(COUNTIFS('Weekly Log'!$C:$C,A375,'Weekly Log'!$F:$F,"&lt;&gt;")+COUNTIFS('Weekly Log'!$C:$C,A375,'Weekly Log'!$G:$G,"&lt;&gt;")),""))</f>
        <v/>
      </c>
      <c r="N375" s="15" t="str">
        <f aca="false">IF(A375="","",IF(K375=0,"",_xlfn.MAXIFS('Weekly Log'!$A:$A,'Weekly Log'!$C:$C,A375,'Weekly Log'!$E:$E,"Yes")))</f>
        <v/>
      </c>
      <c r="O375" s="12" t="str">
        <f aca="true">IF(N375="","",MAX(0,INT((TODAY()-N375)/7)))</f>
        <v/>
      </c>
      <c r="Q375" s="12" t="str">
        <f aca="false">IF(A375="","",IFERROR(LOOKUP(2,1/(('Weekly Log'!$C$4:$C$1003=A375)*('Weekly Log'!$I$4:$I$1003&lt;&gt;"")),'Weekly Log'!$I$4:$I$1003),""))</f>
        <v/>
      </c>
    </row>
    <row r="376" customFormat="false" ht="15" hidden="false" customHeight="false" outlineLevel="0" collapsed="false">
      <c r="H376" s="16"/>
      <c r="J376" s="12" t="str">
        <f aca="false">IF(A376="","",COUNTIF('Weekly Log'!$C:$C,A376))</f>
        <v/>
      </c>
      <c r="K376" s="12" t="str">
        <f aca="false">IF(A376="","",COUNTIFS('Weekly Log'!$C:$C,A376,'Weekly Log'!$E:$E,"Yes"))</f>
        <v/>
      </c>
      <c r="L376" s="13" t="str">
        <f aca="false">IF(A376="","",IF(J376=0,"",K376/J376))</f>
        <v/>
      </c>
      <c r="M376" s="14" t="str">
        <f aca="false">IF(A376="","",IFERROR((SUMIFS('Weekly Log'!$F:$F,'Weekly Log'!$C:$C,A376)+SUMIFS('Weekly Log'!$G:$G,'Weekly Log'!$C:$C,A376))/(COUNTIFS('Weekly Log'!$C:$C,A376,'Weekly Log'!$F:$F,"&lt;&gt;")+COUNTIFS('Weekly Log'!$C:$C,A376,'Weekly Log'!$G:$G,"&lt;&gt;")),""))</f>
        <v/>
      </c>
      <c r="N376" s="15" t="str">
        <f aca="false">IF(A376="","",IF(K376=0,"",_xlfn.MAXIFS('Weekly Log'!$A:$A,'Weekly Log'!$C:$C,A376,'Weekly Log'!$E:$E,"Yes")))</f>
        <v/>
      </c>
      <c r="O376" s="12" t="str">
        <f aca="true">IF(N376="","",MAX(0,INT((TODAY()-N376)/7)))</f>
        <v/>
      </c>
      <c r="Q376" s="12" t="str">
        <f aca="false">IF(A376="","",IFERROR(LOOKUP(2,1/(('Weekly Log'!$C$4:$C$1003=A376)*('Weekly Log'!$I$4:$I$1003&lt;&gt;"")),'Weekly Log'!$I$4:$I$1003),""))</f>
        <v/>
      </c>
    </row>
    <row r="377" customFormat="false" ht="15" hidden="false" customHeight="false" outlineLevel="0" collapsed="false">
      <c r="H377" s="16"/>
      <c r="J377" s="12" t="str">
        <f aca="false">IF(A377="","",COUNTIF('Weekly Log'!$C:$C,A377))</f>
        <v/>
      </c>
      <c r="K377" s="12" t="str">
        <f aca="false">IF(A377="","",COUNTIFS('Weekly Log'!$C:$C,A377,'Weekly Log'!$E:$E,"Yes"))</f>
        <v/>
      </c>
      <c r="L377" s="13" t="str">
        <f aca="false">IF(A377="","",IF(J377=0,"",K377/J377))</f>
        <v/>
      </c>
      <c r="M377" s="14" t="str">
        <f aca="false">IF(A377="","",IFERROR((SUMIFS('Weekly Log'!$F:$F,'Weekly Log'!$C:$C,A377)+SUMIFS('Weekly Log'!$G:$G,'Weekly Log'!$C:$C,A377))/(COUNTIFS('Weekly Log'!$C:$C,A377,'Weekly Log'!$F:$F,"&lt;&gt;")+COUNTIFS('Weekly Log'!$C:$C,A377,'Weekly Log'!$G:$G,"&lt;&gt;")),""))</f>
        <v/>
      </c>
      <c r="N377" s="15" t="str">
        <f aca="false">IF(A377="","",IF(K377=0,"",_xlfn.MAXIFS('Weekly Log'!$A:$A,'Weekly Log'!$C:$C,A377,'Weekly Log'!$E:$E,"Yes")))</f>
        <v/>
      </c>
      <c r="O377" s="12" t="str">
        <f aca="true">IF(N377="","",MAX(0,INT((TODAY()-N377)/7)))</f>
        <v/>
      </c>
      <c r="Q377" s="12" t="str">
        <f aca="false">IF(A377="","",IFERROR(LOOKUP(2,1/(('Weekly Log'!$C$4:$C$1003=A377)*('Weekly Log'!$I$4:$I$1003&lt;&gt;"")),'Weekly Log'!$I$4:$I$1003),""))</f>
        <v/>
      </c>
    </row>
    <row r="378" customFormat="false" ht="15" hidden="false" customHeight="false" outlineLevel="0" collapsed="false">
      <c r="H378" s="16"/>
      <c r="J378" s="12" t="str">
        <f aca="false">IF(A378="","",COUNTIF('Weekly Log'!$C:$C,A378))</f>
        <v/>
      </c>
      <c r="K378" s="12" t="str">
        <f aca="false">IF(A378="","",COUNTIFS('Weekly Log'!$C:$C,A378,'Weekly Log'!$E:$E,"Yes"))</f>
        <v/>
      </c>
      <c r="L378" s="13" t="str">
        <f aca="false">IF(A378="","",IF(J378=0,"",K378/J378))</f>
        <v/>
      </c>
      <c r="M378" s="14" t="str">
        <f aca="false">IF(A378="","",IFERROR((SUMIFS('Weekly Log'!$F:$F,'Weekly Log'!$C:$C,A378)+SUMIFS('Weekly Log'!$G:$G,'Weekly Log'!$C:$C,A378))/(COUNTIFS('Weekly Log'!$C:$C,A378,'Weekly Log'!$F:$F,"&lt;&gt;")+COUNTIFS('Weekly Log'!$C:$C,A378,'Weekly Log'!$G:$G,"&lt;&gt;")),""))</f>
        <v/>
      </c>
      <c r="N378" s="15" t="str">
        <f aca="false">IF(A378="","",IF(K378=0,"",_xlfn.MAXIFS('Weekly Log'!$A:$A,'Weekly Log'!$C:$C,A378,'Weekly Log'!$E:$E,"Yes")))</f>
        <v/>
      </c>
      <c r="O378" s="12" t="str">
        <f aca="true">IF(N378="","",MAX(0,INT((TODAY()-N378)/7)))</f>
        <v/>
      </c>
      <c r="Q378" s="12" t="str">
        <f aca="false">IF(A378="","",IFERROR(LOOKUP(2,1/(('Weekly Log'!$C$4:$C$1003=A378)*('Weekly Log'!$I$4:$I$1003&lt;&gt;"")),'Weekly Log'!$I$4:$I$1003),""))</f>
        <v/>
      </c>
    </row>
    <row r="379" customFormat="false" ht="15" hidden="false" customHeight="false" outlineLevel="0" collapsed="false">
      <c r="H379" s="16"/>
      <c r="J379" s="12" t="str">
        <f aca="false">IF(A379="","",COUNTIF('Weekly Log'!$C:$C,A379))</f>
        <v/>
      </c>
      <c r="K379" s="12" t="str">
        <f aca="false">IF(A379="","",COUNTIFS('Weekly Log'!$C:$C,A379,'Weekly Log'!$E:$E,"Yes"))</f>
        <v/>
      </c>
      <c r="L379" s="13" t="str">
        <f aca="false">IF(A379="","",IF(J379=0,"",K379/J379))</f>
        <v/>
      </c>
      <c r="M379" s="14" t="str">
        <f aca="false">IF(A379="","",IFERROR((SUMIFS('Weekly Log'!$F:$F,'Weekly Log'!$C:$C,A379)+SUMIFS('Weekly Log'!$G:$G,'Weekly Log'!$C:$C,A379))/(COUNTIFS('Weekly Log'!$C:$C,A379,'Weekly Log'!$F:$F,"&lt;&gt;")+COUNTIFS('Weekly Log'!$C:$C,A379,'Weekly Log'!$G:$G,"&lt;&gt;")),""))</f>
        <v/>
      </c>
      <c r="N379" s="15" t="str">
        <f aca="false">IF(A379="","",IF(K379=0,"",_xlfn.MAXIFS('Weekly Log'!$A:$A,'Weekly Log'!$C:$C,A379,'Weekly Log'!$E:$E,"Yes")))</f>
        <v/>
      </c>
      <c r="O379" s="12" t="str">
        <f aca="true">IF(N379="","",MAX(0,INT((TODAY()-N379)/7)))</f>
        <v/>
      </c>
      <c r="Q379" s="12" t="str">
        <f aca="false">IF(A379="","",IFERROR(LOOKUP(2,1/(('Weekly Log'!$C$4:$C$1003=A379)*('Weekly Log'!$I$4:$I$1003&lt;&gt;"")),'Weekly Log'!$I$4:$I$1003),""))</f>
        <v/>
      </c>
    </row>
    <row r="380" customFormat="false" ht="15" hidden="false" customHeight="false" outlineLevel="0" collapsed="false">
      <c r="H380" s="16"/>
      <c r="J380" s="12" t="str">
        <f aca="false">IF(A380="","",COUNTIF('Weekly Log'!$C:$C,A380))</f>
        <v/>
      </c>
      <c r="K380" s="12" t="str">
        <f aca="false">IF(A380="","",COUNTIFS('Weekly Log'!$C:$C,A380,'Weekly Log'!$E:$E,"Yes"))</f>
        <v/>
      </c>
      <c r="L380" s="13" t="str">
        <f aca="false">IF(A380="","",IF(J380=0,"",K380/J380))</f>
        <v/>
      </c>
      <c r="M380" s="14" t="str">
        <f aca="false">IF(A380="","",IFERROR((SUMIFS('Weekly Log'!$F:$F,'Weekly Log'!$C:$C,A380)+SUMIFS('Weekly Log'!$G:$G,'Weekly Log'!$C:$C,A380))/(COUNTIFS('Weekly Log'!$C:$C,A380,'Weekly Log'!$F:$F,"&lt;&gt;")+COUNTIFS('Weekly Log'!$C:$C,A380,'Weekly Log'!$G:$G,"&lt;&gt;")),""))</f>
        <v/>
      </c>
      <c r="N380" s="15" t="str">
        <f aca="false">IF(A380="","",IF(K380=0,"",_xlfn.MAXIFS('Weekly Log'!$A:$A,'Weekly Log'!$C:$C,A380,'Weekly Log'!$E:$E,"Yes")))</f>
        <v/>
      </c>
      <c r="O380" s="12" t="str">
        <f aca="true">IF(N380="","",MAX(0,INT((TODAY()-N380)/7)))</f>
        <v/>
      </c>
      <c r="Q380" s="12" t="str">
        <f aca="false">IF(A380="","",IFERROR(LOOKUP(2,1/(('Weekly Log'!$C$4:$C$1003=A380)*('Weekly Log'!$I$4:$I$1003&lt;&gt;"")),'Weekly Log'!$I$4:$I$1003),""))</f>
        <v/>
      </c>
    </row>
    <row r="381" customFormat="false" ht="15" hidden="false" customHeight="false" outlineLevel="0" collapsed="false">
      <c r="H381" s="16"/>
      <c r="J381" s="12" t="str">
        <f aca="false">IF(A381="","",COUNTIF('Weekly Log'!$C:$C,A381))</f>
        <v/>
      </c>
      <c r="K381" s="12" t="str">
        <f aca="false">IF(A381="","",COUNTIFS('Weekly Log'!$C:$C,A381,'Weekly Log'!$E:$E,"Yes"))</f>
        <v/>
      </c>
      <c r="L381" s="13" t="str">
        <f aca="false">IF(A381="","",IF(J381=0,"",K381/J381))</f>
        <v/>
      </c>
      <c r="M381" s="14" t="str">
        <f aca="false">IF(A381="","",IFERROR((SUMIFS('Weekly Log'!$F:$F,'Weekly Log'!$C:$C,A381)+SUMIFS('Weekly Log'!$G:$G,'Weekly Log'!$C:$C,A381))/(COUNTIFS('Weekly Log'!$C:$C,A381,'Weekly Log'!$F:$F,"&lt;&gt;")+COUNTIFS('Weekly Log'!$C:$C,A381,'Weekly Log'!$G:$G,"&lt;&gt;")),""))</f>
        <v/>
      </c>
      <c r="N381" s="15" t="str">
        <f aca="false">IF(A381="","",IF(K381=0,"",_xlfn.MAXIFS('Weekly Log'!$A:$A,'Weekly Log'!$C:$C,A381,'Weekly Log'!$E:$E,"Yes")))</f>
        <v/>
      </c>
      <c r="O381" s="12" t="str">
        <f aca="true">IF(N381="","",MAX(0,INT((TODAY()-N381)/7)))</f>
        <v/>
      </c>
      <c r="Q381" s="12" t="str">
        <f aca="false">IF(A381="","",IFERROR(LOOKUP(2,1/(('Weekly Log'!$C$4:$C$1003=A381)*('Weekly Log'!$I$4:$I$1003&lt;&gt;"")),'Weekly Log'!$I$4:$I$1003),""))</f>
        <v/>
      </c>
    </row>
    <row r="382" customFormat="false" ht="15" hidden="false" customHeight="false" outlineLevel="0" collapsed="false">
      <c r="H382" s="16"/>
      <c r="J382" s="12" t="str">
        <f aca="false">IF(A382="","",COUNTIF('Weekly Log'!$C:$C,A382))</f>
        <v/>
      </c>
      <c r="K382" s="12" t="str">
        <f aca="false">IF(A382="","",COUNTIFS('Weekly Log'!$C:$C,A382,'Weekly Log'!$E:$E,"Yes"))</f>
        <v/>
      </c>
      <c r="L382" s="13" t="str">
        <f aca="false">IF(A382="","",IF(J382=0,"",K382/J382))</f>
        <v/>
      </c>
      <c r="M382" s="14" t="str">
        <f aca="false">IF(A382="","",IFERROR((SUMIFS('Weekly Log'!$F:$F,'Weekly Log'!$C:$C,A382)+SUMIFS('Weekly Log'!$G:$G,'Weekly Log'!$C:$C,A382))/(COUNTIFS('Weekly Log'!$C:$C,A382,'Weekly Log'!$F:$F,"&lt;&gt;")+COUNTIFS('Weekly Log'!$C:$C,A382,'Weekly Log'!$G:$G,"&lt;&gt;")),""))</f>
        <v/>
      </c>
      <c r="N382" s="15" t="str">
        <f aca="false">IF(A382="","",IF(K382=0,"",_xlfn.MAXIFS('Weekly Log'!$A:$A,'Weekly Log'!$C:$C,A382,'Weekly Log'!$E:$E,"Yes")))</f>
        <v/>
      </c>
      <c r="O382" s="12" t="str">
        <f aca="true">IF(N382="","",MAX(0,INT((TODAY()-N382)/7)))</f>
        <v/>
      </c>
      <c r="Q382" s="12" t="str">
        <f aca="false">IF(A382="","",IFERROR(LOOKUP(2,1/(('Weekly Log'!$C$4:$C$1003=A382)*('Weekly Log'!$I$4:$I$1003&lt;&gt;"")),'Weekly Log'!$I$4:$I$1003),""))</f>
        <v/>
      </c>
    </row>
    <row r="383" customFormat="false" ht="15" hidden="false" customHeight="false" outlineLevel="0" collapsed="false">
      <c r="H383" s="16"/>
      <c r="J383" s="12" t="str">
        <f aca="false">IF(A383="","",COUNTIF('Weekly Log'!$C:$C,A383))</f>
        <v/>
      </c>
      <c r="K383" s="12" t="str">
        <f aca="false">IF(A383="","",COUNTIFS('Weekly Log'!$C:$C,A383,'Weekly Log'!$E:$E,"Yes"))</f>
        <v/>
      </c>
      <c r="L383" s="13" t="str">
        <f aca="false">IF(A383="","",IF(J383=0,"",K383/J383))</f>
        <v/>
      </c>
      <c r="M383" s="14" t="str">
        <f aca="false">IF(A383="","",IFERROR((SUMIFS('Weekly Log'!$F:$F,'Weekly Log'!$C:$C,A383)+SUMIFS('Weekly Log'!$G:$G,'Weekly Log'!$C:$C,A383))/(COUNTIFS('Weekly Log'!$C:$C,A383,'Weekly Log'!$F:$F,"&lt;&gt;")+COUNTIFS('Weekly Log'!$C:$C,A383,'Weekly Log'!$G:$G,"&lt;&gt;")),""))</f>
        <v/>
      </c>
      <c r="N383" s="15" t="str">
        <f aca="false">IF(A383="","",IF(K383=0,"",_xlfn.MAXIFS('Weekly Log'!$A:$A,'Weekly Log'!$C:$C,A383,'Weekly Log'!$E:$E,"Yes")))</f>
        <v/>
      </c>
      <c r="O383" s="12" t="str">
        <f aca="true">IF(N383="","",MAX(0,INT((TODAY()-N383)/7)))</f>
        <v/>
      </c>
      <c r="Q383" s="12" t="str">
        <f aca="false">IF(A383="","",IFERROR(LOOKUP(2,1/(('Weekly Log'!$C$4:$C$1003=A383)*('Weekly Log'!$I$4:$I$1003&lt;&gt;"")),'Weekly Log'!$I$4:$I$1003),""))</f>
        <v/>
      </c>
    </row>
    <row r="384" customFormat="false" ht="15" hidden="false" customHeight="false" outlineLevel="0" collapsed="false">
      <c r="H384" s="16"/>
      <c r="J384" s="12" t="str">
        <f aca="false">IF(A384="","",COUNTIF('Weekly Log'!$C:$C,A384))</f>
        <v/>
      </c>
      <c r="K384" s="12" t="str">
        <f aca="false">IF(A384="","",COUNTIFS('Weekly Log'!$C:$C,A384,'Weekly Log'!$E:$E,"Yes"))</f>
        <v/>
      </c>
      <c r="L384" s="13" t="str">
        <f aca="false">IF(A384="","",IF(J384=0,"",K384/J384))</f>
        <v/>
      </c>
      <c r="M384" s="14" t="str">
        <f aca="false">IF(A384="","",IFERROR((SUMIFS('Weekly Log'!$F:$F,'Weekly Log'!$C:$C,A384)+SUMIFS('Weekly Log'!$G:$G,'Weekly Log'!$C:$C,A384))/(COUNTIFS('Weekly Log'!$C:$C,A384,'Weekly Log'!$F:$F,"&lt;&gt;")+COUNTIFS('Weekly Log'!$C:$C,A384,'Weekly Log'!$G:$G,"&lt;&gt;")),""))</f>
        <v/>
      </c>
      <c r="N384" s="15" t="str">
        <f aca="false">IF(A384="","",IF(K384=0,"",_xlfn.MAXIFS('Weekly Log'!$A:$A,'Weekly Log'!$C:$C,A384,'Weekly Log'!$E:$E,"Yes")))</f>
        <v/>
      </c>
      <c r="O384" s="12" t="str">
        <f aca="true">IF(N384="","",MAX(0,INT((TODAY()-N384)/7)))</f>
        <v/>
      </c>
      <c r="Q384" s="12" t="str">
        <f aca="false">IF(A384="","",IFERROR(LOOKUP(2,1/(('Weekly Log'!$C$4:$C$1003=A384)*('Weekly Log'!$I$4:$I$1003&lt;&gt;"")),'Weekly Log'!$I$4:$I$1003),""))</f>
        <v/>
      </c>
    </row>
    <row r="385" customFormat="false" ht="15" hidden="false" customHeight="false" outlineLevel="0" collapsed="false">
      <c r="H385" s="16"/>
      <c r="J385" s="12" t="str">
        <f aca="false">IF(A385="","",COUNTIF('Weekly Log'!$C:$C,A385))</f>
        <v/>
      </c>
      <c r="K385" s="12" t="str">
        <f aca="false">IF(A385="","",COUNTIFS('Weekly Log'!$C:$C,A385,'Weekly Log'!$E:$E,"Yes"))</f>
        <v/>
      </c>
      <c r="L385" s="13" t="str">
        <f aca="false">IF(A385="","",IF(J385=0,"",K385/J385))</f>
        <v/>
      </c>
      <c r="M385" s="14" t="str">
        <f aca="false">IF(A385="","",IFERROR((SUMIFS('Weekly Log'!$F:$F,'Weekly Log'!$C:$C,A385)+SUMIFS('Weekly Log'!$G:$G,'Weekly Log'!$C:$C,A385))/(COUNTIFS('Weekly Log'!$C:$C,A385,'Weekly Log'!$F:$F,"&lt;&gt;")+COUNTIFS('Weekly Log'!$C:$C,A385,'Weekly Log'!$G:$G,"&lt;&gt;")),""))</f>
        <v/>
      </c>
      <c r="N385" s="15" t="str">
        <f aca="false">IF(A385="","",IF(K385=0,"",_xlfn.MAXIFS('Weekly Log'!$A:$A,'Weekly Log'!$C:$C,A385,'Weekly Log'!$E:$E,"Yes")))</f>
        <v/>
      </c>
      <c r="O385" s="12" t="str">
        <f aca="true">IF(N385="","",MAX(0,INT((TODAY()-N385)/7)))</f>
        <v/>
      </c>
      <c r="Q385" s="12" t="str">
        <f aca="false">IF(A385="","",IFERROR(LOOKUP(2,1/(('Weekly Log'!$C$4:$C$1003=A385)*('Weekly Log'!$I$4:$I$1003&lt;&gt;"")),'Weekly Log'!$I$4:$I$1003),""))</f>
        <v/>
      </c>
    </row>
    <row r="386" customFormat="false" ht="15" hidden="false" customHeight="false" outlineLevel="0" collapsed="false">
      <c r="H386" s="16"/>
      <c r="J386" s="12" t="str">
        <f aca="false">IF(A386="","",COUNTIF('Weekly Log'!$C:$C,A386))</f>
        <v/>
      </c>
      <c r="K386" s="12" t="str">
        <f aca="false">IF(A386="","",COUNTIFS('Weekly Log'!$C:$C,A386,'Weekly Log'!$E:$E,"Yes"))</f>
        <v/>
      </c>
      <c r="L386" s="13" t="str">
        <f aca="false">IF(A386="","",IF(J386=0,"",K386/J386))</f>
        <v/>
      </c>
      <c r="M386" s="14" t="str">
        <f aca="false">IF(A386="","",IFERROR((SUMIFS('Weekly Log'!$F:$F,'Weekly Log'!$C:$C,A386)+SUMIFS('Weekly Log'!$G:$G,'Weekly Log'!$C:$C,A386))/(COUNTIFS('Weekly Log'!$C:$C,A386,'Weekly Log'!$F:$F,"&lt;&gt;")+COUNTIFS('Weekly Log'!$C:$C,A386,'Weekly Log'!$G:$G,"&lt;&gt;")),""))</f>
        <v/>
      </c>
      <c r="N386" s="15" t="str">
        <f aca="false">IF(A386="","",IF(K386=0,"",_xlfn.MAXIFS('Weekly Log'!$A:$A,'Weekly Log'!$C:$C,A386,'Weekly Log'!$E:$E,"Yes")))</f>
        <v/>
      </c>
      <c r="O386" s="12" t="str">
        <f aca="true">IF(N386="","",MAX(0,INT((TODAY()-N386)/7)))</f>
        <v/>
      </c>
      <c r="Q386" s="12" t="str">
        <f aca="false">IF(A386="","",IFERROR(LOOKUP(2,1/(('Weekly Log'!$C$4:$C$1003=A386)*('Weekly Log'!$I$4:$I$1003&lt;&gt;"")),'Weekly Log'!$I$4:$I$1003),""))</f>
        <v/>
      </c>
    </row>
    <row r="387" customFormat="false" ht="15" hidden="false" customHeight="false" outlineLevel="0" collapsed="false">
      <c r="H387" s="16"/>
      <c r="J387" s="12" t="str">
        <f aca="false">IF(A387="","",COUNTIF('Weekly Log'!$C:$C,A387))</f>
        <v/>
      </c>
      <c r="K387" s="12" t="str">
        <f aca="false">IF(A387="","",COUNTIFS('Weekly Log'!$C:$C,A387,'Weekly Log'!$E:$E,"Yes"))</f>
        <v/>
      </c>
      <c r="L387" s="13" t="str">
        <f aca="false">IF(A387="","",IF(J387=0,"",K387/J387))</f>
        <v/>
      </c>
      <c r="M387" s="14" t="str">
        <f aca="false">IF(A387="","",IFERROR((SUMIFS('Weekly Log'!$F:$F,'Weekly Log'!$C:$C,A387)+SUMIFS('Weekly Log'!$G:$G,'Weekly Log'!$C:$C,A387))/(COUNTIFS('Weekly Log'!$C:$C,A387,'Weekly Log'!$F:$F,"&lt;&gt;")+COUNTIFS('Weekly Log'!$C:$C,A387,'Weekly Log'!$G:$G,"&lt;&gt;")),""))</f>
        <v/>
      </c>
      <c r="N387" s="15" t="str">
        <f aca="false">IF(A387="","",IF(K387=0,"",_xlfn.MAXIFS('Weekly Log'!$A:$A,'Weekly Log'!$C:$C,A387,'Weekly Log'!$E:$E,"Yes")))</f>
        <v/>
      </c>
      <c r="O387" s="12" t="str">
        <f aca="true">IF(N387="","",MAX(0,INT((TODAY()-N387)/7)))</f>
        <v/>
      </c>
      <c r="Q387" s="12" t="str">
        <f aca="false">IF(A387="","",IFERROR(LOOKUP(2,1/(('Weekly Log'!$C$4:$C$1003=A387)*('Weekly Log'!$I$4:$I$1003&lt;&gt;"")),'Weekly Log'!$I$4:$I$1003),""))</f>
        <v/>
      </c>
    </row>
    <row r="388" customFormat="false" ht="15" hidden="false" customHeight="false" outlineLevel="0" collapsed="false">
      <c r="H388" s="16"/>
      <c r="J388" s="12" t="str">
        <f aca="false">IF(A388="","",COUNTIF('Weekly Log'!$C:$C,A388))</f>
        <v/>
      </c>
      <c r="K388" s="12" t="str">
        <f aca="false">IF(A388="","",COUNTIFS('Weekly Log'!$C:$C,A388,'Weekly Log'!$E:$E,"Yes"))</f>
        <v/>
      </c>
      <c r="L388" s="13" t="str">
        <f aca="false">IF(A388="","",IF(J388=0,"",K388/J388))</f>
        <v/>
      </c>
      <c r="M388" s="14" t="str">
        <f aca="false">IF(A388="","",IFERROR((SUMIFS('Weekly Log'!$F:$F,'Weekly Log'!$C:$C,A388)+SUMIFS('Weekly Log'!$G:$G,'Weekly Log'!$C:$C,A388))/(COUNTIFS('Weekly Log'!$C:$C,A388,'Weekly Log'!$F:$F,"&lt;&gt;")+COUNTIFS('Weekly Log'!$C:$C,A388,'Weekly Log'!$G:$G,"&lt;&gt;")),""))</f>
        <v/>
      </c>
      <c r="N388" s="15" t="str">
        <f aca="false">IF(A388="","",IF(K388=0,"",_xlfn.MAXIFS('Weekly Log'!$A:$A,'Weekly Log'!$C:$C,A388,'Weekly Log'!$E:$E,"Yes")))</f>
        <v/>
      </c>
      <c r="O388" s="12" t="str">
        <f aca="true">IF(N388="","",MAX(0,INT((TODAY()-N388)/7)))</f>
        <v/>
      </c>
      <c r="Q388" s="12" t="str">
        <f aca="false">IF(A388="","",IFERROR(LOOKUP(2,1/(('Weekly Log'!$C$4:$C$1003=A388)*('Weekly Log'!$I$4:$I$1003&lt;&gt;"")),'Weekly Log'!$I$4:$I$1003),""))</f>
        <v/>
      </c>
    </row>
    <row r="389" customFormat="false" ht="15" hidden="false" customHeight="false" outlineLevel="0" collapsed="false">
      <c r="H389" s="16"/>
      <c r="J389" s="12" t="str">
        <f aca="false">IF(A389="","",COUNTIF('Weekly Log'!$C:$C,A389))</f>
        <v/>
      </c>
      <c r="K389" s="12" t="str">
        <f aca="false">IF(A389="","",COUNTIFS('Weekly Log'!$C:$C,A389,'Weekly Log'!$E:$E,"Yes"))</f>
        <v/>
      </c>
      <c r="L389" s="13" t="str">
        <f aca="false">IF(A389="","",IF(J389=0,"",K389/J389))</f>
        <v/>
      </c>
      <c r="M389" s="14" t="str">
        <f aca="false">IF(A389="","",IFERROR((SUMIFS('Weekly Log'!$F:$F,'Weekly Log'!$C:$C,A389)+SUMIFS('Weekly Log'!$G:$G,'Weekly Log'!$C:$C,A389))/(COUNTIFS('Weekly Log'!$C:$C,A389,'Weekly Log'!$F:$F,"&lt;&gt;")+COUNTIFS('Weekly Log'!$C:$C,A389,'Weekly Log'!$G:$G,"&lt;&gt;")),""))</f>
        <v/>
      </c>
      <c r="N389" s="15" t="str">
        <f aca="false">IF(A389="","",IF(K389=0,"",_xlfn.MAXIFS('Weekly Log'!$A:$A,'Weekly Log'!$C:$C,A389,'Weekly Log'!$E:$E,"Yes")))</f>
        <v/>
      </c>
      <c r="O389" s="12" t="str">
        <f aca="true">IF(N389="","",MAX(0,INT((TODAY()-N389)/7)))</f>
        <v/>
      </c>
      <c r="Q389" s="12" t="str">
        <f aca="false">IF(A389="","",IFERROR(LOOKUP(2,1/(('Weekly Log'!$C$4:$C$1003=A389)*('Weekly Log'!$I$4:$I$1003&lt;&gt;"")),'Weekly Log'!$I$4:$I$1003),""))</f>
        <v/>
      </c>
    </row>
    <row r="390" customFormat="false" ht="15" hidden="false" customHeight="false" outlineLevel="0" collapsed="false">
      <c r="H390" s="16"/>
      <c r="J390" s="12" t="str">
        <f aca="false">IF(A390="","",COUNTIF('Weekly Log'!$C:$C,A390))</f>
        <v/>
      </c>
      <c r="K390" s="12" t="str">
        <f aca="false">IF(A390="","",COUNTIFS('Weekly Log'!$C:$C,A390,'Weekly Log'!$E:$E,"Yes"))</f>
        <v/>
      </c>
      <c r="L390" s="13" t="str">
        <f aca="false">IF(A390="","",IF(J390=0,"",K390/J390))</f>
        <v/>
      </c>
      <c r="M390" s="14" t="str">
        <f aca="false">IF(A390="","",IFERROR((SUMIFS('Weekly Log'!$F:$F,'Weekly Log'!$C:$C,A390)+SUMIFS('Weekly Log'!$G:$G,'Weekly Log'!$C:$C,A390))/(COUNTIFS('Weekly Log'!$C:$C,A390,'Weekly Log'!$F:$F,"&lt;&gt;")+COUNTIFS('Weekly Log'!$C:$C,A390,'Weekly Log'!$G:$G,"&lt;&gt;")),""))</f>
        <v/>
      </c>
      <c r="N390" s="15" t="str">
        <f aca="false">IF(A390="","",IF(K390=0,"",_xlfn.MAXIFS('Weekly Log'!$A:$A,'Weekly Log'!$C:$C,A390,'Weekly Log'!$E:$E,"Yes")))</f>
        <v/>
      </c>
      <c r="O390" s="12" t="str">
        <f aca="true">IF(N390="","",MAX(0,INT((TODAY()-N390)/7)))</f>
        <v/>
      </c>
      <c r="Q390" s="12" t="str">
        <f aca="false">IF(A390="","",IFERROR(LOOKUP(2,1/(('Weekly Log'!$C$4:$C$1003=A390)*('Weekly Log'!$I$4:$I$1003&lt;&gt;"")),'Weekly Log'!$I$4:$I$1003),""))</f>
        <v/>
      </c>
    </row>
    <row r="391" customFormat="false" ht="15" hidden="false" customHeight="false" outlineLevel="0" collapsed="false">
      <c r="H391" s="16"/>
      <c r="J391" s="12" t="str">
        <f aca="false">IF(A391="","",COUNTIF('Weekly Log'!$C:$C,A391))</f>
        <v/>
      </c>
      <c r="K391" s="12" t="str">
        <f aca="false">IF(A391="","",COUNTIFS('Weekly Log'!$C:$C,A391,'Weekly Log'!$E:$E,"Yes"))</f>
        <v/>
      </c>
      <c r="L391" s="13" t="str">
        <f aca="false">IF(A391="","",IF(J391=0,"",K391/J391))</f>
        <v/>
      </c>
      <c r="M391" s="14" t="str">
        <f aca="false">IF(A391="","",IFERROR((SUMIFS('Weekly Log'!$F:$F,'Weekly Log'!$C:$C,A391)+SUMIFS('Weekly Log'!$G:$G,'Weekly Log'!$C:$C,A391))/(COUNTIFS('Weekly Log'!$C:$C,A391,'Weekly Log'!$F:$F,"&lt;&gt;")+COUNTIFS('Weekly Log'!$C:$C,A391,'Weekly Log'!$G:$G,"&lt;&gt;")),""))</f>
        <v/>
      </c>
      <c r="N391" s="15" t="str">
        <f aca="false">IF(A391="","",IF(K391=0,"",_xlfn.MAXIFS('Weekly Log'!$A:$A,'Weekly Log'!$C:$C,A391,'Weekly Log'!$E:$E,"Yes")))</f>
        <v/>
      </c>
      <c r="O391" s="12" t="str">
        <f aca="true">IF(N391="","",MAX(0,INT((TODAY()-N391)/7)))</f>
        <v/>
      </c>
      <c r="Q391" s="12" t="str">
        <f aca="false">IF(A391="","",IFERROR(LOOKUP(2,1/(('Weekly Log'!$C$4:$C$1003=A391)*('Weekly Log'!$I$4:$I$1003&lt;&gt;"")),'Weekly Log'!$I$4:$I$1003),""))</f>
        <v/>
      </c>
    </row>
    <row r="392" customFormat="false" ht="15" hidden="false" customHeight="false" outlineLevel="0" collapsed="false">
      <c r="H392" s="16"/>
      <c r="J392" s="12" t="str">
        <f aca="false">IF(A392="","",COUNTIF('Weekly Log'!$C:$C,A392))</f>
        <v/>
      </c>
      <c r="K392" s="12" t="str">
        <f aca="false">IF(A392="","",COUNTIFS('Weekly Log'!$C:$C,A392,'Weekly Log'!$E:$E,"Yes"))</f>
        <v/>
      </c>
      <c r="L392" s="13" t="str">
        <f aca="false">IF(A392="","",IF(J392=0,"",K392/J392))</f>
        <v/>
      </c>
      <c r="M392" s="14" t="str">
        <f aca="false">IF(A392="","",IFERROR((SUMIFS('Weekly Log'!$F:$F,'Weekly Log'!$C:$C,A392)+SUMIFS('Weekly Log'!$G:$G,'Weekly Log'!$C:$C,A392))/(COUNTIFS('Weekly Log'!$C:$C,A392,'Weekly Log'!$F:$F,"&lt;&gt;")+COUNTIFS('Weekly Log'!$C:$C,A392,'Weekly Log'!$G:$G,"&lt;&gt;")),""))</f>
        <v/>
      </c>
      <c r="N392" s="15" t="str">
        <f aca="false">IF(A392="","",IF(K392=0,"",_xlfn.MAXIFS('Weekly Log'!$A:$A,'Weekly Log'!$C:$C,A392,'Weekly Log'!$E:$E,"Yes")))</f>
        <v/>
      </c>
      <c r="O392" s="12" t="str">
        <f aca="true">IF(N392="","",MAX(0,INT((TODAY()-N392)/7)))</f>
        <v/>
      </c>
      <c r="Q392" s="12" t="str">
        <f aca="false">IF(A392="","",IFERROR(LOOKUP(2,1/(('Weekly Log'!$C$4:$C$1003=A392)*('Weekly Log'!$I$4:$I$1003&lt;&gt;"")),'Weekly Log'!$I$4:$I$1003),""))</f>
        <v/>
      </c>
    </row>
    <row r="393" customFormat="false" ht="15" hidden="false" customHeight="false" outlineLevel="0" collapsed="false">
      <c r="H393" s="16"/>
      <c r="J393" s="12" t="str">
        <f aca="false">IF(A393="","",COUNTIF('Weekly Log'!$C:$C,A393))</f>
        <v/>
      </c>
      <c r="K393" s="12" t="str">
        <f aca="false">IF(A393="","",COUNTIFS('Weekly Log'!$C:$C,A393,'Weekly Log'!$E:$E,"Yes"))</f>
        <v/>
      </c>
      <c r="L393" s="13" t="str">
        <f aca="false">IF(A393="","",IF(J393=0,"",K393/J393))</f>
        <v/>
      </c>
      <c r="M393" s="14" t="str">
        <f aca="false">IF(A393="","",IFERROR((SUMIFS('Weekly Log'!$F:$F,'Weekly Log'!$C:$C,A393)+SUMIFS('Weekly Log'!$G:$G,'Weekly Log'!$C:$C,A393))/(COUNTIFS('Weekly Log'!$C:$C,A393,'Weekly Log'!$F:$F,"&lt;&gt;")+COUNTIFS('Weekly Log'!$C:$C,A393,'Weekly Log'!$G:$G,"&lt;&gt;")),""))</f>
        <v/>
      </c>
      <c r="N393" s="15" t="str">
        <f aca="false">IF(A393="","",IF(K393=0,"",_xlfn.MAXIFS('Weekly Log'!$A:$A,'Weekly Log'!$C:$C,A393,'Weekly Log'!$E:$E,"Yes")))</f>
        <v/>
      </c>
      <c r="O393" s="12" t="str">
        <f aca="true">IF(N393="","",MAX(0,INT((TODAY()-N393)/7)))</f>
        <v/>
      </c>
      <c r="Q393" s="12" t="str">
        <f aca="false">IF(A393="","",IFERROR(LOOKUP(2,1/(('Weekly Log'!$C$4:$C$1003=A393)*('Weekly Log'!$I$4:$I$1003&lt;&gt;"")),'Weekly Log'!$I$4:$I$1003),""))</f>
        <v/>
      </c>
    </row>
    <row r="394" customFormat="false" ht="15" hidden="false" customHeight="false" outlineLevel="0" collapsed="false">
      <c r="H394" s="16"/>
      <c r="J394" s="12" t="str">
        <f aca="false">IF(A394="","",COUNTIF('Weekly Log'!$C:$C,A394))</f>
        <v/>
      </c>
      <c r="K394" s="12" t="str">
        <f aca="false">IF(A394="","",COUNTIFS('Weekly Log'!$C:$C,A394,'Weekly Log'!$E:$E,"Yes"))</f>
        <v/>
      </c>
      <c r="L394" s="13" t="str">
        <f aca="false">IF(A394="","",IF(J394=0,"",K394/J394))</f>
        <v/>
      </c>
      <c r="M394" s="14" t="str">
        <f aca="false">IF(A394="","",IFERROR((SUMIFS('Weekly Log'!$F:$F,'Weekly Log'!$C:$C,A394)+SUMIFS('Weekly Log'!$G:$G,'Weekly Log'!$C:$C,A394))/(COUNTIFS('Weekly Log'!$C:$C,A394,'Weekly Log'!$F:$F,"&lt;&gt;")+COUNTIFS('Weekly Log'!$C:$C,A394,'Weekly Log'!$G:$G,"&lt;&gt;")),""))</f>
        <v/>
      </c>
      <c r="N394" s="15" t="str">
        <f aca="false">IF(A394="","",IF(K394=0,"",_xlfn.MAXIFS('Weekly Log'!$A:$A,'Weekly Log'!$C:$C,A394,'Weekly Log'!$E:$E,"Yes")))</f>
        <v/>
      </c>
      <c r="O394" s="12" t="str">
        <f aca="true">IF(N394="","",MAX(0,INT((TODAY()-N394)/7)))</f>
        <v/>
      </c>
      <c r="Q394" s="12" t="str">
        <f aca="false">IF(A394="","",IFERROR(LOOKUP(2,1/(('Weekly Log'!$C$4:$C$1003=A394)*('Weekly Log'!$I$4:$I$1003&lt;&gt;"")),'Weekly Log'!$I$4:$I$1003),""))</f>
        <v/>
      </c>
    </row>
    <row r="395" customFormat="false" ht="15" hidden="false" customHeight="false" outlineLevel="0" collapsed="false">
      <c r="H395" s="16"/>
      <c r="J395" s="12" t="str">
        <f aca="false">IF(A395="","",COUNTIF('Weekly Log'!$C:$C,A395))</f>
        <v/>
      </c>
      <c r="K395" s="12" t="str">
        <f aca="false">IF(A395="","",COUNTIFS('Weekly Log'!$C:$C,A395,'Weekly Log'!$E:$E,"Yes"))</f>
        <v/>
      </c>
      <c r="L395" s="13" t="str">
        <f aca="false">IF(A395="","",IF(J395=0,"",K395/J395))</f>
        <v/>
      </c>
      <c r="M395" s="14" t="str">
        <f aca="false">IF(A395="","",IFERROR((SUMIFS('Weekly Log'!$F:$F,'Weekly Log'!$C:$C,A395)+SUMIFS('Weekly Log'!$G:$G,'Weekly Log'!$C:$C,A395))/(COUNTIFS('Weekly Log'!$C:$C,A395,'Weekly Log'!$F:$F,"&lt;&gt;")+COUNTIFS('Weekly Log'!$C:$C,A395,'Weekly Log'!$G:$G,"&lt;&gt;")),""))</f>
        <v/>
      </c>
      <c r="N395" s="15" t="str">
        <f aca="false">IF(A395="","",IF(K395=0,"",_xlfn.MAXIFS('Weekly Log'!$A:$A,'Weekly Log'!$C:$C,A395,'Weekly Log'!$E:$E,"Yes")))</f>
        <v/>
      </c>
      <c r="O395" s="12" t="str">
        <f aca="true">IF(N395="","",MAX(0,INT((TODAY()-N395)/7)))</f>
        <v/>
      </c>
      <c r="Q395" s="12" t="str">
        <f aca="false">IF(A395="","",IFERROR(LOOKUP(2,1/(('Weekly Log'!$C$4:$C$1003=A395)*('Weekly Log'!$I$4:$I$1003&lt;&gt;"")),'Weekly Log'!$I$4:$I$1003),""))</f>
        <v/>
      </c>
    </row>
    <row r="396" customFormat="false" ht="15" hidden="false" customHeight="false" outlineLevel="0" collapsed="false">
      <c r="H396" s="16"/>
      <c r="J396" s="12" t="str">
        <f aca="false">IF(A396="","",COUNTIF('Weekly Log'!$C:$C,A396))</f>
        <v/>
      </c>
      <c r="K396" s="12" t="str">
        <f aca="false">IF(A396="","",COUNTIFS('Weekly Log'!$C:$C,A396,'Weekly Log'!$E:$E,"Yes"))</f>
        <v/>
      </c>
      <c r="L396" s="13" t="str">
        <f aca="false">IF(A396="","",IF(J396=0,"",K396/J396))</f>
        <v/>
      </c>
      <c r="M396" s="14" t="str">
        <f aca="false">IF(A396="","",IFERROR((SUMIFS('Weekly Log'!$F:$F,'Weekly Log'!$C:$C,A396)+SUMIFS('Weekly Log'!$G:$G,'Weekly Log'!$C:$C,A396))/(COUNTIFS('Weekly Log'!$C:$C,A396,'Weekly Log'!$F:$F,"&lt;&gt;")+COUNTIFS('Weekly Log'!$C:$C,A396,'Weekly Log'!$G:$G,"&lt;&gt;")),""))</f>
        <v/>
      </c>
      <c r="N396" s="15" t="str">
        <f aca="false">IF(A396="","",IF(K396=0,"",_xlfn.MAXIFS('Weekly Log'!$A:$A,'Weekly Log'!$C:$C,A396,'Weekly Log'!$E:$E,"Yes")))</f>
        <v/>
      </c>
      <c r="O396" s="12" t="str">
        <f aca="true">IF(N396="","",MAX(0,INT((TODAY()-N396)/7)))</f>
        <v/>
      </c>
      <c r="Q396" s="12" t="str">
        <f aca="false">IF(A396="","",IFERROR(LOOKUP(2,1/(('Weekly Log'!$C$4:$C$1003=A396)*('Weekly Log'!$I$4:$I$1003&lt;&gt;"")),'Weekly Log'!$I$4:$I$1003),""))</f>
        <v/>
      </c>
    </row>
    <row r="397" customFormat="false" ht="15" hidden="false" customHeight="false" outlineLevel="0" collapsed="false">
      <c r="H397" s="16"/>
      <c r="J397" s="12" t="str">
        <f aca="false">IF(A397="","",COUNTIF('Weekly Log'!$C:$C,A397))</f>
        <v/>
      </c>
      <c r="K397" s="12" t="str">
        <f aca="false">IF(A397="","",COUNTIFS('Weekly Log'!$C:$C,A397,'Weekly Log'!$E:$E,"Yes"))</f>
        <v/>
      </c>
      <c r="L397" s="13" t="str">
        <f aca="false">IF(A397="","",IF(J397=0,"",K397/J397))</f>
        <v/>
      </c>
      <c r="M397" s="14" t="str">
        <f aca="false">IF(A397="","",IFERROR((SUMIFS('Weekly Log'!$F:$F,'Weekly Log'!$C:$C,A397)+SUMIFS('Weekly Log'!$G:$G,'Weekly Log'!$C:$C,A397))/(COUNTIFS('Weekly Log'!$C:$C,A397,'Weekly Log'!$F:$F,"&lt;&gt;")+COUNTIFS('Weekly Log'!$C:$C,A397,'Weekly Log'!$G:$G,"&lt;&gt;")),""))</f>
        <v/>
      </c>
      <c r="N397" s="15" t="str">
        <f aca="false">IF(A397="","",IF(K397=0,"",_xlfn.MAXIFS('Weekly Log'!$A:$A,'Weekly Log'!$C:$C,A397,'Weekly Log'!$E:$E,"Yes")))</f>
        <v/>
      </c>
      <c r="O397" s="12" t="str">
        <f aca="true">IF(N397="","",MAX(0,INT((TODAY()-N397)/7)))</f>
        <v/>
      </c>
      <c r="Q397" s="12" t="str">
        <f aca="false">IF(A397="","",IFERROR(LOOKUP(2,1/(('Weekly Log'!$C$4:$C$1003=A397)*('Weekly Log'!$I$4:$I$1003&lt;&gt;"")),'Weekly Log'!$I$4:$I$1003),""))</f>
        <v/>
      </c>
    </row>
    <row r="398" customFormat="false" ht="15" hidden="false" customHeight="false" outlineLevel="0" collapsed="false">
      <c r="H398" s="16"/>
      <c r="J398" s="12" t="str">
        <f aca="false">IF(A398="","",COUNTIF('Weekly Log'!$C:$C,A398))</f>
        <v/>
      </c>
      <c r="K398" s="12" t="str">
        <f aca="false">IF(A398="","",COUNTIFS('Weekly Log'!$C:$C,A398,'Weekly Log'!$E:$E,"Yes"))</f>
        <v/>
      </c>
      <c r="L398" s="13" t="str">
        <f aca="false">IF(A398="","",IF(J398=0,"",K398/J398))</f>
        <v/>
      </c>
      <c r="M398" s="14" t="str">
        <f aca="false">IF(A398="","",IFERROR((SUMIFS('Weekly Log'!$F:$F,'Weekly Log'!$C:$C,A398)+SUMIFS('Weekly Log'!$G:$G,'Weekly Log'!$C:$C,A398))/(COUNTIFS('Weekly Log'!$C:$C,A398,'Weekly Log'!$F:$F,"&lt;&gt;")+COUNTIFS('Weekly Log'!$C:$C,A398,'Weekly Log'!$G:$G,"&lt;&gt;")),""))</f>
        <v/>
      </c>
      <c r="N398" s="15" t="str">
        <f aca="false">IF(A398="","",IF(K398=0,"",_xlfn.MAXIFS('Weekly Log'!$A:$A,'Weekly Log'!$C:$C,A398,'Weekly Log'!$E:$E,"Yes")))</f>
        <v/>
      </c>
      <c r="O398" s="12" t="str">
        <f aca="true">IF(N398="","",MAX(0,INT((TODAY()-N398)/7)))</f>
        <v/>
      </c>
      <c r="Q398" s="12" t="str">
        <f aca="false">IF(A398="","",IFERROR(LOOKUP(2,1/(('Weekly Log'!$C$4:$C$1003=A398)*('Weekly Log'!$I$4:$I$1003&lt;&gt;"")),'Weekly Log'!$I$4:$I$1003),""))</f>
        <v/>
      </c>
    </row>
    <row r="399" customFormat="false" ht="15" hidden="false" customHeight="false" outlineLevel="0" collapsed="false">
      <c r="H399" s="16"/>
      <c r="J399" s="12" t="str">
        <f aca="false">IF(A399="","",COUNTIF('Weekly Log'!$C:$C,A399))</f>
        <v/>
      </c>
      <c r="K399" s="12" t="str">
        <f aca="false">IF(A399="","",COUNTIFS('Weekly Log'!$C:$C,A399,'Weekly Log'!$E:$E,"Yes"))</f>
        <v/>
      </c>
      <c r="L399" s="13" t="str">
        <f aca="false">IF(A399="","",IF(J399=0,"",K399/J399))</f>
        <v/>
      </c>
      <c r="M399" s="14" t="str">
        <f aca="false">IF(A399="","",IFERROR((SUMIFS('Weekly Log'!$F:$F,'Weekly Log'!$C:$C,A399)+SUMIFS('Weekly Log'!$G:$G,'Weekly Log'!$C:$C,A399))/(COUNTIFS('Weekly Log'!$C:$C,A399,'Weekly Log'!$F:$F,"&lt;&gt;")+COUNTIFS('Weekly Log'!$C:$C,A399,'Weekly Log'!$G:$G,"&lt;&gt;")),""))</f>
        <v/>
      </c>
      <c r="N399" s="15" t="str">
        <f aca="false">IF(A399="","",IF(K399=0,"",_xlfn.MAXIFS('Weekly Log'!$A:$A,'Weekly Log'!$C:$C,A399,'Weekly Log'!$E:$E,"Yes")))</f>
        <v/>
      </c>
      <c r="O399" s="12" t="str">
        <f aca="true">IF(N399="","",MAX(0,INT((TODAY()-N399)/7)))</f>
        <v/>
      </c>
      <c r="Q399" s="12" t="str">
        <f aca="false">IF(A399="","",IFERROR(LOOKUP(2,1/(('Weekly Log'!$C$4:$C$1003=A399)*('Weekly Log'!$I$4:$I$1003&lt;&gt;"")),'Weekly Log'!$I$4:$I$1003),""))</f>
        <v/>
      </c>
    </row>
    <row r="400" customFormat="false" ht="15" hidden="false" customHeight="false" outlineLevel="0" collapsed="false">
      <c r="H400" s="16"/>
      <c r="J400" s="12" t="str">
        <f aca="false">IF(A400="","",COUNTIF('Weekly Log'!$C:$C,A400))</f>
        <v/>
      </c>
      <c r="K400" s="12" t="str">
        <f aca="false">IF(A400="","",COUNTIFS('Weekly Log'!$C:$C,A400,'Weekly Log'!$E:$E,"Yes"))</f>
        <v/>
      </c>
      <c r="L400" s="13" t="str">
        <f aca="false">IF(A400="","",IF(J400=0,"",K400/J400))</f>
        <v/>
      </c>
      <c r="M400" s="14" t="str">
        <f aca="false">IF(A400="","",IFERROR((SUMIFS('Weekly Log'!$F:$F,'Weekly Log'!$C:$C,A400)+SUMIFS('Weekly Log'!$G:$G,'Weekly Log'!$C:$C,A400))/(COUNTIFS('Weekly Log'!$C:$C,A400,'Weekly Log'!$F:$F,"&lt;&gt;")+COUNTIFS('Weekly Log'!$C:$C,A400,'Weekly Log'!$G:$G,"&lt;&gt;")),""))</f>
        <v/>
      </c>
      <c r="N400" s="15" t="str">
        <f aca="false">IF(A400="","",IF(K400=0,"",_xlfn.MAXIFS('Weekly Log'!$A:$A,'Weekly Log'!$C:$C,A400,'Weekly Log'!$E:$E,"Yes")))</f>
        <v/>
      </c>
      <c r="O400" s="12" t="str">
        <f aca="true">IF(N400="","",MAX(0,INT((TODAY()-N400)/7)))</f>
        <v/>
      </c>
      <c r="Q400" s="12" t="str">
        <f aca="false">IF(A400="","",IFERROR(LOOKUP(2,1/(('Weekly Log'!$C$4:$C$1003=A400)*('Weekly Log'!$I$4:$I$1003&lt;&gt;"")),'Weekly Log'!$I$4:$I$1003),""))</f>
        <v/>
      </c>
    </row>
    <row r="401" customFormat="false" ht="15" hidden="false" customHeight="false" outlineLevel="0" collapsed="false">
      <c r="H401" s="16"/>
      <c r="J401" s="12" t="str">
        <f aca="false">IF(A401="","",COUNTIF('Weekly Log'!$C:$C,A401))</f>
        <v/>
      </c>
      <c r="K401" s="12" t="str">
        <f aca="false">IF(A401="","",COUNTIFS('Weekly Log'!$C:$C,A401,'Weekly Log'!$E:$E,"Yes"))</f>
        <v/>
      </c>
      <c r="L401" s="13" t="str">
        <f aca="false">IF(A401="","",IF(J401=0,"",K401/J401))</f>
        <v/>
      </c>
      <c r="M401" s="14" t="str">
        <f aca="false">IF(A401="","",IFERROR((SUMIFS('Weekly Log'!$F:$F,'Weekly Log'!$C:$C,A401)+SUMIFS('Weekly Log'!$G:$G,'Weekly Log'!$C:$C,A401))/(COUNTIFS('Weekly Log'!$C:$C,A401,'Weekly Log'!$F:$F,"&lt;&gt;")+COUNTIFS('Weekly Log'!$C:$C,A401,'Weekly Log'!$G:$G,"&lt;&gt;")),""))</f>
        <v/>
      </c>
      <c r="N401" s="15" t="str">
        <f aca="false">IF(A401="","",IF(K401=0,"",_xlfn.MAXIFS('Weekly Log'!$A:$A,'Weekly Log'!$C:$C,A401,'Weekly Log'!$E:$E,"Yes")))</f>
        <v/>
      </c>
      <c r="O401" s="12" t="str">
        <f aca="true">IF(N401="","",MAX(0,INT((TODAY()-N401)/7)))</f>
        <v/>
      </c>
      <c r="Q401" s="12" t="str">
        <f aca="false">IF(A401="","",IFERROR(LOOKUP(2,1/(('Weekly Log'!$C$4:$C$1003=A401)*('Weekly Log'!$I$4:$I$1003&lt;&gt;"")),'Weekly Log'!$I$4:$I$1003),""))</f>
        <v/>
      </c>
    </row>
    <row r="402" customFormat="false" ht="15" hidden="false" customHeight="false" outlineLevel="0" collapsed="false">
      <c r="H402" s="16"/>
      <c r="J402" s="12" t="str">
        <f aca="false">IF(A402="","",COUNTIF('Weekly Log'!$C:$C,A402))</f>
        <v/>
      </c>
      <c r="K402" s="12" t="str">
        <f aca="false">IF(A402="","",COUNTIFS('Weekly Log'!$C:$C,A402,'Weekly Log'!$E:$E,"Yes"))</f>
        <v/>
      </c>
      <c r="L402" s="13" t="str">
        <f aca="false">IF(A402="","",IF(J402=0,"",K402/J402))</f>
        <v/>
      </c>
      <c r="M402" s="14" t="str">
        <f aca="false">IF(A402="","",IFERROR((SUMIFS('Weekly Log'!$F:$F,'Weekly Log'!$C:$C,A402)+SUMIFS('Weekly Log'!$G:$G,'Weekly Log'!$C:$C,A402))/(COUNTIFS('Weekly Log'!$C:$C,A402,'Weekly Log'!$F:$F,"&lt;&gt;")+COUNTIFS('Weekly Log'!$C:$C,A402,'Weekly Log'!$G:$G,"&lt;&gt;")),""))</f>
        <v/>
      </c>
      <c r="N402" s="15" t="str">
        <f aca="false">IF(A402="","",IF(K402=0,"",_xlfn.MAXIFS('Weekly Log'!$A:$A,'Weekly Log'!$C:$C,A402,'Weekly Log'!$E:$E,"Yes")))</f>
        <v/>
      </c>
      <c r="O402" s="12" t="str">
        <f aca="true">IF(N402="","",MAX(0,INT((TODAY()-N402)/7)))</f>
        <v/>
      </c>
      <c r="Q402" s="12" t="str">
        <f aca="false">IF(A402="","",IFERROR(LOOKUP(2,1/(('Weekly Log'!$C$4:$C$1003=A402)*('Weekly Log'!$I$4:$I$1003&lt;&gt;"")),'Weekly Log'!$I$4:$I$1003),""))</f>
        <v/>
      </c>
    </row>
    <row r="403" customFormat="false" ht="15" hidden="false" customHeight="false" outlineLevel="0" collapsed="false">
      <c r="H403" s="16"/>
      <c r="J403" s="12" t="str">
        <f aca="false">IF(A403="","",COUNTIF('Weekly Log'!$C:$C,A403))</f>
        <v/>
      </c>
      <c r="K403" s="12" t="str">
        <f aca="false">IF(A403="","",COUNTIFS('Weekly Log'!$C:$C,A403,'Weekly Log'!$E:$E,"Yes"))</f>
        <v/>
      </c>
      <c r="L403" s="13" t="str">
        <f aca="false">IF(A403="","",IF(J403=0,"",K403/J403))</f>
        <v/>
      </c>
      <c r="M403" s="14" t="str">
        <f aca="false">IF(A403="","",IFERROR((SUMIFS('Weekly Log'!$F:$F,'Weekly Log'!$C:$C,A403)+SUMIFS('Weekly Log'!$G:$G,'Weekly Log'!$C:$C,A403))/(COUNTIFS('Weekly Log'!$C:$C,A403,'Weekly Log'!$F:$F,"&lt;&gt;")+COUNTIFS('Weekly Log'!$C:$C,A403,'Weekly Log'!$G:$G,"&lt;&gt;")),""))</f>
        <v/>
      </c>
      <c r="N403" s="15" t="str">
        <f aca="false">IF(A403="","",IF(K403=0,"",_xlfn.MAXIFS('Weekly Log'!$A:$A,'Weekly Log'!$C:$C,A403,'Weekly Log'!$E:$E,"Yes")))</f>
        <v/>
      </c>
      <c r="O403" s="12" t="str">
        <f aca="true">IF(N403="","",MAX(0,INT((TODAY()-N403)/7)))</f>
        <v/>
      </c>
      <c r="Q403" s="12" t="str">
        <f aca="false">IF(A403="","",IFERROR(LOOKUP(2,1/(('Weekly Log'!$C$4:$C$1003=A403)*('Weekly Log'!$I$4:$I$1003&lt;&gt;"")),'Weekly Log'!$I$4:$I$1003),""))</f>
        <v/>
      </c>
    </row>
    <row r="404" customFormat="false" ht="15" hidden="false" customHeight="false" outlineLevel="0" collapsed="false">
      <c r="H404" s="16"/>
      <c r="J404" s="12" t="str">
        <f aca="false">IF(A404="","",COUNTIF('Weekly Log'!$C:$C,A404))</f>
        <v/>
      </c>
      <c r="K404" s="12" t="str">
        <f aca="false">IF(A404="","",COUNTIFS('Weekly Log'!$C:$C,A404,'Weekly Log'!$E:$E,"Yes"))</f>
        <v/>
      </c>
      <c r="L404" s="13" t="str">
        <f aca="false">IF(A404="","",IF(J404=0,"",K404/J404))</f>
        <v/>
      </c>
      <c r="M404" s="14" t="str">
        <f aca="false">IF(A404="","",IFERROR((SUMIFS('Weekly Log'!$F:$F,'Weekly Log'!$C:$C,A404)+SUMIFS('Weekly Log'!$G:$G,'Weekly Log'!$C:$C,A404))/(COUNTIFS('Weekly Log'!$C:$C,A404,'Weekly Log'!$F:$F,"&lt;&gt;")+COUNTIFS('Weekly Log'!$C:$C,A404,'Weekly Log'!$G:$G,"&lt;&gt;")),""))</f>
        <v/>
      </c>
      <c r="N404" s="15" t="str">
        <f aca="false">IF(A404="","",IF(K404=0,"",_xlfn.MAXIFS('Weekly Log'!$A:$A,'Weekly Log'!$C:$C,A404,'Weekly Log'!$E:$E,"Yes")))</f>
        <v/>
      </c>
      <c r="O404" s="12" t="str">
        <f aca="true">IF(N404="","",MAX(0,INT((TODAY()-N404)/7)))</f>
        <v/>
      </c>
      <c r="Q404" s="12" t="str">
        <f aca="false">IF(A404="","",IFERROR(LOOKUP(2,1/(('Weekly Log'!$C$4:$C$1003=A404)*('Weekly Log'!$I$4:$I$1003&lt;&gt;"")),'Weekly Log'!$I$4:$I$1003),""))</f>
        <v/>
      </c>
    </row>
    <row r="405" customFormat="false" ht="15" hidden="false" customHeight="false" outlineLevel="0" collapsed="false">
      <c r="H405" s="16"/>
      <c r="J405" s="12" t="str">
        <f aca="false">IF(A405="","",COUNTIF('Weekly Log'!$C:$C,A405))</f>
        <v/>
      </c>
      <c r="K405" s="12" t="str">
        <f aca="false">IF(A405="","",COUNTIFS('Weekly Log'!$C:$C,A405,'Weekly Log'!$E:$E,"Yes"))</f>
        <v/>
      </c>
      <c r="L405" s="13" t="str">
        <f aca="false">IF(A405="","",IF(J405=0,"",K405/J405))</f>
        <v/>
      </c>
      <c r="M405" s="14" t="str">
        <f aca="false">IF(A405="","",IFERROR((SUMIFS('Weekly Log'!$F:$F,'Weekly Log'!$C:$C,A405)+SUMIFS('Weekly Log'!$G:$G,'Weekly Log'!$C:$C,A405))/(COUNTIFS('Weekly Log'!$C:$C,A405,'Weekly Log'!$F:$F,"&lt;&gt;")+COUNTIFS('Weekly Log'!$C:$C,A405,'Weekly Log'!$G:$G,"&lt;&gt;")),""))</f>
        <v/>
      </c>
      <c r="N405" s="15" t="str">
        <f aca="false">IF(A405="","",IF(K405=0,"",_xlfn.MAXIFS('Weekly Log'!$A:$A,'Weekly Log'!$C:$C,A405,'Weekly Log'!$E:$E,"Yes")))</f>
        <v/>
      </c>
      <c r="O405" s="12" t="str">
        <f aca="true">IF(N405="","",MAX(0,INT((TODAY()-N405)/7)))</f>
        <v/>
      </c>
      <c r="Q405" s="12" t="str">
        <f aca="false">IF(A405="","",IFERROR(LOOKUP(2,1/(('Weekly Log'!$C$4:$C$1003=A405)*('Weekly Log'!$I$4:$I$1003&lt;&gt;"")),'Weekly Log'!$I$4:$I$1003),""))</f>
        <v/>
      </c>
    </row>
    <row r="406" customFormat="false" ht="15" hidden="false" customHeight="false" outlineLevel="0" collapsed="false">
      <c r="H406" s="16"/>
      <c r="J406" s="12" t="str">
        <f aca="false">IF(A406="","",COUNTIF('Weekly Log'!$C:$C,A406))</f>
        <v/>
      </c>
      <c r="K406" s="12" t="str">
        <f aca="false">IF(A406="","",COUNTIFS('Weekly Log'!$C:$C,A406,'Weekly Log'!$E:$E,"Yes"))</f>
        <v/>
      </c>
      <c r="L406" s="13" t="str">
        <f aca="false">IF(A406="","",IF(J406=0,"",K406/J406))</f>
        <v/>
      </c>
      <c r="M406" s="14" t="str">
        <f aca="false">IF(A406="","",IFERROR((SUMIFS('Weekly Log'!$F:$F,'Weekly Log'!$C:$C,A406)+SUMIFS('Weekly Log'!$G:$G,'Weekly Log'!$C:$C,A406))/(COUNTIFS('Weekly Log'!$C:$C,A406,'Weekly Log'!$F:$F,"&lt;&gt;")+COUNTIFS('Weekly Log'!$C:$C,A406,'Weekly Log'!$G:$G,"&lt;&gt;")),""))</f>
        <v/>
      </c>
      <c r="N406" s="15" t="str">
        <f aca="false">IF(A406="","",IF(K406=0,"",_xlfn.MAXIFS('Weekly Log'!$A:$A,'Weekly Log'!$C:$C,A406,'Weekly Log'!$E:$E,"Yes")))</f>
        <v/>
      </c>
      <c r="O406" s="12" t="str">
        <f aca="true">IF(N406="","",MAX(0,INT((TODAY()-N406)/7)))</f>
        <v/>
      </c>
      <c r="Q406" s="12" t="str">
        <f aca="false">IF(A406="","",IFERROR(LOOKUP(2,1/(('Weekly Log'!$C$4:$C$1003=A406)*('Weekly Log'!$I$4:$I$1003&lt;&gt;"")),'Weekly Log'!$I$4:$I$1003),""))</f>
        <v/>
      </c>
    </row>
    <row r="407" customFormat="false" ht="15" hidden="false" customHeight="false" outlineLevel="0" collapsed="false">
      <c r="H407" s="16"/>
      <c r="J407" s="12" t="str">
        <f aca="false">IF(A407="","",COUNTIF('Weekly Log'!$C:$C,A407))</f>
        <v/>
      </c>
      <c r="K407" s="12" t="str">
        <f aca="false">IF(A407="","",COUNTIFS('Weekly Log'!$C:$C,A407,'Weekly Log'!$E:$E,"Yes"))</f>
        <v/>
      </c>
      <c r="L407" s="13" t="str">
        <f aca="false">IF(A407="","",IF(J407=0,"",K407/J407))</f>
        <v/>
      </c>
      <c r="M407" s="14" t="str">
        <f aca="false">IF(A407="","",IFERROR((SUMIFS('Weekly Log'!$F:$F,'Weekly Log'!$C:$C,A407)+SUMIFS('Weekly Log'!$G:$G,'Weekly Log'!$C:$C,A407))/(COUNTIFS('Weekly Log'!$C:$C,A407,'Weekly Log'!$F:$F,"&lt;&gt;")+COUNTIFS('Weekly Log'!$C:$C,A407,'Weekly Log'!$G:$G,"&lt;&gt;")),""))</f>
        <v/>
      </c>
      <c r="N407" s="15" t="str">
        <f aca="false">IF(A407="","",IF(K407=0,"",_xlfn.MAXIFS('Weekly Log'!$A:$A,'Weekly Log'!$C:$C,A407,'Weekly Log'!$E:$E,"Yes")))</f>
        <v/>
      </c>
      <c r="O407" s="12" t="str">
        <f aca="true">IF(N407="","",MAX(0,INT((TODAY()-N407)/7)))</f>
        <v/>
      </c>
      <c r="Q407" s="12" t="str">
        <f aca="false">IF(A407="","",IFERROR(LOOKUP(2,1/(('Weekly Log'!$C$4:$C$1003=A407)*('Weekly Log'!$I$4:$I$1003&lt;&gt;"")),'Weekly Log'!$I$4:$I$1003),""))</f>
        <v/>
      </c>
    </row>
    <row r="408" customFormat="false" ht="15" hidden="false" customHeight="false" outlineLevel="0" collapsed="false">
      <c r="H408" s="16"/>
      <c r="J408" s="12" t="str">
        <f aca="false">IF(A408="","",COUNTIF('Weekly Log'!$C:$C,A408))</f>
        <v/>
      </c>
      <c r="K408" s="12" t="str">
        <f aca="false">IF(A408="","",COUNTIFS('Weekly Log'!$C:$C,A408,'Weekly Log'!$E:$E,"Yes"))</f>
        <v/>
      </c>
      <c r="L408" s="13" t="str">
        <f aca="false">IF(A408="","",IF(J408=0,"",K408/J408))</f>
        <v/>
      </c>
      <c r="M408" s="14" t="str">
        <f aca="false">IF(A408="","",IFERROR((SUMIFS('Weekly Log'!$F:$F,'Weekly Log'!$C:$C,A408)+SUMIFS('Weekly Log'!$G:$G,'Weekly Log'!$C:$C,A408))/(COUNTIFS('Weekly Log'!$C:$C,A408,'Weekly Log'!$F:$F,"&lt;&gt;")+COUNTIFS('Weekly Log'!$C:$C,A408,'Weekly Log'!$G:$G,"&lt;&gt;")),""))</f>
        <v/>
      </c>
      <c r="N408" s="15" t="str">
        <f aca="false">IF(A408="","",IF(K408=0,"",_xlfn.MAXIFS('Weekly Log'!$A:$A,'Weekly Log'!$C:$C,A408,'Weekly Log'!$E:$E,"Yes")))</f>
        <v/>
      </c>
      <c r="O408" s="12" t="str">
        <f aca="true">IF(N408="","",MAX(0,INT((TODAY()-N408)/7)))</f>
        <v/>
      </c>
      <c r="Q408" s="12" t="str">
        <f aca="false">IF(A408="","",IFERROR(LOOKUP(2,1/(('Weekly Log'!$C$4:$C$1003=A408)*('Weekly Log'!$I$4:$I$1003&lt;&gt;"")),'Weekly Log'!$I$4:$I$1003),""))</f>
        <v/>
      </c>
    </row>
    <row r="409" customFormat="false" ht="15" hidden="false" customHeight="false" outlineLevel="0" collapsed="false">
      <c r="H409" s="16"/>
      <c r="J409" s="12" t="str">
        <f aca="false">IF(A409="","",COUNTIF('Weekly Log'!$C:$C,A409))</f>
        <v/>
      </c>
      <c r="K409" s="12" t="str">
        <f aca="false">IF(A409="","",COUNTIFS('Weekly Log'!$C:$C,A409,'Weekly Log'!$E:$E,"Yes"))</f>
        <v/>
      </c>
      <c r="L409" s="13" t="str">
        <f aca="false">IF(A409="","",IF(J409=0,"",K409/J409))</f>
        <v/>
      </c>
      <c r="M409" s="14" t="str">
        <f aca="false">IF(A409="","",IFERROR((SUMIFS('Weekly Log'!$F:$F,'Weekly Log'!$C:$C,A409)+SUMIFS('Weekly Log'!$G:$G,'Weekly Log'!$C:$C,A409))/(COUNTIFS('Weekly Log'!$C:$C,A409,'Weekly Log'!$F:$F,"&lt;&gt;")+COUNTIFS('Weekly Log'!$C:$C,A409,'Weekly Log'!$G:$G,"&lt;&gt;")),""))</f>
        <v/>
      </c>
      <c r="N409" s="15" t="str">
        <f aca="false">IF(A409="","",IF(K409=0,"",_xlfn.MAXIFS('Weekly Log'!$A:$A,'Weekly Log'!$C:$C,A409,'Weekly Log'!$E:$E,"Yes")))</f>
        <v/>
      </c>
      <c r="O409" s="12" t="str">
        <f aca="true">IF(N409="","",MAX(0,INT((TODAY()-N409)/7)))</f>
        <v/>
      </c>
      <c r="Q409" s="12" t="str">
        <f aca="false">IF(A409="","",IFERROR(LOOKUP(2,1/(('Weekly Log'!$C$4:$C$1003=A409)*('Weekly Log'!$I$4:$I$1003&lt;&gt;"")),'Weekly Log'!$I$4:$I$1003),""))</f>
        <v/>
      </c>
    </row>
    <row r="410" customFormat="false" ht="15" hidden="false" customHeight="false" outlineLevel="0" collapsed="false">
      <c r="H410" s="16"/>
      <c r="J410" s="12" t="str">
        <f aca="false">IF(A410="","",COUNTIF('Weekly Log'!$C:$C,A410))</f>
        <v/>
      </c>
      <c r="K410" s="12" t="str">
        <f aca="false">IF(A410="","",COUNTIFS('Weekly Log'!$C:$C,A410,'Weekly Log'!$E:$E,"Yes"))</f>
        <v/>
      </c>
      <c r="L410" s="13" t="str">
        <f aca="false">IF(A410="","",IF(J410=0,"",K410/J410))</f>
        <v/>
      </c>
      <c r="M410" s="14" t="str">
        <f aca="false">IF(A410="","",IFERROR((SUMIFS('Weekly Log'!$F:$F,'Weekly Log'!$C:$C,A410)+SUMIFS('Weekly Log'!$G:$G,'Weekly Log'!$C:$C,A410))/(COUNTIFS('Weekly Log'!$C:$C,A410,'Weekly Log'!$F:$F,"&lt;&gt;")+COUNTIFS('Weekly Log'!$C:$C,A410,'Weekly Log'!$G:$G,"&lt;&gt;")),""))</f>
        <v/>
      </c>
      <c r="N410" s="15" t="str">
        <f aca="false">IF(A410="","",IF(K410=0,"",_xlfn.MAXIFS('Weekly Log'!$A:$A,'Weekly Log'!$C:$C,A410,'Weekly Log'!$E:$E,"Yes")))</f>
        <v/>
      </c>
      <c r="O410" s="12" t="str">
        <f aca="true">IF(N410="","",MAX(0,INT((TODAY()-N410)/7)))</f>
        <v/>
      </c>
      <c r="Q410" s="12" t="str">
        <f aca="false">IF(A410="","",IFERROR(LOOKUP(2,1/(('Weekly Log'!$C$4:$C$1003=A410)*('Weekly Log'!$I$4:$I$1003&lt;&gt;"")),'Weekly Log'!$I$4:$I$1003),""))</f>
        <v/>
      </c>
    </row>
    <row r="411" customFormat="false" ht="15" hidden="false" customHeight="false" outlineLevel="0" collapsed="false">
      <c r="H411" s="16"/>
      <c r="J411" s="12" t="str">
        <f aca="false">IF(A411="","",COUNTIF('Weekly Log'!$C:$C,A411))</f>
        <v/>
      </c>
      <c r="K411" s="12" t="str">
        <f aca="false">IF(A411="","",COUNTIFS('Weekly Log'!$C:$C,A411,'Weekly Log'!$E:$E,"Yes"))</f>
        <v/>
      </c>
      <c r="L411" s="13" t="str">
        <f aca="false">IF(A411="","",IF(J411=0,"",K411/J411))</f>
        <v/>
      </c>
      <c r="M411" s="14" t="str">
        <f aca="false">IF(A411="","",IFERROR((SUMIFS('Weekly Log'!$F:$F,'Weekly Log'!$C:$C,A411)+SUMIFS('Weekly Log'!$G:$G,'Weekly Log'!$C:$C,A411))/(COUNTIFS('Weekly Log'!$C:$C,A411,'Weekly Log'!$F:$F,"&lt;&gt;")+COUNTIFS('Weekly Log'!$C:$C,A411,'Weekly Log'!$G:$G,"&lt;&gt;")),""))</f>
        <v/>
      </c>
      <c r="N411" s="15" t="str">
        <f aca="false">IF(A411="","",IF(K411=0,"",_xlfn.MAXIFS('Weekly Log'!$A:$A,'Weekly Log'!$C:$C,A411,'Weekly Log'!$E:$E,"Yes")))</f>
        <v/>
      </c>
      <c r="O411" s="12" t="str">
        <f aca="true">IF(N411="","",MAX(0,INT((TODAY()-N411)/7)))</f>
        <v/>
      </c>
      <c r="Q411" s="12" t="str">
        <f aca="false">IF(A411="","",IFERROR(LOOKUP(2,1/(('Weekly Log'!$C$4:$C$1003=A411)*('Weekly Log'!$I$4:$I$1003&lt;&gt;"")),'Weekly Log'!$I$4:$I$1003),""))</f>
        <v/>
      </c>
    </row>
    <row r="412" customFormat="false" ht="15" hidden="false" customHeight="false" outlineLevel="0" collapsed="false">
      <c r="H412" s="16"/>
      <c r="J412" s="12" t="str">
        <f aca="false">IF(A412="","",COUNTIF('Weekly Log'!$C:$C,A412))</f>
        <v/>
      </c>
      <c r="K412" s="12" t="str">
        <f aca="false">IF(A412="","",COUNTIFS('Weekly Log'!$C:$C,A412,'Weekly Log'!$E:$E,"Yes"))</f>
        <v/>
      </c>
      <c r="L412" s="13" t="str">
        <f aca="false">IF(A412="","",IF(J412=0,"",K412/J412))</f>
        <v/>
      </c>
      <c r="M412" s="14" t="str">
        <f aca="false">IF(A412="","",IFERROR((SUMIFS('Weekly Log'!$F:$F,'Weekly Log'!$C:$C,A412)+SUMIFS('Weekly Log'!$G:$G,'Weekly Log'!$C:$C,A412))/(COUNTIFS('Weekly Log'!$C:$C,A412,'Weekly Log'!$F:$F,"&lt;&gt;")+COUNTIFS('Weekly Log'!$C:$C,A412,'Weekly Log'!$G:$G,"&lt;&gt;")),""))</f>
        <v/>
      </c>
      <c r="N412" s="15" t="str">
        <f aca="false">IF(A412="","",IF(K412=0,"",_xlfn.MAXIFS('Weekly Log'!$A:$A,'Weekly Log'!$C:$C,A412,'Weekly Log'!$E:$E,"Yes")))</f>
        <v/>
      </c>
      <c r="O412" s="12" t="str">
        <f aca="true">IF(N412="","",MAX(0,INT((TODAY()-N412)/7)))</f>
        <v/>
      </c>
      <c r="Q412" s="12" t="str">
        <f aca="false">IF(A412="","",IFERROR(LOOKUP(2,1/(('Weekly Log'!$C$4:$C$1003=A412)*('Weekly Log'!$I$4:$I$1003&lt;&gt;"")),'Weekly Log'!$I$4:$I$1003),""))</f>
        <v/>
      </c>
    </row>
    <row r="413" customFormat="false" ht="15" hidden="false" customHeight="false" outlineLevel="0" collapsed="false">
      <c r="H413" s="16"/>
      <c r="J413" s="12" t="str">
        <f aca="false">IF(A413="","",COUNTIF('Weekly Log'!$C:$C,A413))</f>
        <v/>
      </c>
      <c r="K413" s="12" t="str">
        <f aca="false">IF(A413="","",COUNTIFS('Weekly Log'!$C:$C,A413,'Weekly Log'!$E:$E,"Yes"))</f>
        <v/>
      </c>
      <c r="L413" s="13" t="str">
        <f aca="false">IF(A413="","",IF(J413=0,"",K413/J413))</f>
        <v/>
      </c>
      <c r="M413" s="14" t="str">
        <f aca="false">IF(A413="","",IFERROR((SUMIFS('Weekly Log'!$F:$F,'Weekly Log'!$C:$C,A413)+SUMIFS('Weekly Log'!$G:$G,'Weekly Log'!$C:$C,A413))/(COUNTIFS('Weekly Log'!$C:$C,A413,'Weekly Log'!$F:$F,"&lt;&gt;")+COUNTIFS('Weekly Log'!$C:$C,A413,'Weekly Log'!$G:$G,"&lt;&gt;")),""))</f>
        <v/>
      </c>
      <c r="N413" s="15" t="str">
        <f aca="false">IF(A413="","",IF(K413=0,"",_xlfn.MAXIFS('Weekly Log'!$A:$A,'Weekly Log'!$C:$C,A413,'Weekly Log'!$E:$E,"Yes")))</f>
        <v/>
      </c>
      <c r="O413" s="12" t="str">
        <f aca="true">IF(N413="","",MAX(0,INT((TODAY()-N413)/7)))</f>
        <v/>
      </c>
      <c r="Q413" s="12" t="str">
        <f aca="false">IF(A413="","",IFERROR(LOOKUP(2,1/(('Weekly Log'!$C$4:$C$1003=A413)*('Weekly Log'!$I$4:$I$1003&lt;&gt;"")),'Weekly Log'!$I$4:$I$1003),""))</f>
        <v/>
      </c>
    </row>
    <row r="414" customFormat="false" ht="15" hidden="false" customHeight="false" outlineLevel="0" collapsed="false">
      <c r="H414" s="16"/>
      <c r="J414" s="12" t="str">
        <f aca="false">IF(A414="","",COUNTIF('Weekly Log'!$C:$C,A414))</f>
        <v/>
      </c>
      <c r="K414" s="12" t="str">
        <f aca="false">IF(A414="","",COUNTIFS('Weekly Log'!$C:$C,A414,'Weekly Log'!$E:$E,"Yes"))</f>
        <v/>
      </c>
      <c r="L414" s="13" t="str">
        <f aca="false">IF(A414="","",IF(J414=0,"",K414/J414))</f>
        <v/>
      </c>
      <c r="M414" s="14" t="str">
        <f aca="false">IF(A414="","",IFERROR((SUMIFS('Weekly Log'!$F:$F,'Weekly Log'!$C:$C,A414)+SUMIFS('Weekly Log'!$G:$G,'Weekly Log'!$C:$C,A414))/(COUNTIFS('Weekly Log'!$C:$C,A414,'Weekly Log'!$F:$F,"&lt;&gt;")+COUNTIFS('Weekly Log'!$C:$C,A414,'Weekly Log'!$G:$G,"&lt;&gt;")),""))</f>
        <v/>
      </c>
      <c r="N414" s="15" t="str">
        <f aca="false">IF(A414="","",IF(K414=0,"",_xlfn.MAXIFS('Weekly Log'!$A:$A,'Weekly Log'!$C:$C,A414,'Weekly Log'!$E:$E,"Yes")))</f>
        <v/>
      </c>
      <c r="O414" s="12" t="str">
        <f aca="true">IF(N414="","",MAX(0,INT((TODAY()-N414)/7)))</f>
        <v/>
      </c>
      <c r="Q414" s="12" t="str">
        <f aca="false">IF(A414="","",IFERROR(LOOKUP(2,1/(('Weekly Log'!$C$4:$C$1003=A414)*('Weekly Log'!$I$4:$I$1003&lt;&gt;"")),'Weekly Log'!$I$4:$I$1003),""))</f>
        <v/>
      </c>
    </row>
    <row r="415" customFormat="false" ht="15" hidden="false" customHeight="false" outlineLevel="0" collapsed="false">
      <c r="H415" s="16"/>
      <c r="J415" s="12" t="str">
        <f aca="false">IF(A415="","",COUNTIF('Weekly Log'!$C:$C,A415))</f>
        <v/>
      </c>
      <c r="K415" s="12" t="str">
        <f aca="false">IF(A415="","",COUNTIFS('Weekly Log'!$C:$C,A415,'Weekly Log'!$E:$E,"Yes"))</f>
        <v/>
      </c>
      <c r="L415" s="13" t="str">
        <f aca="false">IF(A415="","",IF(J415=0,"",K415/J415))</f>
        <v/>
      </c>
      <c r="M415" s="14" t="str">
        <f aca="false">IF(A415="","",IFERROR((SUMIFS('Weekly Log'!$F:$F,'Weekly Log'!$C:$C,A415)+SUMIFS('Weekly Log'!$G:$G,'Weekly Log'!$C:$C,A415))/(COUNTIFS('Weekly Log'!$C:$C,A415,'Weekly Log'!$F:$F,"&lt;&gt;")+COUNTIFS('Weekly Log'!$C:$C,A415,'Weekly Log'!$G:$G,"&lt;&gt;")),""))</f>
        <v/>
      </c>
      <c r="N415" s="15" t="str">
        <f aca="false">IF(A415="","",IF(K415=0,"",_xlfn.MAXIFS('Weekly Log'!$A:$A,'Weekly Log'!$C:$C,A415,'Weekly Log'!$E:$E,"Yes")))</f>
        <v/>
      </c>
      <c r="O415" s="12" t="str">
        <f aca="true">IF(N415="","",MAX(0,INT((TODAY()-N415)/7)))</f>
        <v/>
      </c>
      <c r="Q415" s="12" t="str">
        <f aca="false">IF(A415="","",IFERROR(LOOKUP(2,1/(('Weekly Log'!$C$4:$C$1003=A415)*('Weekly Log'!$I$4:$I$1003&lt;&gt;"")),'Weekly Log'!$I$4:$I$1003),""))</f>
        <v/>
      </c>
    </row>
    <row r="416" customFormat="false" ht="15" hidden="false" customHeight="false" outlineLevel="0" collapsed="false">
      <c r="H416" s="16"/>
      <c r="J416" s="12" t="str">
        <f aca="false">IF(A416="","",COUNTIF('Weekly Log'!$C:$C,A416))</f>
        <v/>
      </c>
      <c r="K416" s="12" t="str">
        <f aca="false">IF(A416="","",COUNTIFS('Weekly Log'!$C:$C,A416,'Weekly Log'!$E:$E,"Yes"))</f>
        <v/>
      </c>
      <c r="L416" s="13" t="str">
        <f aca="false">IF(A416="","",IF(J416=0,"",K416/J416))</f>
        <v/>
      </c>
      <c r="M416" s="14" t="str">
        <f aca="false">IF(A416="","",IFERROR((SUMIFS('Weekly Log'!$F:$F,'Weekly Log'!$C:$C,A416)+SUMIFS('Weekly Log'!$G:$G,'Weekly Log'!$C:$C,A416))/(COUNTIFS('Weekly Log'!$C:$C,A416,'Weekly Log'!$F:$F,"&lt;&gt;")+COUNTIFS('Weekly Log'!$C:$C,A416,'Weekly Log'!$G:$G,"&lt;&gt;")),""))</f>
        <v/>
      </c>
      <c r="N416" s="15" t="str">
        <f aca="false">IF(A416="","",IF(K416=0,"",_xlfn.MAXIFS('Weekly Log'!$A:$A,'Weekly Log'!$C:$C,A416,'Weekly Log'!$E:$E,"Yes")))</f>
        <v/>
      </c>
      <c r="O416" s="12" t="str">
        <f aca="true">IF(N416="","",MAX(0,INT((TODAY()-N416)/7)))</f>
        <v/>
      </c>
      <c r="Q416" s="12" t="str">
        <f aca="false">IF(A416="","",IFERROR(LOOKUP(2,1/(('Weekly Log'!$C$4:$C$1003=A416)*('Weekly Log'!$I$4:$I$1003&lt;&gt;"")),'Weekly Log'!$I$4:$I$1003),""))</f>
        <v/>
      </c>
    </row>
    <row r="417" customFormat="false" ht="15" hidden="false" customHeight="false" outlineLevel="0" collapsed="false">
      <c r="H417" s="16"/>
      <c r="J417" s="12" t="str">
        <f aca="false">IF(A417="","",COUNTIF('Weekly Log'!$C:$C,A417))</f>
        <v/>
      </c>
      <c r="K417" s="12" t="str">
        <f aca="false">IF(A417="","",COUNTIFS('Weekly Log'!$C:$C,A417,'Weekly Log'!$E:$E,"Yes"))</f>
        <v/>
      </c>
      <c r="L417" s="13" t="str">
        <f aca="false">IF(A417="","",IF(J417=0,"",K417/J417))</f>
        <v/>
      </c>
      <c r="M417" s="14" t="str">
        <f aca="false">IF(A417="","",IFERROR((SUMIFS('Weekly Log'!$F:$F,'Weekly Log'!$C:$C,A417)+SUMIFS('Weekly Log'!$G:$G,'Weekly Log'!$C:$C,A417))/(COUNTIFS('Weekly Log'!$C:$C,A417,'Weekly Log'!$F:$F,"&lt;&gt;")+COUNTIFS('Weekly Log'!$C:$C,A417,'Weekly Log'!$G:$G,"&lt;&gt;")),""))</f>
        <v/>
      </c>
      <c r="N417" s="15" t="str">
        <f aca="false">IF(A417="","",IF(K417=0,"",_xlfn.MAXIFS('Weekly Log'!$A:$A,'Weekly Log'!$C:$C,A417,'Weekly Log'!$E:$E,"Yes")))</f>
        <v/>
      </c>
      <c r="O417" s="12" t="str">
        <f aca="true">IF(N417="","",MAX(0,INT((TODAY()-N417)/7)))</f>
        <v/>
      </c>
      <c r="Q417" s="12" t="str">
        <f aca="false">IF(A417="","",IFERROR(LOOKUP(2,1/(('Weekly Log'!$C$4:$C$1003=A417)*('Weekly Log'!$I$4:$I$1003&lt;&gt;"")),'Weekly Log'!$I$4:$I$1003),""))</f>
        <v/>
      </c>
    </row>
    <row r="418" customFormat="false" ht="15" hidden="false" customHeight="false" outlineLevel="0" collapsed="false">
      <c r="H418" s="16"/>
      <c r="J418" s="12" t="str">
        <f aca="false">IF(A418="","",COUNTIF('Weekly Log'!$C:$C,A418))</f>
        <v/>
      </c>
      <c r="K418" s="12" t="str">
        <f aca="false">IF(A418="","",COUNTIFS('Weekly Log'!$C:$C,A418,'Weekly Log'!$E:$E,"Yes"))</f>
        <v/>
      </c>
      <c r="L418" s="13" t="str">
        <f aca="false">IF(A418="","",IF(J418=0,"",K418/J418))</f>
        <v/>
      </c>
      <c r="M418" s="14" t="str">
        <f aca="false">IF(A418="","",IFERROR((SUMIFS('Weekly Log'!$F:$F,'Weekly Log'!$C:$C,A418)+SUMIFS('Weekly Log'!$G:$G,'Weekly Log'!$C:$C,A418))/(COUNTIFS('Weekly Log'!$C:$C,A418,'Weekly Log'!$F:$F,"&lt;&gt;")+COUNTIFS('Weekly Log'!$C:$C,A418,'Weekly Log'!$G:$G,"&lt;&gt;")),""))</f>
        <v/>
      </c>
      <c r="N418" s="15" t="str">
        <f aca="false">IF(A418="","",IF(K418=0,"",_xlfn.MAXIFS('Weekly Log'!$A:$A,'Weekly Log'!$C:$C,A418,'Weekly Log'!$E:$E,"Yes")))</f>
        <v/>
      </c>
      <c r="O418" s="12" t="str">
        <f aca="true">IF(N418="","",MAX(0,INT((TODAY()-N418)/7)))</f>
        <v/>
      </c>
      <c r="Q418" s="12" t="str">
        <f aca="false">IF(A418="","",IFERROR(LOOKUP(2,1/(('Weekly Log'!$C$4:$C$1003=A418)*('Weekly Log'!$I$4:$I$1003&lt;&gt;"")),'Weekly Log'!$I$4:$I$1003),""))</f>
        <v/>
      </c>
    </row>
    <row r="419" customFormat="false" ht="15" hidden="false" customHeight="false" outlineLevel="0" collapsed="false">
      <c r="H419" s="16"/>
      <c r="J419" s="12" t="str">
        <f aca="false">IF(A419="","",COUNTIF('Weekly Log'!$C:$C,A419))</f>
        <v/>
      </c>
      <c r="K419" s="12" t="str">
        <f aca="false">IF(A419="","",COUNTIFS('Weekly Log'!$C:$C,A419,'Weekly Log'!$E:$E,"Yes"))</f>
        <v/>
      </c>
      <c r="L419" s="13" t="str">
        <f aca="false">IF(A419="","",IF(J419=0,"",K419/J419))</f>
        <v/>
      </c>
      <c r="M419" s="14" t="str">
        <f aca="false">IF(A419="","",IFERROR((SUMIFS('Weekly Log'!$F:$F,'Weekly Log'!$C:$C,A419)+SUMIFS('Weekly Log'!$G:$G,'Weekly Log'!$C:$C,A419))/(COUNTIFS('Weekly Log'!$C:$C,A419,'Weekly Log'!$F:$F,"&lt;&gt;")+COUNTIFS('Weekly Log'!$C:$C,A419,'Weekly Log'!$G:$G,"&lt;&gt;")),""))</f>
        <v/>
      </c>
      <c r="N419" s="15" t="str">
        <f aca="false">IF(A419="","",IF(K419=0,"",_xlfn.MAXIFS('Weekly Log'!$A:$A,'Weekly Log'!$C:$C,A419,'Weekly Log'!$E:$E,"Yes")))</f>
        <v/>
      </c>
      <c r="O419" s="12" t="str">
        <f aca="true">IF(N419="","",MAX(0,INT((TODAY()-N419)/7)))</f>
        <v/>
      </c>
      <c r="Q419" s="12" t="str">
        <f aca="false">IF(A419="","",IFERROR(LOOKUP(2,1/(('Weekly Log'!$C$4:$C$1003=A419)*('Weekly Log'!$I$4:$I$1003&lt;&gt;"")),'Weekly Log'!$I$4:$I$1003),""))</f>
        <v/>
      </c>
    </row>
    <row r="420" customFormat="false" ht="15" hidden="false" customHeight="false" outlineLevel="0" collapsed="false">
      <c r="H420" s="16"/>
      <c r="J420" s="12" t="str">
        <f aca="false">IF(A420="","",COUNTIF('Weekly Log'!$C:$C,A420))</f>
        <v/>
      </c>
      <c r="K420" s="12" t="str">
        <f aca="false">IF(A420="","",COUNTIFS('Weekly Log'!$C:$C,A420,'Weekly Log'!$E:$E,"Yes"))</f>
        <v/>
      </c>
      <c r="L420" s="13" t="str">
        <f aca="false">IF(A420="","",IF(J420=0,"",K420/J420))</f>
        <v/>
      </c>
      <c r="M420" s="14" t="str">
        <f aca="false">IF(A420="","",IFERROR((SUMIFS('Weekly Log'!$F:$F,'Weekly Log'!$C:$C,A420)+SUMIFS('Weekly Log'!$G:$G,'Weekly Log'!$C:$C,A420))/(COUNTIFS('Weekly Log'!$C:$C,A420,'Weekly Log'!$F:$F,"&lt;&gt;")+COUNTIFS('Weekly Log'!$C:$C,A420,'Weekly Log'!$G:$G,"&lt;&gt;")),""))</f>
        <v/>
      </c>
      <c r="N420" s="15" t="str">
        <f aca="false">IF(A420="","",IF(K420=0,"",_xlfn.MAXIFS('Weekly Log'!$A:$A,'Weekly Log'!$C:$C,A420,'Weekly Log'!$E:$E,"Yes")))</f>
        <v/>
      </c>
      <c r="O420" s="12" t="str">
        <f aca="true">IF(N420="","",MAX(0,INT((TODAY()-N420)/7)))</f>
        <v/>
      </c>
      <c r="Q420" s="12" t="str">
        <f aca="false">IF(A420="","",IFERROR(LOOKUP(2,1/(('Weekly Log'!$C$4:$C$1003=A420)*('Weekly Log'!$I$4:$I$1003&lt;&gt;"")),'Weekly Log'!$I$4:$I$1003),""))</f>
        <v/>
      </c>
    </row>
    <row r="421" customFormat="false" ht="15" hidden="false" customHeight="false" outlineLevel="0" collapsed="false">
      <c r="H421" s="16"/>
      <c r="J421" s="12" t="str">
        <f aca="false">IF(A421="","",COUNTIF('Weekly Log'!$C:$C,A421))</f>
        <v/>
      </c>
      <c r="K421" s="12" t="str">
        <f aca="false">IF(A421="","",COUNTIFS('Weekly Log'!$C:$C,A421,'Weekly Log'!$E:$E,"Yes"))</f>
        <v/>
      </c>
      <c r="L421" s="13" t="str">
        <f aca="false">IF(A421="","",IF(J421=0,"",K421/J421))</f>
        <v/>
      </c>
      <c r="M421" s="14" t="str">
        <f aca="false">IF(A421="","",IFERROR((SUMIFS('Weekly Log'!$F:$F,'Weekly Log'!$C:$C,A421)+SUMIFS('Weekly Log'!$G:$G,'Weekly Log'!$C:$C,A421))/(COUNTIFS('Weekly Log'!$C:$C,A421,'Weekly Log'!$F:$F,"&lt;&gt;")+COUNTIFS('Weekly Log'!$C:$C,A421,'Weekly Log'!$G:$G,"&lt;&gt;")),""))</f>
        <v/>
      </c>
      <c r="N421" s="15" t="str">
        <f aca="false">IF(A421="","",IF(K421=0,"",_xlfn.MAXIFS('Weekly Log'!$A:$A,'Weekly Log'!$C:$C,A421,'Weekly Log'!$E:$E,"Yes")))</f>
        <v/>
      </c>
      <c r="O421" s="12" t="str">
        <f aca="true">IF(N421="","",MAX(0,INT((TODAY()-N421)/7)))</f>
        <v/>
      </c>
      <c r="Q421" s="12" t="str">
        <f aca="false">IF(A421="","",IFERROR(LOOKUP(2,1/(('Weekly Log'!$C$4:$C$1003=A421)*('Weekly Log'!$I$4:$I$1003&lt;&gt;"")),'Weekly Log'!$I$4:$I$1003),""))</f>
        <v/>
      </c>
    </row>
    <row r="422" customFormat="false" ht="15" hidden="false" customHeight="false" outlineLevel="0" collapsed="false">
      <c r="H422" s="16"/>
      <c r="J422" s="12" t="str">
        <f aca="false">IF(A422="","",COUNTIF('Weekly Log'!$C:$C,A422))</f>
        <v/>
      </c>
      <c r="K422" s="12" t="str">
        <f aca="false">IF(A422="","",COUNTIFS('Weekly Log'!$C:$C,A422,'Weekly Log'!$E:$E,"Yes"))</f>
        <v/>
      </c>
      <c r="L422" s="13" t="str">
        <f aca="false">IF(A422="","",IF(J422=0,"",K422/J422))</f>
        <v/>
      </c>
      <c r="M422" s="14" t="str">
        <f aca="false">IF(A422="","",IFERROR((SUMIFS('Weekly Log'!$F:$F,'Weekly Log'!$C:$C,A422)+SUMIFS('Weekly Log'!$G:$G,'Weekly Log'!$C:$C,A422))/(COUNTIFS('Weekly Log'!$C:$C,A422,'Weekly Log'!$F:$F,"&lt;&gt;")+COUNTIFS('Weekly Log'!$C:$C,A422,'Weekly Log'!$G:$G,"&lt;&gt;")),""))</f>
        <v/>
      </c>
      <c r="N422" s="15" t="str">
        <f aca="false">IF(A422="","",IF(K422=0,"",_xlfn.MAXIFS('Weekly Log'!$A:$A,'Weekly Log'!$C:$C,A422,'Weekly Log'!$E:$E,"Yes")))</f>
        <v/>
      </c>
      <c r="O422" s="12" t="str">
        <f aca="true">IF(N422="","",MAX(0,INT((TODAY()-N422)/7)))</f>
        <v/>
      </c>
      <c r="Q422" s="12" t="str">
        <f aca="false">IF(A422="","",IFERROR(LOOKUP(2,1/(('Weekly Log'!$C$4:$C$1003=A422)*('Weekly Log'!$I$4:$I$1003&lt;&gt;"")),'Weekly Log'!$I$4:$I$1003),""))</f>
        <v/>
      </c>
    </row>
    <row r="423" customFormat="false" ht="15" hidden="false" customHeight="false" outlineLevel="0" collapsed="false">
      <c r="H423" s="16"/>
      <c r="J423" s="12" t="str">
        <f aca="false">IF(A423="","",COUNTIF('Weekly Log'!$C:$C,A423))</f>
        <v/>
      </c>
      <c r="K423" s="12" t="str">
        <f aca="false">IF(A423="","",COUNTIFS('Weekly Log'!$C:$C,A423,'Weekly Log'!$E:$E,"Yes"))</f>
        <v/>
      </c>
      <c r="L423" s="13" t="str">
        <f aca="false">IF(A423="","",IF(J423=0,"",K423/J423))</f>
        <v/>
      </c>
      <c r="M423" s="14" t="str">
        <f aca="false">IF(A423="","",IFERROR((SUMIFS('Weekly Log'!$F:$F,'Weekly Log'!$C:$C,A423)+SUMIFS('Weekly Log'!$G:$G,'Weekly Log'!$C:$C,A423))/(COUNTIFS('Weekly Log'!$C:$C,A423,'Weekly Log'!$F:$F,"&lt;&gt;")+COUNTIFS('Weekly Log'!$C:$C,A423,'Weekly Log'!$G:$G,"&lt;&gt;")),""))</f>
        <v/>
      </c>
      <c r="N423" s="15" t="str">
        <f aca="false">IF(A423="","",IF(K423=0,"",_xlfn.MAXIFS('Weekly Log'!$A:$A,'Weekly Log'!$C:$C,A423,'Weekly Log'!$E:$E,"Yes")))</f>
        <v/>
      </c>
      <c r="O423" s="12" t="str">
        <f aca="true">IF(N423="","",MAX(0,INT((TODAY()-N423)/7)))</f>
        <v/>
      </c>
      <c r="Q423" s="12" t="str">
        <f aca="false">IF(A423="","",IFERROR(LOOKUP(2,1/(('Weekly Log'!$C$4:$C$1003=A423)*('Weekly Log'!$I$4:$I$1003&lt;&gt;"")),'Weekly Log'!$I$4:$I$1003),""))</f>
        <v/>
      </c>
    </row>
    <row r="424" customFormat="false" ht="15" hidden="false" customHeight="false" outlineLevel="0" collapsed="false">
      <c r="H424" s="16"/>
      <c r="J424" s="12" t="str">
        <f aca="false">IF(A424="","",COUNTIF('Weekly Log'!$C:$C,A424))</f>
        <v/>
      </c>
      <c r="K424" s="12" t="str">
        <f aca="false">IF(A424="","",COUNTIFS('Weekly Log'!$C:$C,A424,'Weekly Log'!$E:$E,"Yes"))</f>
        <v/>
      </c>
      <c r="L424" s="13" t="str">
        <f aca="false">IF(A424="","",IF(J424=0,"",K424/J424))</f>
        <v/>
      </c>
      <c r="M424" s="14" t="str">
        <f aca="false">IF(A424="","",IFERROR((SUMIFS('Weekly Log'!$F:$F,'Weekly Log'!$C:$C,A424)+SUMIFS('Weekly Log'!$G:$G,'Weekly Log'!$C:$C,A424))/(COUNTIFS('Weekly Log'!$C:$C,A424,'Weekly Log'!$F:$F,"&lt;&gt;")+COUNTIFS('Weekly Log'!$C:$C,A424,'Weekly Log'!$G:$G,"&lt;&gt;")),""))</f>
        <v/>
      </c>
      <c r="N424" s="15" t="str">
        <f aca="false">IF(A424="","",IF(K424=0,"",_xlfn.MAXIFS('Weekly Log'!$A:$A,'Weekly Log'!$C:$C,A424,'Weekly Log'!$E:$E,"Yes")))</f>
        <v/>
      </c>
      <c r="O424" s="12" t="str">
        <f aca="true">IF(N424="","",MAX(0,INT((TODAY()-N424)/7)))</f>
        <v/>
      </c>
      <c r="Q424" s="12" t="str">
        <f aca="false">IF(A424="","",IFERROR(LOOKUP(2,1/(('Weekly Log'!$C$4:$C$1003=A424)*('Weekly Log'!$I$4:$I$1003&lt;&gt;"")),'Weekly Log'!$I$4:$I$1003),""))</f>
        <v/>
      </c>
    </row>
    <row r="425" customFormat="false" ht="15" hidden="false" customHeight="false" outlineLevel="0" collapsed="false">
      <c r="H425" s="16"/>
      <c r="J425" s="12" t="str">
        <f aca="false">IF(A425="","",COUNTIF('Weekly Log'!$C:$C,A425))</f>
        <v/>
      </c>
      <c r="K425" s="12" t="str">
        <f aca="false">IF(A425="","",COUNTIFS('Weekly Log'!$C:$C,A425,'Weekly Log'!$E:$E,"Yes"))</f>
        <v/>
      </c>
      <c r="L425" s="13" t="str">
        <f aca="false">IF(A425="","",IF(J425=0,"",K425/J425))</f>
        <v/>
      </c>
      <c r="M425" s="14" t="str">
        <f aca="false">IF(A425="","",IFERROR((SUMIFS('Weekly Log'!$F:$F,'Weekly Log'!$C:$C,A425)+SUMIFS('Weekly Log'!$G:$G,'Weekly Log'!$C:$C,A425))/(COUNTIFS('Weekly Log'!$C:$C,A425,'Weekly Log'!$F:$F,"&lt;&gt;")+COUNTIFS('Weekly Log'!$C:$C,A425,'Weekly Log'!$G:$G,"&lt;&gt;")),""))</f>
        <v/>
      </c>
      <c r="N425" s="15" t="str">
        <f aca="false">IF(A425="","",IF(K425=0,"",_xlfn.MAXIFS('Weekly Log'!$A:$A,'Weekly Log'!$C:$C,A425,'Weekly Log'!$E:$E,"Yes")))</f>
        <v/>
      </c>
      <c r="O425" s="12" t="str">
        <f aca="true">IF(N425="","",MAX(0,INT((TODAY()-N425)/7)))</f>
        <v/>
      </c>
      <c r="Q425" s="12" t="str">
        <f aca="false">IF(A425="","",IFERROR(LOOKUP(2,1/(('Weekly Log'!$C$4:$C$1003=A425)*('Weekly Log'!$I$4:$I$1003&lt;&gt;"")),'Weekly Log'!$I$4:$I$1003),""))</f>
        <v/>
      </c>
    </row>
    <row r="426" customFormat="false" ht="15" hidden="false" customHeight="false" outlineLevel="0" collapsed="false">
      <c r="H426" s="16"/>
      <c r="J426" s="12" t="str">
        <f aca="false">IF(A426="","",COUNTIF('Weekly Log'!$C:$C,A426))</f>
        <v/>
      </c>
      <c r="K426" s="12" t="str">
        <f aca="false">IF(A426="","",COUNTIFS('Weekly Log'!$C:$C,A426,'Weekly Log'!$E:$E,"Yes"))</f>
        <v/>
      </c>
      <c r="L426" s="13" t="str">
        <f aca="false">IF(A426="","",IF(J426=0,"",K426/J426))</f>
        <v/>
      </c>
      <c r="M426" s="14" t="str">
        <f aca="false">IF(A426="","",IFERROR((SUMIFS('Weekly Log'!$F:$F,'Weekly Log'!$C:$C,A426)+SUMIFS('Weekly Log'!$G:$G,'Weekly Log'!$C:$C,A426))/(COUNTIFS('Weekly Log'!$C:$C,A426,'Weekly Log'!$F:$F,"&lt;&gt;")+COUNTIFS('Weekly Log'!$C:$C,A426,'Weekly Log'!$G:$G,"&lt;&gt;")),""))</f>
        <v/>
      </c>
      <c r="N426" s="15" t="str">
        <f aca="false">IF(A426="","",IF(K426=0,"",_xlfn.MAXIFS('Weekly Log'!$A:$A,'Weekly Log'!$C:$C,A426,'Weekly Log'!$E:$E,"Yes")))</f>
        <v/>
      </c>
      <c r="O426" s="12" t="str">
        <f aca="true">IF(N426="","",MAX(0,INT((TODAY()-N426)/7)))</f>
        <v/>
      </c>
      <c r="Q426" s="12" t="str">
        <f aca="false">IF(A426="","",IFERROR(LOOKUP(2,1/(('Weekly Log'!$C$4:$C$1003=A426)*('Weekly Log'!$I$4:$I$1003&lt;&gt;"")),'Weekly Log'!$I$4:$I$1003),""))</f>
        <v/>
      </c>
    </row>
    <row r="427" customFormat="false" ht="15" hidden="false" customHeight="false" outlineLevel="0" collapsed="false">
      <c r="H427" s="16"/>
      <c r="J427" s="12" t="str">
        <f aca="false">IF(A427="","",COUNTIF('Weekly Log'!$C:$C,A427))</f>
        <v/>
      </c>
      <c r="K427" s="12" t="str">
        <f aca="false">IF(A427="","",COUNTIFS('Weekly Log'!$C:$C,A427,'Weekly Log'!$E:$E,"Yes"))</f>
        <v/>
      </c>
      <c r="L427" s="13" t="str">
        <f aca="false">IF(A427="","",IF(J427=0,"",K427/J427))</f>
        <v/>
      </c>
      <c r="M427" s="14" t="str">
        <f aca="false">IF(A427="","",IFERROR((SUMIFS('Weekly Log'!$F:$F,'Weekly Log'!$C:$C,A427)+SUMIFS('Weekly Log'!$G:$G,'Weekly Log'!$C:$C,A427))/(COUNTIFS('Weekly Log'!$C:$C,A427,'Weekly Log'!$F:$F,"&lt;&gt;")+COUNTIFS('Weekly Log'!$C:$C,A427,'Weekly Log'!$G:$G,"&lt;&gt;")),""))</f>
        <v/>
      </c>
      <c r="N427" s="15" t="str">
        <f aca="false">IF(A427="","",IF(K427=0,"",_xlfn.MAXIFS('Weekly Log'!$A:$A,'Weekly Log'!$C:$C,A427,'Weekly Log'!$E:$E,"Yes")))</f>
        <v/>
      </c>
      <c r="O427" s="12" t="str">
        <f aca="true">IF(N427="","",MAX(0,INT((TODAY()-N427)/7)))</f>
        <v/>
      </c>
      <c r="Q427" s="12" t="str">
        <f aca="false">IF(A427="","",IFERROR(LOOKUP(2,1/(('Weekly Log'!$C$4:$C$1003=A427)*('Weekly Log'!$I$4:$I$1003&lt;&gt;"")),'Weekly Log'!$I$4:$I$1003),""))</f>
        <v/>
      </c>
    </row>
    <row r="428" customFormat="false" ht="15" hidden="false" customHeight="false" outlineLevel="0" collapsed="false">
      <c r="H428" s="16"/>
      <c r="J428" s="12" t="str">
        <f aca="false">IF(A428="","",COUNTIF('Weekly Log'!$C:$C,A428))</f>
        <v/>
      </c>
      <c r="K428" s="12" t="str">
        <f aca="false">IF(A428="","",COUNTIFS('Weekly Log'!$C:$C,A428,'Weekly Log'!$E:$E,"Yes"))</f>
        <v/>
      </c>
      <c r="L428" s="13" t="str">
        <f aca="false">IF(A428="","",IF(J428=0,"",K428/J428))</f>
        <v/>
      </c>
      <c r="M428" s="14" t="str">
        <f aca="false">IF(A428="","",IFERROR((SUMIFS('Weekly Log'!$F:$F,'Weekly Log'!$C:$C,A428)+SUMIFS('Weekly Log'!$G:$G,'Weekly Log'!$C:$C,A428))/(COUNTIFS('Weekly Log'!$C:$C,A428,'Weekly Log'!$F:$F,"&lt;&gt;")+COUNTIFS('Weekly Log'!$C:$C,A428,'Weekly Log'!$G:$G,"&lt;&gt;")),""))</f>
        <v/>
      </c>
      <c r="N428" s="15" t="str">
        <f aca="false">IF(A428="","",IF(K428=0,"",_xlfn.MAXIFS('Weekly Log'!$A:$A,'Weekly Log'!$C:$C,A428,'Weekly Log'!$E:$E,"Yes")))</f>
        <v/>
      </c>
      <c r="O428" s="12" t="str">
        <f aca="true">IF(N428="","",MAX(0,INT((TODAY()-N428)/7)))</f>
        <v/>
      </c>
      <c r="Q428" s="12" t="str">
        <f aca="false">IF(A428="","",IFERROR(LOOKUP(2,1/(('Weekly Log'!$C$4:$C$1003=A428)*('Weekly Log'!$I$4:$I$1003&lt;&gt;"")),'Weekly Log'!$I$4:$I$1003),""))</f>
        <v/>
      </c>
    </row>
    <row r="429" customFormat="false" ht="15" hidden="false" customHeight="false" outlineLevel="0" collapsed="false">
      <c r="H429" s="16"/>
      <c r="J429" s="12" t="str">
        <f aca="false">IF(A429="","",COUNTIF('Weekly Log'!$C:$C,A429))</f>
        <v/>
      </c>
      <c r="K429" s="12" t="str">
        <f aca="false">IF(A429="","",COUNTIFS('Weekly Log'!$C:$C,A429,'Weekly Log'!$E:$E,"Yes"))</f>
        <v/>
      </c>
      <c r="L429" s="13" t="str">
        <f aca="false">IF(A429="","",IF(J429=0,"",K429/J429))</f>
        <v/>
      </c>
      <c r="M429" s="14" t="str">
        <f aca="false">IF(A429="","",IFERROR((SUMIFS('Weekly Log'!$F:$F,'Weekly Log'!$C:$C,A429)+SUMIFS('Weekly Log'!$G:$G,'Weekly Log'!$C:$C,A429))/(COUNTIFS('Weekly Log'!$C:$C,A429,'Weekly Log'!$F:$F,"&lt;&gt;")+COUNTIFS('Weekly Log'!$C:$C,A429,'Weekly Log'!$G:$G,"&lt;&gt;")),""))</f>
        <v/>
      </c>
      <c r="N429" s="15" t="str">
        <f aca="false">IF(A429="","",IF(K429=0,"",_xlfn.MAXIFS('Weekly Log'!$A:$A,'Weekly Log'!$C:$C,A429,'Weekly Log'!$E:$E,"Yes")))</f>
        <v/>
      </c>
      <c r="O429" s="12" t="str">
        <f aca="true">IF(N429="","",MAX(0,INT((TODAY()-N429)/7)))</f>
        <v/>
      </c>
      <c r="Q429" s="12" t="str">
        <f aca="false">IF(A429="","",IFERROR(LOOKUP(2,1/(('Weekly Log'!$C$4:$C$1003=A429)*('Weekly Log'!$I$4:$I$1003&lt;&gt;"")),'Weekly Log'!$I$4:$I$1003),""))</f>
        <v/>
      </c>
    </row>
    <row r="430" customFormat="false" ht="15" hidden="false" customHeight="false" outlineLevel="0" collapsed="false">
      <c r="H430" s="16"/>
      <c r="J430" s="12" t="str">
        <f aca="false">IF(A430="","",COUNTIF('Weekly Log'!$C:$C,A430))</f>
        <v/>
      </c>
      <c r="K430" s="12" t="str">
        <f aca="false">IF(A430="","",COUNTIFS('Weekly Log'!$C:$C,A430,'Weekly Log'!$E:$E,"Yes"))</f>
        <v/>
      </c>
      <c r="L430" s="13" t="str">
        <f aca="false">IF(A430="","",IF(J430=0,"",K430/J430))</f>
        <v/>
      </c>
      <c r="M430" s="14" t="str">
        <f aca="false">IF(A430="","",IFERROR((SUMIFS('Weekly Log'!$F:$F,'Weekly Log'!$C:$C,A430)+SUMIFS('Weekly Log'!$G:$G,'Weekly Log'!$C:$C,A430))/(COUNTIFS('Weekly Log'!$C:$C,A430,'Weekly Log'!$F:$F,"&lt;&gt;")+COUNTIFS('Weekly Log'!$C:$C,A430,'Weekly Log'!$G:$G,"&lt;&gt;")),""))</f>
        <v/>
      </c>
      <c r="N430" s="15" t="str">
        <f aca="false">IF(A430="","",IF(K430=0,"",_xlfn.MAXIFS('Weekly Log'!$A:$A,'Weekly Log'!$C:$C,A430,'Weekly Log'!$E:$E,"Yes")))</f>
        <v/>
      </c>
      <c r="O430" s="12" t="str">
        <f aca="true">IF(N430="","",MAX(0,INT((TODAY()-N430)/7)))</f>
        <v/>
      </c>
      <c r="Q430" s="12" t="str">
        <f aca="false">IF(A430="","",IFERROR(LOOKUP(2,1/(('Weekly Log'!$C$4:$C$1003=A430)*('Weekly Log'!$I$4:$I$1003&lt;&gt;"")),'Weekly Log'!$I$4:$I$1003),""))</f>
        <v/>
      </c>
    </row>
    <row r="431" customFormat="false" ht="15" hidden="false" customHeight="false" outlineLevel="0" collapsed="false">
      <c r="H431" s="16"/>
      <c r="J431" s="12" t="str">
        <f aca="false">IF(A431="","",COUNTIF('Weekly Log'!$C:$C,A431))</f>
        <v/>
      </c>
      <c r="K431" s="12" t="str">
        <f aca="false">IF(A431="","",COUNTIFS('Weekly Log'!$C:$C,A431,'Weekly Log'!$E:$E,"Yes"))</f>
        <v/>
      </c>
      <c r="L431" s="13" t="str">
        <f aca="false">IF(A431="","",IF(J431=0,"",K431/J431))</f>
        <v/>
      </c>
      <c r="M431" s="14" t="str">
        <f aca="false">IF(A431="","",IFERROR((SUMIFS('Weekly Log'!$F:$F,'Weekly Log'!$C:$C,A431)+SUMIFS('Weekly Log'!$G:$G,'Weekly Log'!$C:$C,A431))/(COUNTIFS('Weekly Log'!$C:$C,A431,'Weekly Log'!$F:$F,"&lt;&gt;")+COUNTIFS('Weekly Log'!$C:$C,A431,'Weekly Log'!$G:$G,"&lt;&gt;")),""))</f>
        <v/>
      </c>
      <c r="N431" s="15" t="str">
        <f aca="false">IF(A431="","",IF(K431=0,"",_xlfn.MAXIFS('Weekly Log'!$A:$A,'Weekly Log'!$C:$C,A431,'Weekly Log'!$E:$E,"Yes")))</f>
        <v/>
      </c>
      <c r="O431" s="12" t="str">
        <f aca="true">IF(N431="","",MAX(0,INT((TODAY()-N431)/7)))</f>
        <v/>
      </c>
      <c r="Q431" s="12" t="str">
        <f aca="false">IF(A431="","",IFERROR(LOOKUP(2,1/(('Weekly Log'!$C$4:$C$1003=A431)*('Weekly Log'!$I$4:$I$1003&lt;&gt;"")),'Weekly Log'!$I$4:$I$1003),""))</f>
        <v/>
      </c>
    </row>
    <row r="432" customFormat="false" ht="15" hidden="false" customHeight="false" outlineLevel="0" collapsed="false">
      <c r="H432" s="16"/>
      <c r="J432" s="12" t="str">
        <f aca="false">IF(A432="","",COUNTIF('Weekly Log'!$C:$C,A432))</f>
        <v/>
      </c>
      <c r="K432" s="12" t="str">
        <f aca="false">IF(A432="","",COUNTIFS('Weekly Log'!$C:$C,A432,'Weekly Log'!$E:$E,"Yes"))</f>
        <v/>
      </c>
      <c r="L432" s="13" t="str">
        <f aca="false">IF(A432="","",IF(J432=0,"",K432/J432))</f>
        <v/>
      </c>
      <c r="M432" s="14" t="str">
        <f aca="false">IF(A432="","",IFERROR((SUMIFS('Weekly Log'!$F:$F,'Weekly Log'!$C:$C,A432)+SUMIFS('Weekly Log'!$G:$G,'Weekly Log'!$C:$C,A432))/(COUNTIFS('Weekly Log'!$C:$C,A432,'Weekly Log'!$F:$F,"&lt;&gt;")+COUNTIFS('Weekly Log'!$C:$C,A432,'Weekly Log'!$G:$G,"&lt;&gt;")),""))</f>
        <v/>
      </c>
      <c r="N432" s="15" t="str">
        <f aca="false">IF(A432="","",IF(K432=0,"",_xlfn.MAXIFS('Weekly Log'!$A:$A,'Weekly Log'!$C:$C,A432,'Weekly Log'!$E:$E,"Yes")))</f>
        <v/>
      </c>
      <c r="O432" s="12" t="str">
        <f aca="true">IF(N432="","",MAX(0,INT((TODAY()-N432)/7)))</f>
        <v/>
      </c>
      <c r="Q432" s="12" t="str">
        <f aca="false">IF(A432="","",IFERROR(LOOKUP(2,1/(('Weekly Log'!$C$4:$C$1003=A432)*('Weekly Log'!$I$4:$I$1003&lt;&gt;"")),'Weekly Log'!$I$4:$I$1003),""))</f>
        <v/>
      </c>
    </row>
    <row r="433" customFormat="false" ht="15" hidden="false" customHeight="false" outlineLevel="0" collapsed="false">
      <c r="H433" s="16"/>
      <c r="J433" s="12" t="str">
        <f aca="false">IF(A433="","",COUNTIF('Weekly Log'!$C:$C,A433))</f>
        <v/>
      </c>
      <c r="K433" s="12" t="str">
        <f aca="false">IF(A433="","",COUNTIFS('Weekly Log'!$C:$C,A433,'Weekly Log'!$E:$E,"Yes"))</f>
        <v/>
      </c>
      <c r="L433" s="13" t="str">
        <f aca="false">IF(A433="","",IF(J433=0,"",K433/J433))</f>
        <v/>
      </c>
      <c r="M433" s="14" t="str">
        <f aca="false">IF(A433="","",IFERROR((SUMIFS('Weekly Log'!$F:$F,'Weekly Log'!$C:$C,A433)+SUMIFS('Weekly Log'!$G:$G,'Weekly Log'!$C:$C,A433))/(COUNTIFS('Weekly Log'!$C:$C,A433,'Weekly Log'!$F:$F,"&lt;&gt;")+COUNTIFS('Weekly Log'!$C:$C,A433,'Weekly Log'!$G:$G,"&lt;&gt;")),""))</f>
        <v/>
      </c>
      <c r="N433" s="15" t="str">
        <f aca="false">IF(A433="","",IF(K433=0,"",_xlfn.MAXIFS('Weekly Log'!$A:$A,'Weekly Log'!$C:$C,A433,'Weekly Log'!$E:$E,"Yes")))</f>
        <v/>
      </c>
      <c r="O433" s="12" t="str">
        <f aca="true">IF(N433="","",MAX(0,INT((TODAY()-N433)/7)))</f>
        <v/>
      </c>
      <c r="Q433" s="12" t="str">
        <f aca="false">IF(A433="","",IFERROR(LOOKUP(2,1/(('Weekly Log'!$C$4:$C$1003=A433)*('Weekly Log'!$I$4:$I$1003&lt;&gt;"")),'Weekly Log'!$I$4:$I$1003),""))</f>
        <v/>
      </c>
    </row>
    <row r="434" customFormat="false" ht="15" hidden="false" customHeight="false" outlineLevel="0" collapsed="false">
      <c r="H434" s="16"/>
      <c r="J434" s="12" t="str">
        <f aca="false">IF(A434="","",COUNTIF('Weekly Log'!$C:$C,A434))</f>
        <v/>
      </c>
      <c r="K434" s="12" t="str">
        <f aca="false">IF(A434="","",COUNTIFS('Weekly Log'!$C:$C,A434,'Weekly Log'!$E:$E,"Yes"))</f>
        <v/>
      </c>
      <c r="L434" s="13" t="str">
        <f aca="false">IF(A434="","",IF(J434=0,"",K434/J434))</f>
        <v/>
      </c>
      <c r="M434" s="14" t="str">
        <f aca="false">IF(A434="","",IFERROR((SUMIFS('Weekly Log'!$F:$F,'Weekly Log'!$C:$C,A434)+SUMIFS('Weekly Log'!$G:$G,'Weekly Log'!$C:$C,A434))/(COUNTIFS('Weekly Log'!$C:$C,A434,'Weekly Log'!$F:$F,"&lt;&gt;")+COUNTIFS('Weekly Log'!$C:$C,A434,'Weekly Log'!$G:$G,"&lt;&gt;")),""))</f>
        <v/>
      </c>
      <c r="N434" s="15" t="str">
        <f aca="false">IF(A434="","",IF(K434=0,"",_xlfn.MAXIFS('Weekly Log'!$A:$A,'Weekly Log'!$C:$C,A434,'Weekly Log'!$E:$E,"Yes")))</f>
        <v/>
      </c>
      <c r="O434" s="12" t="str">
        <f aca="true">IF(N434="","",MAX(0,INT((TODAY()-N434)/7)))</f>
        <v/>
      </c>
      <c r="Q434" s="12" t="str">
        <f aca="false">IF(A434="","",IFERROR(LOOKUP(2,1/(('Weekly Log'!$C$4:$C$1003=A434)*('Weekly Log'!$I$4:$I$1003&lt;&gt;"")),'Weekly Log'!$I$4:$I$1003),""))</f>
        <v/>
      </c>
    </row>
    <row r="435" customFormat="false" ht="15" hidden="false" customHeight="false" outlineLevel="0" collapsed="false">
      <c r="H435" s="16"/>
      <c r="J435" s="12" t="str">
        <f aca="false">IF(A435="","",COUNTIF('Weekly Log'!$C:$C,A435))</f>
        <v/>
      </c>
      <c r="K435" s="12" t="str">
        <f aca="false">IF(A435="","",COUNTIFS('Weekly Log'!$C:$C,A435,'Weekly Log'!$E:$E,"Yes"))</f>
        <v/>
      </c>
      <c r="L435" s="13" t="str">
        <f aca="false">IF(A435="","",IF(J435=0,"",K435/J435))</f>
        <v/>
      </c>
      <c r="M435" s="14" t="str">
        <f aca="false">IF(A435="","",IFERROR((SUMIFS('Weekly Log'!$F:$F,'Weekly Log'!$C:$C,A435)+SUMIFS('Weekly Log'!$G:$G,'Weekly Log'!$C:$C,A435))/(COUNTIFS('Weekly Log'!$C:$C,A435,'Weekly Log'!$F:$F,"&lt;&gt;")+COUNTIFS('Weekly Log'!$C:$C,A435,'Weekly Log'!$G:$G,"&lt;&gt;")),""))</f>
        <v/>
      </c>
      <c r="N435" s="15" t="str">
        <f aca="false">IF(A435="","",IF(K435=0,"",_xlfn.MAXIFS('Weekly Log'!$A:$A,'Weekly Log'!$C:$C,A435,'Weekly Log'!$E:$E,"Yes")))</f>
        <v/>
      </c>
      <c r="O435" s="12" t="str">
        <f aca="true">IF(N435="","",MAX(0,INT((TODAY()-N435)/7)))</f>
        <v/>
      </c>
      <c r="Q435" s="12" t="str">
        <f aca="false">IF(A435="","",IFERROR(LOOKUP(2,1/(('Weekly Log'!$C$4:$C$1003=A435)*('Weekly Log'!$I$4:$I$1003&lt;&gt;"")),'Weekly Log'!$I$4:$I$1003),""))</f>
        <v/>
      </c>
    </row>
    <row r="436" customFormat="false" ht="15" hidden="false" customHeight="false" outlineLevel="0" collapsed="false">
      <c r="H436" s="16"/>
      <c r="J436" s="12" t="str">
        <f aca="false">IF(A436="","",COUNTIF('Weekly Log'!$C:$C,A436))</f>
        <v/>
      </c>
      <c r="K436" s="12" t="str">
        <f aca="false">IF(A436="","",COUNTIFS('Weekly Log'!$C:$C,A436,'Weekly Log'!$E:$E,"Yes"))</f>
        <v/>
      </c>
      <c r="L436" s="13" t="str">
        <f aca="false">IF(A436="","",IF(J436=0,"",K436/J436))</f>
        <v/>
      </c>
      <c r="M436" s="14" t="str">
        <f aca="false">IF(A436="","",IFERROR((SUMIFS('Weekly Log'!$F:$F,'Weekly Log'!$C:$C,A436)+SUMIFS('Weekly Log'!$G:$G,'Weekly Log'!$C:$C,A436))/(COUNTIFS('Weekly Log'!$C:$C,A436,'Weekly Log'!$F:$F,"&lt;&gt;")+COUNTIFS('Weekly Log'!$C:$C,A436,'Weekly Log'!$G:$G,"&lt;&gt;")),""))</f>
        <v/>
      </c>
      <c r="N436" s="15" t="str">
        <f aca="false">IF(A436="","",IF(K436=0,"",_xlfn.MAXIFS('Weekly Log'!$A:$A,'Weekly Log'!$C:$C,A436,'Weekly Log'!$E:$E,"Yes")))</f>
        <v/>
      </c>
      <c r="O436" s="12" t="str">
        <f aca="true">IF(N436="","",MAX(0,INT((TODAY()-N436)/7)))</f>
        <v/>
      </c>
      <c r="Q436" s="12" t="str">
        <f aca="false">IF(A436="","",IFERROR(LOOKUP(2,1/(('Weekly Log'!$C$4:$C$1003=A436)*('Weekly Log'!$I$4:$I$1003&lt;&gt;"")),'Weekly Log'!$I$4:$I$1003),""))</f>
        <v/>
      </c>
    </row>
    <row r="437" customFormat="false" ht="15" hidden="false" customHeight="false" outlineLevel="0" collapsed="false">
      <c r="H437" s="16"/>
      <c r="J437" s="12" t="str">
        <f aca="false">IF(A437="","",COUNTIF('Weekly Log'!$C:$C,A437))</f>
        <v/>
      </c>
      <c r="K437" s="12" t="str">
        <f aca="false">IF(A437="","",COUNTIFS('Weekly Log'!$C:$C,A437,'Weekly Log'!$E:$E,"Yes"))</f>
        <v/>
      </c>
      <c r="L437" s="13" t="str">
        <f aca="false">IF(A437="","",IF(J437=0,"",K437/J437))</f>
        <v/>
      </c>
      <c r="M437" s="14" t="str">
        <f aca="false">IF(A437="","",IFERROR((SUMIFS('Weekly Log'!$F:$F,'Weekly Log'!$C:$C,A437)+SUMIFS('Weekly Log'!$G:$G,'Weekly Log'!$C:$C,A437))/(COUNTIFS('Weekly Log'!$C:$C,A437,'Weekly Log'!$F:$F,"&lt;&gt;")+COUNTIFS('Weekly Log'!$C:$C,A437,'Weekly Log'!$G:$G,"&lt;&gt;")),""))</f>
        <v/>
      </c>
      <c r="N437" s="15" t="str">
        <f aca="false">IF(A437="","",IF(K437=0,"",_xlfn.MAXIFS('Weekly Log'!$A:$A,'Weekly Log'!$C:$C,A437,'Weekly Log'!$E:$E,"Yes")))</f>
        <v/>
      </c>
      <c r="O437" s="12" t="str">
        <f aca="true">IF(N437="","",MAX(0,INT((TODAY()-N437)/7)))</f>
        <v/>
      </c>
      <c r="Q437" s="12" t="str">
        <f aca="false">IF(A437="","",IFERROR(LOOKUP(2,1/(('Weekly Log'!$C$4:$C$1003=A437)*('Weekly Log'!$I$4:$I$1003&lt;&gt;"")),'Weekly Log'!$I$4:$I$1003),""))</f>
        <v/>
      </c>
    </row>
    <row r="438" customFormat="false" ht="15" hidden="false" customHeight="false" outlineLevel="0" collapsed="false">
      <c r="H438" s="16"/>
      <c r="J438" s="12" t="str">
        <f aca="false">IF(A438="","",COUNTIF('Weekly Log'!$C:$C,A438))</f>
        <v/>
      </c>
      <c r="K438" s="12" t="str">
        <f aca="false">IF(A438="","",COUNTIFS('Weekly Log'!$C:$C,A438,'Weekly Log'!$E:$E,"Yes"))</f>
        <v/>
      </c>
      <c r="L438" s="13" t="str">
        <f aca="false">IF(A438="","",IF(J438=0,"",K438/J438))</f>
        <v/>
      </c>
      <c r="M438" s="14" t="str">
        <f aca="false">IF(A438="","",IFERROR((SUMIFS('Weekly Log'!$F:$F,'Weekly Log'!$C:$C,A438)+SUMIFS('Weekly Log'!$G:$G,'Weekly Log'!$C:$C,A438))/(COUNTIFS('Weekly Log'!$C:$C,A438,'Weekly Log'!$F:$F,"&lt;&gt;")+COUNTIFS('Weekly Log'!$C:$C,A438,'Weekly Log'!$G:$G,"&lt;&gt;")),""))</f>
        <v/>
      </c>
      <c r="N438" s="15" t="str">
        <f aca="false">IF(A438="","",IF(K438=0,"",_xlfn.MAXIFS('Weekly Log'!$A:$A,'Weekly Log'!$C:$C,A438,'Weekly Log'!$E:$E,"Yes")))</f>
        <v/>
      </c>
      <c r="O438" s="12" t="str">
        <f aca="true">IF(N438="","",MAX(0,INT((TODAY()-N438)/7)))</f>
        <v/>
      </c>
      <c r="Q438" s="12" t="str">
        <f aca="false">IF(A438="","",IFERROR(LOOKUP(2,1/(('Weekly Log'!$C$4:$C$1003=A438)*('Weekly Log'!$I$4:$I$1003&lt;&gt;"")),'Weekly Log'!$I$4:$I$1003),""))</f>
        <v/>
      </c>
    </row>
    <row r="439" customFormat="false" ht="15" hidden="false" customHeight="false" outlineLevel="0" collapsed="false">
      <c r="H439" s="16"/>
      <c r="J439" s="12" t="str">
        <f aca="false">IF(A439="","",COUNTIF('Weekly Log'!$C:$C,A439))</f>
        <v/>
      </c>
      <c r="K439" s="12" t="str">
        <f aca="false">IF(A439="","",COUNTIFS('Weekly Log'!$C:$C,A439,'Weekly Log'!$E:$E,"Yes"))</f>
        <v/>
      </c>
      <c r="L439" s="13" t="str">
        <f aca="false">IF(A439="","",IF(J439=0,"",K439/J439))</f>
        <v/>
      </c>
      <c r="M439" s="14" t="str">
        <f aca="false">IF(A439="","",IFERROR((SUMIFS('Weekly Log'!$F:$F,'Weekly Log'!$C:$C,A439)+SUMIFS('Weekly Log'!$G:$G,'Weekly Log'!$C:$C,A439))/(COUNTIFS('Weekly Log'!$C:$C,A439,'Weekly Log'!$F:$F,"&lt;&gt;")+COUNTIFS('Weekly Log'!$C:$C,A439,'Weekly Log'!$G:$G,"&lt;&gt;")),""))</f>
        <v/>
      </c>
      <c r="N439" s="15" t="str">
        <f aca="false">IF(A439="","",IF(K439=0,"",_xlfn.MAXIFS('Weekly Log'!$A:$A,'Weekly Log'!$C:$C,A439,'Weekly Log'!$E:$E,"Yes")))</f>
        <v/>
      </c>
      <c r="O439" s="12" t="str">
        <f aca="true">IF(N439="","",MAX(0,INT((TODAY()-N439)/7)))</f>
        <v/>
      </c>
      <c r="Q439" s="12" t="str">
        <f aca="false">IF(A439="","",IFERROR(LOOKUP(2,1/(('Weekly Log'!$C$4:$C$1003=A439)*('Weekly Log'!$I$4:$I$1003&lt;&gt;"")),'Weekly Log'!$I$4:$I$1003),""))</f>
        <v/>
      </c>
    </row>
    <row r="440" customFormat="false" ht="15" hidden="false" customHeight="false" outlineLevel="0" collapsed="false">
      <c r="H440" s="16"/>
      <c r="J440" s="12" t="str">
        <f aca="false">IF(A440="","",COUNTIF('Weekly Log'!$C:$C,A440))</f>
        <v/>
      </c>
      <c r="K440" s="12" t="str">
        <f aca="false">IF(A440="","",COUNTIFS('Weekly Log'!$C:$C,A440,'Weekly Log'!$E:$E,"Yes"))</f>
        <v/>
      </c>
      <c r="L440" s="13" t="str">
        <f aca="false">IF(A440="","",IF(J440=0,"",K440/J440))</f>
        <v/>
      </c>
      <c r="M440" s="14" t="str">
        <f aca="false">IF(A440="","",IFERROR((SUMIFS('Weekly Log'!$F:$F,'Weekly Log'!$C:$C,A440)+SUMIFS('Weekly Log'!$G:$G,'Weekly Log'!$C:$C,A440))/(COUNTIFS('Weekly Log'!$C:$C,A440,'Weekly Log'!$F:$F,"&lt;&gt;")+COUNTIFS('Weekly Log'!$C:$C,A440,'Weekly Log'!$G:$G,"&lt;&gt;")),""))</f>
        <v/>
      </c>
      <c r="N440" s="15" t="str">
        <f aca="false">IF(A440="","",IF(K440=0,"",_xlfn.MAXIFS('Weekly Log'!$A:$A,'Weekly Log'!$C:$C,A440,'Weekly Log'!$E:$E,"Yes")))</f>
        <v/>
      </c>
      <c r="O440" s="12" t="str">
        <f aca="true">IF(N440="","",MAX(0,INT((TODAY()-N440)/7)))</f>
        <v/>
      </c>
      <c r="Q440" s="12" t="str">
        <f aca="false">IF(A440="","",IFERROR(LOOKUP(2,1/(('Weekly Log'!$C$4:$C$1003=A440)*('Weekly Log'!$I$4:$I$1003&lt;&gt;"")),'Weekly Log'!$I$4:$I$1003),""))</f>
        <v/>
      </c>
    </row>
    <row r="441" customFormat="false" ht="15" hidden="false" customHeight="false" outlineLevel="0" collapsed="false">
      <c r="H441" s="16"/>
      <c r="J441" s="12" t="str">
        <f aca="false">IF(A441="","",COUNTIF('Weekly Log'!$C:$C,A441))</f>
        <v/>
      </c>
      <c r="K441" s="12" t="str">
        <f aca="false">IF(A441="","",COUNTIFS('Weekly Log'!$C:$C,A441,'Weekly Log'!$E:$E,"Yes"))</f>
        <v/>
      </c>
      <c r="L441" s="13" t="str">
        <f aca="false">IF(A441="","",IF(J441=0,"",K441/J441))</f>
        <v/>
      </c>
      <c r="M441" s="14" t="str">
        <f aca="false">IF(A441="","",IFERROR((SUMIFS('Weekly Log'!$F:$F,'Weekly Log'!$C:$C,A441)+SUMIFS('Weekly Log'!$G:$G,'Weekly Log'!$C:$C,A441))/(COUNTIFS('Weekly Log'!$C:$C,A441,'Weekly Log'!$F:$F,"&lt;&gt;")+COUNTIFS('Weekly Log'!$C:$C,A441,'Weekly Log'!$G:$G,"&lt;&gt;")),""))</f>
        <v/>
      </c>
      <c r="N441" s="15" t="str">
        <f aca="false">IF(A441="","",IF(K441=0,"",_xlfn.MAXIFS('Weekly Log'!$A:$A,'Weekly Log'!$C:$C,A441,'Weekly Log'!$E:$E,"Yes")))</f>
        <v/>
      </c>
      <c r="O441" s="12" t="str">
        <f aca="true">IF(N441="","",MAX(0,INT((TODAY()-N441)/7)))</f>
        <v/>
      </c>
      <c r="Q441" s="12" t="str">
        <f aca="false">IF(A441="","",IFERROR(LOOKUP(2,1/(('Weekly Log'!$C$4:$C$1003=A441)*('Weekly Log'!$I$4:$I$1003&lt;&gt;"")),'Weekly Log'!$I$4:$I$1003),""))</f>
        <v/>
      </c>
    </row>
    <row r="442" customFormat="false" ht="15" hidden="false" customHeight="false" outlineLevel="0" collapsed="false">
      <c r="H442" s="16"/>
      <c r="J442" s="12" t="str">
        <f aca="false">IF(A442="","",COUNTIF('Weekly Log'!$C:$C,A442))</f>
        <v/>
      </c>
      <c r="K442" s="12" t="str">
        <f aca="false">IF(A442="","",COUNTIFS('Weekly Log'!$C:$C,A442,'Weekly Log'!$E:$E,"Yes"))</f>
        <v/>
      </c>
      <c r="L442" s="13" t="str">
        <f aca="false">IF(A442="","",IF(J442=0,"",K442/J442))</f>
        <v/>
      </c>
      <c r="M442" s="14" t="str">
        <f aca="false">IF(A442="","",IFERROR((SUMIFS('Weekly Log'!$F:$F,'Weekly Log'!$C:$C,A442)+SUMIFS('Weekly Log'!$G:$G,'Weekly Log'!$C:$C,A442))/(COUNTIFS('Weekly Log'!$C:$C,A442,'Weekly Log'!$F:$F,"&lt;&gt;")+COUNTIFS('Weekly Log'!$C:$C,A442,'Weekly Log'!$G:$G,"&lt;&gt;")),""))</f>
        <v/>
      </c>
      <c r="N442" s="15" t="str">
        <f aca="false">IF(A442="","",IF(K442=0,"",_xlfn.MAXIFS('Weekly Log'!$A:$A,'Weekly Log'!$C:$C,A442,'Weekly Log'!$E:$E,"Yes")))</f>
        <v/>
      </c>
      <c r="O442" s="12" t="str">
        <f aca="true">IF(N442="","",MAX(0,INT((TODAY()-N442)/7)))</f>
        <v/>
      </c>
      <c r="Q442" s="12" t="str">
        <f aca="false">IF(A442="","",IFERROR(LOOKUP(2,1/(('Weekly Log'!$C$4:$C$1003=A442)*('Weekly Log'!$I$4:$I$1003&lt;&gt;"")),'Weekly Log'!$I$4:$I$1003),""))</f>
        <v/>
      </c>
    </row>
    <row r="443" customFormat="false" ht="15" hidden="false" customHeight="false" outlineLevel="0" collapsed="false">
      <c r="H443" s="16"/>
      <c r="J443" s="12" t="str">
        <f aca="false">IF(A443="","",COUNTIF('Weekly Log'!$C:$C,A443))</f>
        <v/>
      </c>
      <c r="K443" s="12" t="str">
        <f aca="false">IF(A443="","",COUNTIFS('Weekly Log'!$C:$C,A443,'Weekly Log'!$E:$E,"Yes"))</f>
        <v/>
      </c>
      <c r="L443" s="13" t="str">
        <f aca="false">IF(A443="","",IF(J443=0,"",K443/J443))</f>
        <v/>
      </c>
      <c r="M443" s="14" t="str">
        <f aca="false">IF(A443="","",IFERROR((SUMIFS('Weekly Log'!$F:$F,'Weekly Log'!$C:$C,A443)+SUMIFS('Weekly Log'!$G:$G,'Weekly Log'!$C:$C,A443))/(COUNTIFS('Weekly Log'!$C:$C,A443,'Weekly Log'!$F:$F,"&lt;&gt;")+COUNTIFS('Weekly Log'!$C:$C,A443,'Weekly Log'!$G:$G,"&lt;&gt;")),""))</f>
        <v/>
      </c>
      <c r="N443" s="15" t="str">
        <f aca="false">IF(A443="","",IF(K443=0,"",_xlfn.MAXIFS('Weekly Log'!$A:$A,'Weekly Log'!$C:$C,A443,'Weekly Log'!$E:$E,"Yes")))</f>
        <v/>
      </c>
      <c r="O443" s="12" t="str">
        <f aca="true">IF(N443="","",MAX(0,INT((TODAY()-N443)/7)))</f>
        <v/>
      </c>
      <c r="Q443" s="12" t="str">
        <f aca="false">IF(A443="","",IFERROR(LOOKUP(2,1/(('Weekly Log'!$C$4:$C$1003=A443)*('Weekly Log'!$I$4:$I$1003&lt;&gt;"")),'Weekly Log'!$I$4:$I$1003),""))</f>
        <v/>
      </c>
    </row>
    <row r="444" customFormat="false" ht="15" hidden="false" customHeight="false" outlineLevel="0" collapsed="false">
      <c r="H444" s="16"/>
      <c r="J444" s="12" t="str">
        <f aca="false">IF(A444="","",COUNTIF('Weekly Log'!$C:$C,A444))</f>
        <v/>
      </c>
      <c r="K444" s="12" t="str">
        <f aca="false">IF(A444="","",COUNTIFS('Weekly Log'!$C:$C,A444,'Weekly Log'!$E:$E,"Yes"))</f>
        <v/>
      </c>
      <c r="L444" s="13" t="str">
        <f aca="false">IF(A444="","",IF(J444=0,"",K444/J444))</f>
        <v/>
      </c>
      <c r="M444" s="14" t="str">
        <f aca="false">IF(A444="","",IFERROR((SUMIFS('Weekly Log'!$F:$F,'Weekly Log'!$C:$C,A444)+SUMIFS('Weekly Log'!$G:$G,'Weekly Log'!$C:$C,A444))/(COUNTIFS('Weekly Log'!$C:$C,A444,'Weekly Log'!$F:$F,"&lt;&gt;")+COUNTIFS('Weekly Log'!$C:$C,A444,'Weekly Log'!$G:$G,"&lt;&gt;")),""))</f>
        <v/>
      </c>
      <c r="N444" s="15" t="str">
        <f aca="false">IF(A444="","",IF(K444=0,"",_xlfn.MAXIFS('Weekly Log'!$A:$A,'Weekly Log'!$C:$C,A444,'Weekly Log'!$E:$E,"Yes")))</f>
        <v/>
      </c>
      <c r="O444" s="12" t="str">
        <f aca="true">IF(N444="","",MAX(0,INT((TODAY()-N444)/7)))</f>
        <v/>
      </c>
      <c r="Q444" s="12" t="str">
        <f aca="false">IF(A444="","",IFERROR(LOOKUP(2,1/(('Weekly Log'!$C$4:$C$1003=A444)*('Weekly Log'!$I$4:$I$1003&lt;&gt;"")),'Weekly Log'!$I$4:$I$1003),""))</f>
        <v/>
      </c>
    </row>
    <row r="445" customFormat="false" ht="15" hidden="false" customHeight="false" outlineLevel="0" collapsed="false">
      <c r="H445" s="16"/>
      <c r="J445" s="12" t="str">
        <f aca="false">IF(A445="","",COUNTIF('Weekly Log'!$C:$C,A445))</f>
        <v/>
      </c>
      <c r="K445" s="12" t="str">
        <f aca="false">IF(A445="","",COUNTIFS('Weekly Log'!$C:$C,A445,'Weekly Log'!$E:$E,"Yes"))</f>
        <v/>
      </c>
      <c r="L445" s="13" t="str">
        <f aca="false">IF(A445="","",IF(J445=0,"",K445/J445))</f>
        <v/>
      </c>
      <c r="M445" s="14" t="str">
        <f aca="false">IF(A445="","",IFERROR((SUMIFS('Weekly Log'!$F:$F,'Weekly Log'!$C:$C,A445)+SUMIFS('Weekly Log'!$G:$G,'Weekly Log'!$C:$C,A445))/(COUNTIFS('Weekly Log'!$C:$C,A445,'Weekly Log'!$F:$F,"&lt;&gt;")+COUNTIFS('Weekly Log'!$C:$C,A445,'Weekly Log'!$G:$G,"&lt;&gt;")),""))</f>
        <v/>
      </c>
      <c r="N445" s="15" t="str">
        <f aca="false">IF(A445="","",IF(K445=0,"",_xlfn.MAXIFS('Weekly Log'!$A:$A,'Weekly Log'!$C:$C,A445,'Weekly Log'!$E:$E,"Yes")))</f>
        <v/>
      </c>
      <c r="O445" s="12" t="str">
        <f aca="true">IF(N445="","",MAX(0,INT((TODAY()-N445)/7)))</f>
        <v/>
      </c>
      <c r="Q445" s="12" t="str">
        <f aca="false">IF(A445="","",IFERROR(LOOKUP(2,1/(('Weekly Log'!$C$4:$C$1003=A445)*('Weekly Log'!$I$4:$I$1003&lt;&gt;"")),'Weekly Log'!$I$4:$I$1003),""))</f>
        <v/>
      </c>
    </row>
    <row r="446" customFormat="false" ht="15" hidden="false" customHeight="false" outlineLevel="0" collapsed="false">
      <c r="H446" s="16"/>
      <c r="J446" s="12" t="str">
        <f aca="false">IF(A446="","",COUNTIF('Weekly Log'!$C:$C,A446))</f>
        <v/>
      </c>
      <c r="K446" s="12" t="str">
        <f aca="false">IF(A446="","",COUNTIFS('Weekly Log'!$C:$C,A446,'Weekly Log'!$E:$E,"Yes"))</f>
        <v/>
      </c>
      <c r="L446" s="13" t="str">
        <f aca="false">IF(A446="","",IF(J446=0,"",K446/J446))</f>
        <v/>
      </c>
      <c r="M446" s="14" t="str">
        <f aca="false">IF(A446="","",IFERROR((SUMIFS('Weekly Log'!$F:$F,'Weekly Log'!$C:$C,A446)+SUMIFS('Weekly Log'!$G:$G,'Weekly Log'!$C:$C,A446))/(COUNTIFS('Weekly Log'!$C:$C,A446,'Weekly Log'!$F:$F,"&lt;&gt;")+COUNTIFS('Weekly Log'!$C:$C,A446,'Weekly Log'!$G:$G,"&lt;&gt;")),""))</f>
        <v/>
      </c>
      <c r="N446" s="15" t="str">
        <f aca="false">IF(A446="","",IF(K446=0,"",_xlfn.MAXIFS('Weekly Log'!$A:$A,'Weekly Log'!$C:$C,A446,'Weekly Log'!$E:$E,"Yes")))</f>
        <v/>
      </c>
      <c r="O446" s="12" t="str">
        <f aca="true">IF(N446="","",MAX(0,INT((TODAY()-N446)/7)))</f>
        <v/>
      </c>
      <c r="Q446" s="12" t="str">
        <f aca="false">IF(A446="","",IFERROR(LOOKUP(2,1/(('Weekly Log'!$C$4:$C$1003=A446)*('Weekly Log'!$I$4:$I$1003&lt;&gt;"")),'Weekly Log'!$I$4:$I$1003),""))</f>
        <v/>
      </c>
    </row>
    <row r="447" customFormat="false" ht="15" hidden="false" customHeight="false" outlineLevel="0" collapsed="false">
      <c r="H447" s="16"/>
      <c r="J447" s="12" t="str">
        <f aca="false">IF(A447="","",COUNTIF('Weekly Log'!$C:$C,A447))</f>
        <v/>
      </c>
      <c r="K447" s="12" t="str">
        <f aca="false">IF(A447="","",COUNTIFS('Weekly Log'!$C:$C,A447,'Weekly Log'!$E:$E,"Yes"))</f>
        <v/>
      </c>
      <c r="L447" s="13" t="str">
        <f aca="false">IF(A447="","",IF(J447=0,"",K447/J447))</f>
        <v/>
      </c>
      <c r="M447" s="14" t="str">
        <f aca="false">IF(A447="","",IFERROR((SUMIFS('Weekly Log'!$F:$F,'Weekly Log'!$C:$C,A447)+SUMIFS('Weekly Log'!$G:$G,'Weekly Log'!$C:$C,A447))/(COUNTIFS('Weekly Log'!$C:$C,A447,'Weekly Log'!$F:$F,"&lt;&gt;")+COUNTIFS('Weekly Log'!$C:$C,A447,'Weekly Log'!$G:$G,"&lt;&gt;")),""))</f>
        <v/>
      </c>
      <c r="N447" s="15" t="str">
        <f aca="false">IF(A447="","",IF(K447=0,"",_xlfn.MAXIFS('Weekly Log'!$A:$A,'Weekly Log'!$C:$C,A447,'Weekly Log'!$E:$E,"Yes")))</f>
        <v/>
      </c>
      <c r="O447" s="12" t="str">
        <f aca="true">IF(N447="","",MAX(0,INT((TODAY()-N447)/7)))</f>
        <v/>
      </c>
      <c r="Q447" s="12" t="str">
        <f aca="false">IF(A447="","",IFERROR(LOOKUP(2,1/(('Weekly Log'!$C$4:$C$1003=A447)*('Weekly Log'!$I$4:$I$1003&lt;&gt;"")),'Weekly Log'!$I$4:$I$1003),""))</f>
        <v/>
      </c>
    </row>
    <row r="448" customFormat="false" ht="15" hidden="false" customHeight="false" outlineLevel="0" collapsed="false">
      <c r="H448" s="16"/>
      <c r="J448" s="12" t="str">
        <f aca="false">IF(A448="","",COUNTIF('Weekly Log'!$C:$C,A448))</f>
        <v/>
      </c>
      <c r="K448" s="12" t="str">
        <f aca="false">IF(A448="","",COUNTIFS('Weekly Log'!$C:$C,A448,'Weekly Log'!$E:$E,"Yes"))</f>
        <v/>
      </c>
      <c r="L448" s="13" t="str">
        <f aca="false">IF(A448="","",IF(J448=0,"",K448/J448))</f>
        <v/>
      </c>
      <c r="M448" s="14" t="str">
        <f aca="false">IF(A448="","",IFERROR((SUMIFS('Weekly Log'!$F:$F,'Weekly Log'!$C:$C,A448)+SUMIFS('Weekly Log'!$G:$G,'Weekly Log'!$C:$C,A448))/(COUNTIFS('Weekly Log'!$C:$C,A448,'Weekly Log'!$F:$F,"&lt;&gt;")+COUNTIFS('Weekly Log'!$C:$C,A448,'Weekly Log'!$G:$G,"&lt;&gt;")),""))</f>
        <v/>
      </c>
      <c r="N448" s="15" t="str">
        <f aca="false">IF(A448="","",IF(K448=0,"",_xlfn.MAXIFS('Weekly Log'!$A:$A,'Weekly Log'!$C:$C,A448,'Weekly Log'!$E:$E,"Yes")))</f>
        <v/>
      </c>
      <c r="O448" s="12" t="str">
        <f aca="true">IF(N448="","",MAX(0,INT((TODAY()-N448)/7)))</f>
        <v/>
      </c>
      <c r="Q448" s="12" t="str">
        <f aca="false">IF(A448="","",IFERROR(LOOKUP(2,1/(('Weekly Log'!$C$4:$C$1003=A448)*('Weekly Log'!$I$4:$I$1003&lt;&gt;"")),'Weekly Log'!$I$4:$I$1003),""))</f>
        <v/>
      </c>
    </row>
    <row r="449" customFormat="false" ht="15" hidden="false" customHeight="false" outlineLevel="0" collapsed="false">
      <c r="H449" s="16"/>
      <c r="J449" s="12" t="str">
        <f aca="false">IF(A449="","",COUNTIF('Weekly Log'!$C:$C,A449))</f>
        <v/>
      </c>
      <c r="K449" s="12" t="str">
        <f aca="false">IF(A449="","",COUNTIFS('Weekly Log'!$C:$C,A449,'Weekly Log'!$E:$E,"Yes"))</f>
        <v/>
      </c>
      <c r="L449" s="13" t="str">
        <f aca="false">IF(A449="","",IF(J449=0,"",K449/J449))</f>
        <v/>
      </c>
      <c r="M449" s="14" t="str">
        <f aca="false">IF(A449="","",IFERROR((SUMIFS('Weekly Log'!$F:$F,'Weekly Log'!$C:$C,A449)+SUMIFS('Weekly Log'!$G:$G,'Weekly Log'!$C:$C,A449))/(COUNTIFS('Weekly Log'!$C:$C,A449,'Weekly Log'!$F:$F,"&lt;&gt;")+COUNTIFS('Weekly Log'!$C:$C,A449,'Weekly Log'!$G:$G,"&lt;&gt;")),""))</f>
        <v/>
      </c>
      <c r="N449" s="15" t="str">
        <f aca="false">IF(A449="","",IF(K449=0,"",_xlfn.MAXIFS('Weekly Log'!$A:$A,'Weekly Log'!$C:$C,A449,'Weekly Log'!$E:$E,"Yes")))</f>
        <v/>
      </c>
      <c r="O449" s="12" t="str">
        <f aca="true">IF(N449="","",MAX(0,INT((TODAY()-N449)/7)))</f>
        <v/>
      </c>
      <c r="Q449" s="12" t="str">
        <f aca="false">IF(A449="","",IFERROR(LOOKUP(2,1/(('Weekly Log'!$C$4:$C$1003=A449)*('Weekly Log'!$I$4:$I$1003&lt;&gt;"")),'Weekly Log'!$I$4:$I$1003),""))</f>
        <v/>
      </c>
    </row>
    <row r="450" customFormat="false" ht="15" hidden="false" customHeight="false" outlineLevel="0" collapsed="false">
      <c r="H450" s="16"/>
      <c r="J450" s="12" t="str">
        <f aca="false">IF(A450="","",COUNTIF('Weekly Log'!$C:$C,A450))</f>
        <v/>
      </c>
      <c r="K450" s="12" t="str">
        <f aca="false">IF(A450="","",COUNTIFS('Weekly Log'!$C:$C,A450,'Weekly Log'!$E:$E,"Yes"))</f>
        <v/>
      </c>
      <c r="L450" s="13" t="str">
        <f aca="false">IF(A450="","",IF(J450=0,"",K450/J450))</f>
        <v/>
      </c>
      <c r="M450" s="14" t="str">
        <f aca="false">IF(A450="","",IFERROR((SUMIFS('Weekly Log'!$F:$F,'Weekly Log'!$C:$C,A450)+SUMIFS('Weekly Log'!$G:$G,'Weekly Log'!$C:$C,A450))/(COUNTIFS('Weekly Log'!$C:$C,A450,'Weekly Log'!$F:$F,"&lt;&gt;")+COUNTIFS('Weekly Log'!$C:$C,A450,'Weekly Log'!$G:$G,"&lt;&gt;")),""))</f>
        <v/>
      </c>
      <c r="N450" s="15" t="str">
        <f aca="false">IF(A450="","",IF(K450=0,"",_xlfn.MAXIFS('Weekly Log'!$A:$A,'Weekly Log'!$C:$C,A450,'Weekly Log'!$E:$E,"Yes")))</f>
        <v/>
      </c>
      <c r="O450" s="12" t="str">
        <f aca="true">IF(N450="","",MAX(0,INT((TODAY()-N450)/7)))</f>
        <v/>
      </c>
      <c r="Q450" s="12" t="str">
        <f aca="false">IF(A450="","",IFERROR(LOOKUP(2,1/(('Weekly Log'!$C$4:$C$1003=A450)*('Weekly Log'!$I$4:$I$1003&lt;&gt;"")),'Weekly Log'!$I$4:$I$1003),""))</f>
        <v/>
      </c>
    </row>
    <row r="451" customFormat="false" ht="15" hidden="false" customHeight="false" outlineLevel="0" collapsed="false">
      <c r="H451" s="16"/>
      <c r="J451" s="12" t="str">
        <f aca="false">IF(A451="","",COUNTIF('Weekly Log'!$C:$C,A451))</f>
        <v/>
      </c>
      <c r="K451" s="12" t="str">
        <f aca="false">IF(A451="","",COUNTIFS('Weekly Log'!$C:$C,A451,'Weekly Log'!$E:$E,"Yes"))</f>
        <v/>
      </c>
      <c r="L451" s="13" t="str">
        <f aca="false">IF(A451="","",IF(J451=0,"",K451/J451))</f>
        <v/>
      </c>
      <c r="M451" s="14" t="str">
        <f aca="false">IF(A451="","",IFERROR((SUMIFS('Weekly Log'!$F:$F,'Weekly Log'!$C:$C,A451)+SUMIFS('Weekly Log'!$G:$G,'Weekly Log'!$C:$C,A451))/(COUNTIFS('Weekly Log'!$C:$C,A451,'Weekly Log'!$F:$F,"&lt;&gt;")+COUNTIFS('Weekly Log'!$C:$C,A451,'Weekly Log'!$G:$G,"&lt;&gt;")),""))</f>
        <v/>
      </c>
      <c r="N451" s="15" t="str">
        <f aca="false">IF(A451="","",IF(K451=0,"",_xlfn.MAXIFS('Weekly Log'!$A:$A,'Weekly Log'!$C:$C,A451,'Weekly Log'!$E:$E,"Yes")))</f>
        <v/>
      </c>
      <c r="O451" s="12" t="str">
        <f aca="true">IF(N451="","",MAX(0,INT((TODAY()-N451)/7)))</f>
        <v/>
      </c>
      <c r="Q451" s="12" t="str">
        <f aca="false">IF(A451="","",IFERROR(LOOKUP(2,1/(('Weekly Log'!$C$4:$C$1003=A451)*('Weekly Log'!$I$4:$I$1003&lt;&gt;"")),'Weekly Log'!$I$4:$I$1003),""))</f>
        <v/>
      </c>
    </row>
    <row r="452" customFormat="false" ht="15" hidden="false" customHeight="false" outlineLevel="0" collapsed="false">
      <c r="H452" s="16"/>
      <c r="J452" s="12" t="str">
        <f aca="false">IF(A452="","",COUNTIF('Weekly Log'!$C:$C,A452))</f>
        <v/>
      </c>
      <c r="K452" s="12" t="str">
        <f aca="false">IF(A452="","",COUNTIFS('Weekly Log'!$C:$C,A452,'Weekly Log'!$E:$E,"Yes"))</f>
        <v/>
      </c>
      <c r="L452" s="13" t="str">
        <f aca="false">IF(A452="","",IF(J452=0,"",K452/J452))</f>
        <v/>
      </c>
      <c r="M452" s="14" t="str">
        <f aca="false">IF(A452="","",IFERROR((SUMIFS('Weekly Log'!$F:$F,'Weekly Log'!$C:$C,A452)+SUMIFS('Weekly Log'!$G:$G,'Weekly Log'!$C:$C,A452))/(COUNTIFS('Weekly Log'!$C:$C,A452,'Weekly Log'!$F:$F,"&lt;&gt;")+COUNTIFS('Weekly Log'!$C:$C,A452,'Weekly Log'!$G:$G,"&lt;&gt;")),""))</f>
        <v/>
      </c>
      <c r="N452" s="15" t="str">
        <f aca="false">IF(A452="","",IF(K452=0,"",_xlfn.MAXIFS('Weekly Log'!$A:$A,'Weekly Log'!$C:$C,A452,'Weekly Log'!$E:$E,"Yes")))</f>
        <v/>
      </c>
      <c r="O452" s="12" t="str">
        <f aca="true">IF(N452="","",MAX(0,INT((TODAY()-N452)/7)))</f>
        <v/>
      </c>
      <c r="Q452" s="12" t="str">
        <f aca="false">IF(A452="","",IFERROR(LOOKUP(2,1/(('Weekly Log'!$C$4:$C$1003=A452)*('Weekly Log'!$I$4:$I$1003&lt;&gt;"")),'Weekly Log'!$I$4:$I$1003),""))</f>
        <v/>
      </c>
    </row>
    <row r="453" customFormat="false" ht="15" hidden="false" customHeight="false" outlineLevel="0" collapsed="false">
      <c r="H453" s="16"/>
      <c r="J453" s="12" t="str">
        <f aca="false">IF(A453="","",COUNTIF('Weekly Log'!$C:$C,A453))</f>
        <v/>
      </c>
      <c r="K453" s="12" t="str">
        <f aca="false">IF(A453="","",COUNTIFS('Weekly Log'!$C:$C,A453,'Weekly Log'!$E:$E,"Yes"))</f>
        <v/>
      </c>
      <c r="L453" s="13" t="str">
        <f aca="false">IF(A453="","",IF(J453=0,"",K453/J453))</f>
        <v/>
      </c>
      <c r="M453" s="14" t="str">
        <f aca="false">IF(A453="","",IFERROR((SUMIFS('Weekly Log'!$F:$F,'Weekly Log'!$C:$C,A453)+SUMIFS('Weekly Log'!$G:$G,'Weekly Log'!$C:$C,A453))/(COUNTIFS('Weekly Log'!$C:$C,A453,'Weekly Log'!$F:$F,"&lt;&gt;")+COUNTIFS('Weekly Log'!$C:$C,A453,'Weekly Log'!$G:$G,"&lt;&gt;")),""))</f>
        <v/>
      </c>
      <c r="N453" s="15" t="str">
        <f aca="false">IF(A453="","",IF(K453=0,"",_xlfn.MAXIFS('Weekly Log'!$A:$A,'Weekly Log'!$C:$C,A453,'Weekly Log'!$E:$E,"Yes")))</f>
        <v/>
      </c>
      <c r="O453" s="12" t="str">
        <f aca="true">IF(N453="","",MAX(0,INT((TODAY()-N453)/7)))</f>
        <v/>
      </c>
      <c r="Q453" s="12" t="str">
        <f aca="false">IF(A453="","",IFERROR(LOOKUP(2,1/(('Weekly Log'!$C$4:$C$1003=A453)*('Weekly Log'!$I$4:$I$1003&lt;&gt;"")),'Weekly Log'!$I$4:$I$1003),""))</f>
        <v/>
      </c>
    </row>
    <row r="454" customFormat="false" ht="15" hidden="false" customHeight="false" outlineLevel="0" collapsed="false">
      <c r="H454" s="16"/>
      <c r="J454" s="12" t="str">
        <f aca="false">IF(A454="","",COUNTIF('Weekly Log'!$C:$C,A454))</f>
        <v/>
      </c>
      <c r="K454" s="12" t="str">
        <f aca="false">IF(A454="","",COUNTIFS('Weekly Log'!$C:$C,A454,'Weekly Log'!$E:$E,"Yes"))</f>
        <v/>
      </c>
      <c r="L454" s="13" t="str">
        <f aca="false">IF(A454="","",IF(J454=0,"",K454/J454))</f>
        <v/>
      </c>
      <c r="M454" s="14" t="str">
        <f aca="false">IF(A454="","",IFERROR((SUMIFS('Weekly Log'!$F:$F,'Weekly Log'!$C:$C,A454)+SUMIFS('Weekly Log'!$G:$G,'Weekly Log'!$C:$C,A454))/(COUNTIFS('Weekly Log'!$C:$C,A454,'Weekly Log'!$F:$F,"&lt;&gt;")+COUNTIFS('Weekly Log'!$C:$C,A454,'Weekly Log'!$G:$G,"&lt;&gt;")),""))</f>
        <v/>
      </c>
      <c r="N454" s="15" t="str">
        <f aca="false">IF(A454="","",IF(K454=0,"",_xlfn.MAXIFS('Weekly Log'!$A:$A,'Weekly Log'!$C:$C,A454,'Weekly Log'!$E:$E,"Yes")))</f>
        <v/>
      </c>
      <c r="O454" s="12" t="str">
        <f aca="true">IF(N454="","",MAX(0,INT((TODAY()-N454)/7)))</f>
        <v/>
      </c>
      <c r="Q454" s="12" t="str">
        <f aca="false">IF(A454="","",IFERROR(LOOKUP(2,1/(('Weekly Log'!$C$4:$C$1003=A454)*('Weekly Log'!$I$4:$I$1003&lt;&gt;"")),'Weekly Log'!$I$4:$I$1003),""))</f>
        <v/>
      </c>
    </row>
    <row r="455" customFormat="false" ht="15" hidden="false" customHeight="false" outlineLevel="0" collapsed="false">
      <c r="H455" s="16"/>
      <c r="J455" s="12" t="str">
        <f aca="false">IF(A455="","",COUNTIF('Weekly Log'!$C:$C,A455))</f>
        <v/>
      </c>
      <c r="K455" s="12" t="str">
        <f aca="false">IF(A455="","",COUNTIFS('Weekly Log'!$C:$C,A455,'Weekly Log'!$E:$E,"Yes"))</f>
        <v/>
      </c>
      <c r="L455" s="13" t="str">
        <f aca="false">IF(A455="","",IF(J455=0,"",K455/J455))</f>
        <v/>
      </c>
      <c r="M455" s="14" t="str">
        <f aca="false">IF(A455="","",IFERROR((SUMIFS('Weekly Log'!$F:$F,'Weekly Log'!$C:$C,A455)+SUMIFS('Weekly Log'!$G:$G,'Weekly Log'!$C:$C,A455))/(COUNTIFS('Weekly Log'!$C:$C,A455,'Weekly Log'!$F:$F,"&lt;&gt;")+COUNTIFS('Weekly Log'!$C:$C,A455,'Weekly Log'!$G:$G,"&lt;&gt;")),""))</f>
        <v/>
      </c>
      <c r="N455" s="15" t="str">
        <f aca="false">IF(A455="","",IF(K455=0,"",_xlfn.MAXIFS('Weekly Log'!$A:$A,'Weekly Log'!$C:$C,A455,'Weekly Log'!$E:$E,"Yes")))</f>
        <v/>
      </c>
      <c r="O455" s="12" t="str">
        <f aca="true">IF(N455="","",MAX(0,INT((TODAY()-N455)/7)))</f>
        <v/>
      </c>
      <c r="Q455" s="12" t="str">
        <f aca="false">IF(A455="","",IFERROR(LOOKUP(2,1/(('Weekly Log'!$C$4:$C$1003=A455)*('Weekly Log'!$I$4:$I$1003&lt;&gt;"")),'Weekly Log'!$I$4:$I$1003),""))</f>
        <v/>
      </c>
    </row>
    <row r="456" customFormat="false" ht="15" hidden="false" customHeight="false" outlineLevel="0" collapsed="false">
      <c r="H456" s="16"/>
      <c r="J456" s="12" t="str">
        <f aca="false">IF(A456="","",COUNTIF('Weekly Log'!$C:$C,A456))</f>
        <v/>
      </c>
      <c r="K456" s="12" t="str">
        <f aca="false">IF(A456="","",COUNTIFS('Weekly Log'!$C:$C,A456,'Weekly Log'!$E:$E,"Yes"))</f>
        <v/>
      </c>
      <c r="L456" s="13" t="str">
        <f aca="false">IF(A456="","",IF(J456=0,"",K456/J456))</f>
        <v/>
      </c>
      <c r="M456" s="14" t="str">
        <f aca="false">IF(A456="","",IFERROR((SUMIFS('Weekly Log'!$F:$F,'Weekly Log'!$C:$C,A456)+SUMIFS('Weekly Log'!$G:$G,'Weekly Log'!$C:$C,A456))/(COUNTIFS('Weekly Log'!$C:$C,A456,'Weekly Log'!$F:$F,"&lt;&gt;")+COUNTIFS('Weekly Log'!$C:$C,A456,'Weekly Log'!$G:$G,"&lt;&gt;")),""))</f>
        <v/>
      </c>
      <c r="N456" s="15" t="str">
        <f aca="false">IF(A456="","",IF(K456=0,"",_xlfn.MAXIFS('Weekly Log'!$A:$A,'Weekly Log'!$C:$C,A456,'Weekly Log'!$E:$E,"Yes")))</f>
        <v/>
      </c>
      <c r="O456" s="12" t="str">
        <f aca="true">IF(N456="","",MAX(0,INT((TODAY()-N456)/7)))</f>
        <v/>
      </c>
      <c r="Q456" s="12" t="str">
        <f aca="false">IF(A456="","",IFERROR(LOOKUP(2,1/(('Weekly Log'!$C$4:$C$1003=A456)*('Weekly Log'!$I$4:$I$1003&lt;&gt;"")),'Weekly Log'!$I$4:$I$1003),""))</f>
        <v/>
      </c>
    </row>
    <row r="457" customFormat="false" ht="15" hidden="false" customHeight="false" outlineLevel="0" collapsed="false">
      <c r="H457" s="16"/>
      <c r="J457" s="12" t="str">
        <f aca="false">IF(A457="","",COUNTIF('Weekly Log'!$C:$C,A457))</f>
        <v/>
      </c>
      <c r="K457" s="12" t="str">
        <f aca="false">IF(A457="","",COUNTIFS('Weekly Log'!$C:$C,A457,'Weekly Log'!$E:$E,"Yes"))</f>
        <v/>
      </c>
      <c r="L457" s="13" t="str">
        <f aca="false">IF(A457="","",IF(J457=0,"",K457/J457))</f>
        <v/>
      </c>
      <c r="M457" s="14" t="str">
        <f aca="false">IF(A457="","",IFERROR((SUMIFS('Weekly Log'!$F:$F,'Weekly Log'!$C:$C,A457)+SUMIFS('Weekly Log'!$G:$G,'Weekly Log'!$C:$C,A457))/(COUNTIFS('Weekly Log'!$C:$C,A457,'Weekly Log'!$F:$F,"&lt;&gt;")+COUNTIFS('Weekly Log'!$C:$C,A457,'Weekly Log'!$G:$G,"&lt;&gt;")),""))</f>
        <v/>
      </c>
      <c r="N457" s="15" t="str">
        <f aca="false">IF(A457="","",IF(K457=0,"",_xlfn.MAXIFS('Weekly Log'!$A:$A,'Weekly Log'!$C:$C,A457,'Weekly Log'!$E:$E,"Yes")))</f>
        <v/>
      </c>
      <c r="O457" s="12" t="str">
        <f aca="true">IF(N457="","",MAX(0,INT((TODAY()-N457)/7)))</f>
        <v/>
      </c>
      <c r="Q457" s="12" t="str">
        <f aca="false">IF(A457="","",IFERROR(LOOKUP(2,1/(('Weekly Log'!$C$4:$C$1003=A457)*('Weekly Log'!$I$4:$I$1003&lt;&gt;"")),'Weekly Log'!$I$4:$I$1003),""))</f>
        <v/>
      </c>
    </row>
    <row r="458" customFormat="false" ht="15" hidden="false" customHeight="false" outlineLevel="0" collapsed="false">
      <c r="H458" s="16"/>
      <c r="J458" s="12" t="str">
        <f aca="false">IF(A458="","",COUNTIF('Weekly Log'!$C:$C,A458))</f>
        <v/>
      </c>
      <c r="K458" s="12" t="str">
        <f aca="false">IF(A458="","",COUNTIFS('Weekly Log'!$C:$C,A458,'Weekly Log'!$E:$E,"Yes"))</f>
        <v/>
      </c>
      <c r="L458" s="13" t="str">
        <f aca="false">IF(A458="","",IF(J458=0,"",K458/J458))</f>
        <v/>
      </c>
      <c r="M458" s="14" t="str">
        <f aca="false">IF(A458="","",IFERROR((SUMIFS('Weekly Log'!$F:$F,'Weekly Log'!$C:$C,A458)+SUMIFS('Weekly Log'!$G:$G,'Weekly Log'!$C:$C,A458))/(COUNTIFS('Weekly Log'!$C:$C,A458,'Weekly Log'!$F:$F,"&lt;&gt;")+COUNTIFS('Weekly Log'!$C:$C,A458,'Weekly Log'!$G:$G,"&lt;&gt;")),""))</f>
        <v/>
      </c>
      <c r="N458" s="15" t="str">
        <f aca="false">IF(A458="","",IF(K458=0,"",_xlfn.MAXIFS('Weekly Log'!$A:$A,'Weekly Log'!$C:$C,A458,'Weekly Log'!$E:$E,"Yes")))</f>
        <v/>
      </c>
      <c r="O458" s="12" t="str">
        <f aca="true">IF(N458="","",MAX(0,INT((TODAY()-N458)/7)))</f>
        <v/>
      </c>
      <c r="Q458" s="12" t="str">
        <f aca="false">IF(A458="","",IFERROR(LOOKUP(2,1/(('Weekly Log'!$C$4:$C$1003=A458)*('Weekly Log'!$I$4:$I$1003&lt;&gt;"")),'Weekly Log'!$I$4:$I$1003),""))</f>
        <v/>
      </c>
    </row>
    <row r="459" customFormat="false" ht="15" hidden="false" customHeight="false" outlineLevel="0" collapsed="false">
      <c r="H459" s="16"/>
      <c r="J459" s="12" t="str">
        <f aca="false">IF(A459="","",COUNTIF('Weekly Log'!$C:$C,A459))</f>
        <v/>
      </c>
      <c r="K459" s="12" t="str">
        <f aca="false">IF(A459="","",COUNTIFS('Weekly Log'!$C:$C,A459,'Weekly Log'!$E:$E,"Yes"))</f>
        <v/>
      </c>
      <c r="L459" s="13" t="str">
        <f aca="false">IF(A459="","",IF(J459=0,"",K459/J459))</f>
        <v/>
      </c>
      <c r="M459" s="14" t="str">
        <f aca="false">IF(A459="","",IFERROR((SUMIFS('Weekly Log'!$F:$F,'Weekly Log'!$C:$C,A459)+SUMIFS('Weekly Log'!$G:$G,'Weekly Log'!$C:$C,A459))/(COUNTIFS('Weekly Log'!$C:$C,A459,'Weekly Log'!$F:$F,"&lt;&gt;")+COUNTIFS('Weekly Log'!$C:$C,A459,'Weekly Log'!$G:$G,"&lt;&gt;")),""))</f>
        <v/>
      </c>
      <c r="N459" s="15" t="str">
        <f aca="false">IF(A459="","",IF(K459=0,"",_xlfn.MAXIFS('Weekly Log'!$A:$A,'Weekly Log'!$C:$C,A459,'Weekly Log'!$E:$E,"Yes")))</f>
        <v/>
      </c>
      <c r="O459" s="12" t="str">
        <f aca="true">IF(N459="","",MAX(0,INT((TODAY()-N459)/7)))</f>
        <v/>
      </c>
      <c r="Q459" s="12" t="str">
        <f aca="false">IF(A459="","",IFERROR(LOOKUP(2,1/(('Weekly Log'!$C$4:$C$1003=A459)*('Weekly Log'!$I$4:$I$1003&lt;&gt;"")),'Weekly Log'!$I$4:$I$1003),""))</f>
        <v/>
      </c>
    </row>
    <row r="460" customFormat="false" ht="15" hidden="false" customHeight="false" outlineLevel="0" collapsed="false">
      <c r="H460" s="16"/>
      <c r="J460" s="12" t="str">
        <f aca="false">IF(A460="","",COUNTIF('Weekly Log'!$C:$C,A460))</f>
        <v/>
      </c>
      <c r="K460" s="12" t="str">
        <f aca="false">IF(A460="","",COUNTIFS('Weekly Log'!$C:$C,A460,'Weekly Log'!$E:$E,"Yes"))</f>
        <v/>
      </c>
      <c r="L460" s="13" t="str">
        <f aca="false">IF(A460="","",IF(J460=0,"",K460/J460))</f>
        <v/>
      </c>
      <c r="M460" s="14" t="str">
        <f aca="false">IF(A460="","",IFERROR((SUMIFS('Weekly Log'!$F:$F,'Weekly Log'!$C:$C,A460)+SUMIFS('Weekly Log'!$G:$G,'Weekly Log'!$C:$C,A460))/(COUNTIFS('Weekly Log'!$C:$C,A460,'Weekly Log'!$F:$F,"&lt;&gt;")+COUNTIFS('Weekly Log'!$C:$C,A460,'Weekly Log'!$G:$G,"&lt;&gt;")),""))</f>
        <v/>
      </c>
      <c r="N460" s="15" t="str">
        <f aca="false">IF(A460="","",IF(K460=0,"",_xlfn.MAXIFS('Weekly Log'!$A:$A,'Weekly Log'!$C:$C,A460,'Weekly Log'!$E:$E,"Yes")))</f>
        <v/>
      </c>
      <c r="O460" s="12" t="str">
        <f aca="true">IF(N460="","",MAX(0,INT((TODAY()-N460)/7)))</f>
        <v/>
      </c>
      <c r="Q460" s="12" t="str">
        <f aca="false">IF(A460="","",IFERROR(LOOKUP(2,1/(('Weekly Log'!$C$4:$C$1003=A460)*('Weekly Log'!$I$4:$I$1003&lt;&gt;"")),'Weekly Log'!$I$4:$I$1003),""))</f>
        <v/>
      </c>
    </row>
    <row r="461" customFormat="false" ht="15" hidden="false" customHeight="false" outlineLevel="0" collapsed="false">
      <c r="H461" s="16"/>
      <c r="J461" s="12" t="str">
        <f aca="false">IF(A461="","",COUNTIF('Weekly Log'!$C:$C,A461))</f>
        <v/>
      </c>
      <c r="K461" s="12" t="str">
        <f aca="false">IF(A461="","",COUNTIFS('Weekly Log'!$C:$C,A461,'Weekly Log'!$E:$E,"Yes"))</f>
        <v/>
      </c>
      <c r="L461" s="13" t="str">
        <f aca="false">IF(A461="","",IF(J461=0,"",K461/J461))</f>
        <v/>
      </c>
      <c r="M461" s="14" t="str">
        <f aca="false">IF(A461="","",IFERROR((SUMIFS('Weekly Log'!$F:$F,'Weekly Log'!$C:$C,A461)+SUMIFS('Weekly Log'!$G:$G,'Weekly Log'!$C:$C,A461))/(COUNTIFS('Weekly Log'!$C:$C,A461,'Weekly Log'!$F:$F,"&lt;&gt;")+COUNTIFS('Weekly Log'!$C:$C,A461,'Weekly Log'!$G:$G,"&lt;&gt;")),""))</f>
        <v/>
      </c>
      <c r="N461" s="15" t="str">
        <f aca="false">IF(A461="","",IF(K461=0,"",_xlfn.MAXIFS('Weekly Log'!$A:$A,'Weekly Log'!$C:$C,A461,'Weekly Log'!$E:$E,"Yes")))</f>
        <v/>
      </c>
      <c r="O461" s="12" t="str">
        <f aca="true">IF(N461="","",MAX(0,INT((TODAY()-N461)/7)))</f>
        <v/>
      </c>
      <c r="Q461" s="12" t="str">
        <f aca="false">IF(A461="","",IFERROR(LOOKUP(2,1/(('Weekly Log'!$C$4:$C$1003=A461)*('Weekly Log'!$I$4:$I$1003&lt;&gt;"")),'Weekly Log'!$I$4:$I$1003),""))</f>
        <v/>
      </c>
    </row>
    <row r="462" customFormat="false" ht="15" hidden="false" customHeight="false" outlineLevel="0" collapsed="false">
      <c r="H462" s="16"/>
      <c r="J462" s="12" t="str">
        <f aca="false">IF(A462="","",COUNTIF('Weekly Log'!$C:$C,A462))</f>
        <v/>
      </c>
      <c r="K462" s="12" t="str">
        <f aca="false">IF(A462="","",COUNTIFS('Weekly Log'!$C:$C,A462,'Weekly Log'!$E:$E,"Yes"))</f>
        <v/>
      </c>
      <c r="L462" s="13" t="str">
        <f aca="false">IF(A462="","",IF(J462=0,"",K462/J462))</f>
        <v/>
      </c>
      <c r="M462" s="14" t="str">
        <f aca="false">IF(A462="","",IFERROR((SUMIFS('Weekly Log'!$F:$F,'Weekly Log'!$C:$C,A462)+SUMIFS('Weekly Log'!$G:$G,'Weekly Log'!$C:$C,A462))/(COUNTIFS('Weekly Log'!$C:$C,A462,'Weekly Log'!$F:$F,"&lt;&gt;")+COUNTIFS('Weekly Log'!$C:$C,A462,'Weekly Log'!$G:$G,"&lt;&gt;")),""))</f>
        <v/>
      </c>
      <c r="N462" s="15" t="str">
        <f aca="false">IF(A462="","",IF(K462=0,"",_xlfn.MAXIFS('Weekly Log'!$A:$A,'Weekly Log'!$C:$C,A462,'Weekly Log'!$E:$E,"Yes")))</f>
        <v/>
      </c>
      <c r="O462" s="12" t="str">
        <f aca="true">IF(N462="","",MAX(0,INT((TODAY()-N462)/7)))</f>
        <v/>
      </c>
      <c r="Q462" s="12" t="str">
        <f aca="false">IF(A462="","",IFERROR(LOOKUP(2,1/(('Weekly Log'!$C$4:$C$1003=A462)*('Weekly Log'!$I$4:$I$1003&lt;&gt;"")),'Weekly Log'!$I$4:$I$1003),""))</f>
        <v/>
      </c>
    </row>
    <row r="463" customFormat="false" ht="15" hidden="false" customHeight="false" outlineLevel="0" collapsed="false">
      <c r="H463" s="16"/>
      <c r="J463" s="12" t="str">
        <f aca="false">IF(A463="","",COUNTIF('Weekly Log'!$C:$C,A463))</f>
        <v/>
      </c>
      <c r="K463" s="12" t="str">
        <f aca="false">IF(A463="","",COUNTIFS('Weekly Log'!$C:$C,A463,'Weekly Log'!$E:$E,"Yes"))</f>
        <v/>
      </c>
      <c r="L463" s="13" t="str">
        <f aca="false">IF(A463="","",IF(J463=0,"",K463/J463))</f>
        <v/>
      </c>
      <c r="M463" s="14" t="str">
        <f aca="false">IF(A463="","",IFERROR((SUMIFS('Weekly Log'!$F:$F,'Weekly Log'!$C:$C,A463)+SUMIFS('Weekly Log'!$G:$G,'Weekly Log'!$C:$C,A463))/(COUNTIFS('Weekly Log'!$C:$C,A463,'Weekly Log'!$F:$F,"&lt;&gt;")+COUNTIFS('Weekly Log'!$C:$C,A463,'Weekly Log'!$G:$G,"&lt;&gt;")),""))</f>
        <v/>
      </c>
      <c r="N463" s="15" t="str">
        <f aca="false">IF(A463="","",IF(K463=0,"",_xlfn.MAXIFS('Weekly Log'!$A:$A,'Weekly Log'!$C:$C,A463,'Weekly Log'!$E:$E,"Yes")))</f>
        <v/>
      </c>
      <c r="O463" s="12" t="str">
        <f aca="true">IF(N463="","",MAX(0,INT((TODAY()-N463)/7)))</f>
        <v/>
      </c>
      <c r="Q463" s="12" t="str">
        <f aca="false">IF(A463="","",IFERROR(LOOKUP(2,1/(('Weekly Log'!$C$4:$C$1003=A463)*('Weekly Log'!$I$4:$I$1003&lt;&gt;"")),'Weekly Log'!$I$4:$I$1003),""))</f>
        <v/>
      </c>
    </row>
    <row r="464" customFormat="false" ht="15" hidden="false" customHeight="false" outlineLevel="0" collapsed="false">
      <c r="H464" s="16"/>
      <c r="J464" s="12" t="str">
        <f aca="false">IF(A464="","",COUNTIF('Weekly Log'!$C:$C,A464))</f>
        <v/>
      </c>
      <c r="K464" s="12" t="str">
        <f aca="false">IF(A464="","",COUNTIFS('Weekly Log'!$C:$C,A464,'Weekly Log'!$E:$E,"Yes"))</f>
        <v/>
      </c>
      <c r="L464" s="13" t="str">
        <f aca="false">IF(A464="","",IF(J464=0,"",K464/J464))</f>
        <v/>
      </c>
      <c r="M464" s="14" t="str">
        <f aca="false">IF(A464="","",IFERROR((SUMIFS('Weekly Log'!$F:$F,'Weekly Log'!$C:$C,A464)+SUMIFS('Weekly Log'!$G:$G,'Weekly Log'!$C:$C,A464))/(COUNTIFS('Weekly Log'!$C:$C,A464,'Weekly Log'!$F:$F,"&lt;&gt;")+COUNTIFS('Weekly Log'!$C:$C,A464,'Weekly Log'!$G:$G,"&lt;&gt;")),""))</f>
        <v/>
      </c>
      <c r="N464" s="15" t="str">
        <f aca="false">IF(A464="","",IF(K464=0,"",_xlfn.MAXIFS('Weekly Log'!$A:$A,'Weekly Log'!$C:$C,A464,'Weekly Log'!$E:$E,"Yes")))</f>
        <v/>
      </c>
      <c r="O464" s="12" t="str">
        <f aca="true">IF(N464="","",MAX(0,INT((TODAY()-N464)/7)))</f>
        <v/>
      </c>
      <c r="Q464" s="12" t="str">
        <f aca="false">IF(A464="","",IFERROR(LOOKUP(2,1/(('Weekly Log'!$C$4:$C$1003=A464)*('Weekly Log'!$I$4:$I$1003&lt;&gt;"")),'Weekly Log'!$I$4:$I$1003),""))</f>
        <v/>
      </c>
    </row>
    <row r="465" customFormat="false" ht="15" hidden="false" customHeight="false" outlineLevel="0" collapsed="false">
      <c r="H465" s="16"/>
      <c r="J465" s="12" t="str">
        <f aca="false">IF(A465="","",COUNTIF('Weekly Log'!$C:$C,A465))</f>
        <v/>
      </c>
      <c r="K465" s="12" t="str">
        <f aca="false">IF(A465="","",COUNTIFS('Weekly Log'!$C:$C,A465,'Weekly Log'!$E:$E,"Yes"))</f>
        <v/>
      </c>
      <c r="L465" s="13" t="str">
        <f aca="false">IF(A465="","",IF(J465=0,"",K465/J465))</f>
        <v/>
      </c>
      <c r="M465" s="14" t="str">
        <f aca="false">IF(A465="","",IFERROR((SUMIFS('Weekly Log'!$F:$F,'Weekly Log'!$C:$C,A465)+SUMIFS('Weekly Log'!$G:$G,'Weekly Log'!$C:$C,A465))/(COUNTIFS('Weekly Log'!$C:$C,A465,'Weekly Log'!$F:$F,"&lt;&gt;")+COUNTIFS('Weekly Log'!$C:$C,A465,'Weekly Log'!$G:$G,"&lt;&gt;")),""))</f>
        <v/>
      </c>
      <c r="N465" s="15" t="str">
        <f aca="false">IF(A465="","",IF(K465=0,"",_xlfn.MAXIFS('Weekly Log'!$A:$A,'Weekly Log'!$C:$C,A465,'Weekly Log'!$E:$E,"Yes")))</f>
        <v/>
      </c>
      <c r="O465" s="12" t="str">
        <f aca="true">IF(N465="","",MAX(0,INT((TODAY()-N465)/7)))</f>
        <v/>
      </c>
      <c r="Q465" s="12" t="str">
        <f aca="false">IF(A465="","",IFERROR(LOOKUP(2,1/(('Weekly Log'!$C$4:$C$1003=A465)*('Weekly Log'!$I$4:$I$1003&lt;&gt;"")),'Weekly Log'!$I$4:$I$1003),""))</f>
        <v/>
      </c>
    </row>
    <row r="466" customFormat="false" ht="15" hidden="false" customHeight="false" outlineLevel="0" collapsed="false">
      <c r="H466" s="16"/>
      <c r="J466" s="12" t="str">
        <f aca="false">IF(A466="","",COUNTIF('Weekly Log'!$C:$C,A466))</f>
        <v/>
      </c>
      <c r="K466" s="12" t="str">
        <f aca="false">IF(A466="","",COUNTIFS('Weekly Log'!$C:$C,A466,'Weekly Log'!$E:$E,"Yes"))</f>
        <v/>
      </c>
      <c r="L466" s="13" t="str">
        <f aca="false">IF(A466="","",IF(J466=0,"",K466/J466))</f>
        <v/>
      </c>
      <c r="M466" s="14" t="str">
        <f aca="false">IF(A466="","",IFERROR((SUMIFS('Weekly Log'!$F:$F,'Weekly Log'!$C:$C,A466)+SUMIFS('Weekly Log'!$G:$G,'Weekly Log'!$C:$C,A466))/(COUNTIFS('Weekly Log'!$C:$C,A466,'Weekly Log'!$F:$F,"&lt;&gt;")+COUNTIFS('Weekly Log'!$C:$C,A466,'Weekly Log'!$G:$G,"&lt;&gt;")),""))</f>
        <v/>
      </c>
      <c r="N466" s="15" t="str">
        <f aca="false">IF(A466="","",IF(K466=0,"",_xlfn.MAXIFS('Weekly Log'!$A:$A,'Weekly Log'!$C:$C,A466,'Weekly Log'!$E:$E,"Yes")))</f>
        <v/>
      </c>
      <c r="O466" s="12" t="str">
        <f aca="true">IF(N466="","",MAX(0,INT((TODAY()-N466)/7)))</f>
        <v/>
      </c>
      <c r="Q466" s="12" t="str">
        <f aca="false">IF(A466="","",IFERROR(LOOKUP(2,1/(('Weekly Log'!$C$4:$C$1003=A466)*('Weekly Log'!$I$4:$I$1003&lt;&gt;"")),'Weekly Log'!$I$4:$I$1003),""))</f>
        <v/>
      </c>
    </row>
    <row r="467" customFormat="false" ht="15" hidden="false" customHeight="false" outlineLevel="0" collapsed="false">
      <c r="H467" s="16"/>
      <c r="J467" s="12" t="str">
        <f aca="false">IF(A467="","",COUNTIF('Weekly Log'!$C:$C,A467))</f>
        <v/>
      </c>
      <c r="K467" s="12" t="str">
        <f aca="false">IF(A467="","",COUNTIFS('Weekly Log'!$C:$C,A467,'Weekly Log'!$E:$E,"Yes"))</f>
        <v/>
      </c>
      <c r="L467" s="13" t="str">
        <f aca="false">IF(A467="","",IF(J467=0,"",K467/J467))</f>
        <v/>
      </c>
      <c r="M467" s="14" t="str">
        <f aca="false">IF(A467="","",IFERROR((SUMIFS('Weekly Log'!$F:$F,'Weekly Log'!$C:$C,A467)+SUMIFS('Weekly Log'!$G:$G,'Weekly Log'!$C:$C,A467))/(COUNTIFS('Weekly Log'!$C:$C,A467,'Weekly Log'!$F:$F,"&lt;&gt;")+COUNTIFS('Weekly Log'!$C:$C,A467,'Weekly Log'!$G:$G,"&lt;&gt;")),""))</f>
        <v/>
      </c>
      <c r="N467" s="15" t="str">
        <f aca="false">IF(A467="","",IF(K467=0,"",_xlfn.MAXIFS('Weekly Log'!$A:$A,'Weekly Log'!$C:$C,A467,'Weekly Log'!$E:$E,"Yes")))</f>
        <v/>
      </c>
      <c r="O467" s="12" t="str">
        <f aca="true">IF(N467="","",MAX(0,INT((TODAY()-N467)/7)))</f>
        <v/>
      </c>
      <c r="Q467" s="12" t="str">
        <f aca="false">IF(A467="","",IFERROR(LOOKUP(2,1/(('Weekly Log'!$C$4:$C$1003=A467)*('Weekly Log'!$I$4:$I$1003&lt;&gt;"")),'Weekly Log'!$I$4:$I$1003),""))</f>
        <v/>
      </c>
    </row>
    <row r="468" customFormat="false" ht="15" hidden="false" customHeight="false" outlineLevel="0" collapsed="false">
      <c r="H468" s="16"/>
      <c r="J468" s="12" t="str">
        <f aca="false">IF(A468="","",COUNTIF('Weekly Log'!$C:$C,A468))</f>
        <v/>
      </c>
      <c r="K468" s="12" t="str">
        <f aca="false">IF(A468="","",COUNTIFS('Weekly Log'!$C:$C,A468,'Weekly Log'!$E:$E,"Yes"))</f>
        <v/>
      </c>
      <c r="L468" s="13" t="str">
        <f aca="false">IF(A468="","",IF(J468=0,"",K468/J468))</f>
        <v/>
      </c>
      <c r="M468" s="14" t="str">
        <f aca="false">IF(A468="","",IFERROR((SUMIFS('Weekly Log'!$F:$F,'Weekly Log'!$C:$C,A468)+SUMIFS('Weekly Log'!$G:$G,'Weekly Log'!$C:$C,A468))/(COUNTIFS('Weekly Log'!$C:$C,A468,'Weekly Log'!$F:$F,"&lt;&gt;")+COUNTIFS('Weekly Log'!$C:$C,A468,'Weekly Log'!$G:$G,"&lt;&gt;")),""))</f>
        <v/>
      </c>
      <c r="N468" s="15" t="str">
        <f aca="false">IF(A468="","",IF(K468=0,"",_xlfn.MAXIFS('Weekly Log'!$A:$A,'Weekly Log'!$C:$C,A468,'Weekly Log'!$E:$E,"Yes")))</f>
        <v/>
      </c>
      <c r="O468" s="12" t="str">
        <f aca="true">IF(N468="","",MAX(0,INT((TODAY()-N468)/7)))</f>
        <v/>
      </c>
      <c r="Q468" s="12" t="str">
        <f aca="false">IF(A468="","",IFERROR(LOOKUP(2,1/(('Weekly Log'!$C$4:$C$1003=A468)*('Weekly Log'!$I$4:$I$1003&lt;&gt;"")),'Weekly Log'!$I$4:$I$1003),""))</f>
        <v/>
      </c>
    </row>
    <row r="469" customFormat="false" ht="15" hidden="false" customHeight="false" outlineLevel="0" collapsed="false">
      <c r="H469" s="16"/>
      <c r="J469" s="12" t="str">
        <f aca="false">IF(A469="","",COUNTIF('Weekly Log'!$C:$C,A469))</f>
        <v/>
      </c>
      <c r="K469" s="12" t="str">
        <f aca="false">IF(A469="","",COUNTIFS('Weekly Log'!$C:$C,A469,'Weekly Log'!$E:$E,"Yes"))</f>
        <v/>
      </c>
      <c r="L469" s="13" t="str">
        <f aca="false">IF(A469="","",IF(J469=0,"",K469/J469))</f>
        <v/>
      </c>
      <c r="M469" s="14" t="str">
        <f aca="false">IF(A469="","",IFERROR((SUMIFS('Weekly Log'!$F:$F,'Weekly Log'!$C:$C,A469)+SUMIFS('Weekly Log'!$G:$G,'Weekly Log'!$C:$C,A469))/(COUNTIFS('Weekly Log'!$C:$C,A469,'Weekly Log'!$F:$F,"&lt;&gt;")+COUNTIFS('Weekly Log'!$C:$C,A469,'Weekly Log'!$G:$G,"&lt;&gt;")),""))</f>
        <v/>
      </c>
      <c r="N469" s="15" t="str">
        <f aca="false">IF(A469="","",IF(K469=0,"",_xlfn.MAXIFS('Weekly Log'!$A:$A,'Weekly Log'!$C:$C,A469,'Weekly Log'!$E:$E,"Yes")))</f>
        <v/>
      </c>
      <c r="O469" s="12" t="str">
        <f aca="true">IF(N469="","",MAX(0,INT((TODAY()-N469)/7)))</f>
        <v/>
      </c>
      <c r="Q469" s="12" t="str">
        <f aca="false">IF(A469="","",IFERROR(LOOKUP(2,1/(('Weekly Log'!$C$4:$C$1003=A469)*('Weekly Log'!$I$4:$I$1003&lt;&gt;"")),'Weekly Log'!$I$4:$I$1003),""))</f>
        <v/>
      </c>
    </row>
    <row r="470" customFormat="false" ht="15" hidden="false" customHeight="false" outlineLevel="0" collapsed="false">
      <c r="H470" s="16"/>
      <c r="J470" s="12" t="str">
        <f aca="false">IF(A470="","",COUNTIF('Weekly Log'!$C:$C,A470))</f>
        <v/>
      </c>
      <c r="K470" s="12" t="str">
        <f aca="false">IF(A470="","",COUNTIFS('Weekly Log'!$C:$C,A470,'Weekly Log'!$E:$E,"Yes"))</f>
        <v/>
      </c>
      <c r="L470" s="13" t="str">
        <f aca="false">IF(A470="","",IF(J470=0,"",K470/J470))</f>
        <v/>
      </c>
      <c r="M470" s="14" t="str">
        <f aca="false">IF(A470="","",IFERROR((SUMIFS('Weekly Log'!$F:$F,'Weekly Log'!$C:$C,A470)+SUMIFS('Weekly Log'!$G:$G,'Weekly Log'!$C:$C,A470))/(COUNTIFS('Weekly Log'!$C:$C,A470,'Weekly Log'!$F:$F,"&lt;&gt;")+COUNTIFS('Weekly Log'!$C:$C,A470,'Weekly Log'!$G:$G,"&lt;&gt;")),""))</f>
        <v/>
      </c>
      <c r="N470" s="15" t="str">
        <f aca="false">IF(A470="","",IF(K470=0,"",_xlfn.MAXIFS('Weekly Log'!$A:$A,'Weekly Log'!$C:$C,A470,'Weekly Log'!$E:$E,"Yes")))</f>
        <v/>
      </c>
      <c r="O470" s="12" t="str">
        <f aca="true">IF(N470="","",MAX(0,INT((TODAY()-N470)/7)))</f>
        <v/>
      </c>
      <c r="Q470" s="12" t="str">
        <f aca="false">IF(A470="","",IFERROR(LOOKUP(2,1/(('Weekly Log'!$C$4:$C$1003=A470)*('Weekly Log'!$I$4:$I$1003&lt;&gt;"")),'Weekly Log'!$I$4:$I$1003),""))</f>
        <v/>
      </c>
    </row>
    <row r="471" customFormat="false" ht="15" hidden="false" customHeight="false" outlineLevel="0" collapsed="false">
      <c r="H471" s="16"/>
      <c r="J471" s="12" t="str">
        <f aca="false">IF(A471="","",COUNTIF('Weekly Log'!$C:$C,A471))</f>
        <v/>
      </c>
      <c r="K471" s="12" t="str">
        <f aca="false">IF(A471="","",COUNTIFS('Weekly Log'!$C:$C,A471,'Weekly Log'!$E:$E,"Yes"))</f>
        <v/>
      </c>
      <c r="L471" s="13" t="str">
        <f aca="false">IF(A471="","",IF(J471=0,"",K471/J471))</f>
        <v/>
      </c>
      <c r="M471" s="14" t="str">
        <f aca="false">IF(A471="","",IFERROR((SUMIFS('Weekly Log'!$F:$F,'Weekly Log'!$C:$C,A471)+SUMIFS('Weekly Log'!$G:$G,'Weekly Log'!$C:$C,A471))/(COUNTIFS('Weekly Log'!$C:$C,A471,'Weekly Log'!$F:$F,"&lt;&gt;")+COUNTIFS('Weekly Log'!$C:$C,A471,'Weekly Log'!$G:$G,"&lt;&gt;")),""))</f>
        <v/>
      </c>
      <c r="N471" s="15" t="str">
        <f aca="false">IF(A471="","",IF(K471=0,"",_xlfn.MAXIFS('Weekly Log'!$A:$A,'Weekly Log'!$C:$C,A471,'Weekly Log'!$E:$E,"Yes")))</f>
        <v/>
      </c>
      <c r="O471" s="12" t="str">
        <f aca="true">IF(N471="","",MAX(0,INT((TODAY()-N471)/7)))</f>
        <v/>
      </c>
      <c r="Q471" s="12" t="str">
        <f aca="false">IF(A471="","",IFERROR(LOOKUP(2,1/(('Weekly Log'!$C$4:$C$1003=A471)*('Weekly Log'!$I$4:$I$1003&lt;&gt;"")),'Weekly Log'!$I$4:$I$1003),""))</f>
        <v/>
      </c>
    </row>
    <row r="472" customFormat="false" ht="15" hidden="false" customHeight="false" outlineLevel="0" collapsed="false">
      <c r="H472" s="16"/>
      <c r="J472" s="12" t="str">
        <f aca="false">IF(A472="","",COUNTIF('Weekly Log'!$C:$C,A472))</f>
        <v/>
      </c>
      <c r="K472" s="12" t="str">
        <f aca="false">IF(A472="","",COUNTIFS('Weekly Log'!$C:$C,A472,'Weekly Log'!$E:$E,"Yes"))</f>
        <v/>
      </c>
      <c r="L472" s="13" t="str">
        <f aca="false">IF(A472="","",IF(J472=0,"",K472/J472))</f>
        <v/>
      </c>
      <c r="M472" s="14" t="str">
        <f aca="false">IF(A472="","",IFERROR((SUMIFS('Weekly Log'!$F:$F,'Weekly Log'!$C:$C,A472)+SUMIFS('Weekly Log'!$G:$G,'Weekly Log'!$C:$C,A472))/(COUNTIFS('Weekly Log'!$C:$C,A472,'Weekly Log'!$F:$F,"&lt;&gt;")+COUNTIFS('Weekly Log'!$C:$C,A472,'Weekly Log'!$G:$G,"&lt;&gt;")),""))</f>
        <v/>
      </c>
      <c r="N472" s="15" t="str">
        <f aca="false">IF(A472="","",IF(K472=0,"",_xlfn.MAXIFS('Weekly Log'!$A:$A,'Weekly Log'!$C:$C,A472,'Weekly Log'!$E:$E,"Yes")))</f>
        <v/>
      </c>
      <c r="O472" s="12" t="str">
        <f aca="true">IF(N472="","",MAX(0,INT((TODAY()-N472)/7)))</f>
        <v/>
      </c>
      <c r="Q472" s="12" t="str">
        <f aca="false">IF(A472="","",IFERROR(LOOKUP(2,1/(('Weekly Log'!$C$4:$C$1003=A472)*('Weekly Log'!$I$4:$I$1003&lt;&gt;"")),'Weekly Log'!$I$4:$I$1003),""))</f>
        <v/>
      </c>
    </row>
    <row r="473" customFormat="false" ht="15" hidden="false" customHeight="false" outlineLevel="0" collapsed="false">
      <c r="H473" s="16"/>
      <c r="J473" s="12" t="str">
        <f aca="false">IF(A473="","",COUNTIF('Weekly Log'!$C:$C,A473))</f>
        <v/>
      </c>
      <c r="K473" s="12" t="str">
        <f aca="false">IF(A473="","",COUNTIFS('Weekly Log'!$C:$C,A473,'Weekly Log'!$E:$E,"Yes"))</f>
        <v/>
      </c>
      <c r="L473" s="13" t="str">
        <f aca="false">IF(A473="","",IF(J473=0,"",K473/J473))</f>
        <v/>
      </c>
      <c r="M473" s="14" t="str">
        <f aca="false">IF(A473="","",IFERROR((SUMIFS('Weekly Log'!$F:$F,'Weekly Log'!$C:$C,A473)+SUMIFS('Weekly Log'!$G:$G,'Weekly Log'!$C:$C,A473))/(COUNTIFS('Weekly Log'!$C:$C,A473,'Weekly Log'!$F:$F,"&lt;&gt;")+COUNTIFS('Weekly Log'!$C:$C,A473,'Weekly Log'!$G:$G,"&lt;&gt;")),""))</f>
        <v/>
      </c>
      <c r="N473" s="15" t="str">
        <f aca="false">IF(A473="","",IF(K473=0,"",_xlfn.MAXIFS('Weekly Log'!$A:$A,'Weekly Log'!$C:$C,A473,'Weekly Log'!$E:$E,"Yes")))</f>
        <v/>
      </c>
      <c r="O473" s="12" t="str">
        <f aca="true">IF(N473="","",MAX(0,INT((TODAY()-N473)/7)))</f>
        <v/>
      </c>
      <c r="Q473" s="12" t="str">
        <f aca="false">IF(A473="","",IFERROR(LOOKUP(2,1/(('Weekly Log'!$C$4:$C$1003=A473)*('Weekly Log'!$I$4:$I$1003&lt;&gt;"")),'Weekly Log'!$I$4:$I$1003),""))</f>
        <v/>
      </c>
    </row>
    <row r="474" customFormat="false" ht="15" hidden="false" customHeight="false" outlineLevel="0" collapsed="false">
      <c r="H474" s="16"/>
      <c r="J474" s="12" t="str">
        <f aca="false">IF(A474="","",COUNTIF('Weekly Log'!$C:$C,A474))</f>
        <v/>
      </c>
      <c r="K474" s="12" t="str">
        <f aca="false">IF(A474="","",COUNTIFS('Weekly Log'!$C:$C,A474,'Weekly Log'!$E:$E,"Yes"))</f>
        <v/>
      </c>
      <c r="L474" s="13" t="str">
        <f aca="false">IF(A474="","",IF(J474=0,"",K474/J474))</f>
        <v/>
      </c>
      <c r="M474" s="14" t="str">
        <f aca="false">IF(A474="","",IFERROR((SUMIFS('Weekly Log'!$F:$F,'Weekly Log'!$C:$C,A474)+SUMIFS('Weekly Log'!$G:$G,'Weekly Log'!$C:$C,A474))/(COUNTIFS('Weekly Log'!$C:$C,A474,'Weekly Log'!$F:$F,"&lt;&gt;")+COUNTIFS('Weekly Log'!$C:$C,A474,'Weekly Log'!$G:$G,"&lt;&gt;")),""))</f>
        <v/>
      </c>
      <c r="N474" s="15" t="str">
        <f aca="false">IF(A474="","",IF(K474=0,"",_xlfn.MAXIFS('Weekly Log'!$A:$A,'Weekly Log'!$C:$C,A474,'Weekly Log'!$E:$E,"Yes")))</f>
        <v/>
      </c>
      <c r="O474" s="12" t="str">
        <f aca="true">IF(N474="","",MAX(0,INT((TODAY()-N474)/7)))</f>
        <v/>
      </c>
      <c r="Q474" s="12" t="str">
        <f aca="false">IF(A474="","",IFERROR(LOOKUP(2,1/(('Weekly Log'!$C$4:$C$1003=A474)*('Weekly Log'!$I$4:$I$1003&lt;&gt;"")),'Weekly Log'!$I$4:$I$1003),""))</f>
        <v/>
      </c>
    </row>
    <row r="475" customFormat="false" ht="15" hidden="false" customHeight="false" outlineLevel="0" collapsed="false">
      <c r="H475" s="16"/>
      <c r="J475" s="12" t="str">
        <f aca="false">IF(A475="","",COUNTIF('Weekly Log'!$C:$C,A475))</f>
        <v/>
      </c>
      <c r="K475" s="12" t="str">
        <f aca="false">IF(A475="","",COUNTIFS('Weekly Log'!$C:$C,A475,'Weekly Log'!$E:$E,"Yes"))</f>
        <v/>
      </c>
      <c r="L475" s="13" t="str">
        <f aca="false">IF(A475="","",IF(J475=0,"",K475/J475))</f>
        <v/>
      </c>
      <c r="M475" s="14" t="str">
        <f aca="false">IF(A475="","",IFERROR((SUMIFS('Weekly Log'!$F:$F,'Weekly Log'!$C:$C,A475)+SUMIFS('Weekly Log'!$G:$G,'Weekly Log'!$C:$C,A475))/(COUNTIFS('Weekly Log'!$C:$C,A475,'Weekly Log'!$F:$F,"&lt;&gt;")+COUNTIFS('Weekly Log'!$C:$C,A475,'Weekly Log'!$G:$G,"&lt;&gt;")),""))</f>
        <v/>
      </c>
      <c r="N475" s="15" t="str">
        <f aca="false">IF(A475="","",IF(K475=0,"",_xlfn.MAXIFS('Weekly Log'!$A:$A,'Weekly Log'!$C:$C,A475,'Weekly Log'!$E:$E,"Yes")))</f>
        <v/>
      </c>
      <c r="O475" s="12" t="str">
        <f aca="true">IF(N475="","",MAX(0,INT((TODAY()-N475)/7)))</f>
        <v/>
      </c>
      <c r="Q475" s="12" t="str">
        <f aca="false">IF(A475="","",IFERROR(LOOKUP(2,1/(('Weekly Log'!$C$4:$C$1003=A475)*('Weekly Log'!$I$4:$I$1003&lt;&gt;"")),'Weekly Log'!$I$4:$I$1003),""))</f>
        <v/>
      </c>
    </row>
    <row r="476" customFormat="false" ht="15" hidden="false" customHeight="false" outlineLevel="0" collapsed="false">
      <c r="H476" s="16"/>
      <c r="J476" s="12" t="str">
        <f aca="false">IF(A476="","",COUNTIF('Weekly Log'!$C:$C,A476))</f>
        <v/>
      </c>
      <c r="K476" s="12" t="str">
        <f aca="false">IF(A476="","",COUNTIFS('Weekly Log'!$C:$C,A476,'Weekly Log'!$E:$E,"Yes"))</f>
        <v/>
      </c>
      <c r="L476" s="13" t="str">
        <f aca="false">IF(A476="","",IF(J476=0,"",K476/J476))</f>
        <v/>
      </c>
      <c r="M476" s="14" t="str">
        <f aca="false">IF(A476="","",IFERROR((SUMIFS('Weekly Log'!$F:$F,'Weekly Log'!$C:$C,A476)+SUMIFS('Weekly Log'!$G:$G,'Weekly Log'!$C:$C,A476))/(COUNTIFS('Weekly Log'!$C:$C,A476,'Weekly Log'!$F:$F,"&lt;&gt;")+COUNTIFS('Weekly Log'!$C:$C,A476,'Weekly Log'!$G:$G,"&lt;&gt;")),""))</f>
        <v/>
      </c>
      <c r="N476" s="15" t="str">
        <f aca="false">IF(A476="","",IF(K476=0,"",_xlfn.MAXIFS('Weekly Log'!$A:$A,'Weekly Log'!$C:$C,A476,'Weekly Log'!$E:$E,"Yes")))</f>
        <v/>
      </c>
      <c r="O476" s="12" t="str">
        <f aca="true">IF(N476="","",MAX(0,INT((TODAY()-N476)/7)))</f>
        <v/>
      </c>
      <c r="Q476" s="12" t="str">
        <f aca="false">IF(A476="","",IFERROR(LOOKUP(2,1/(('Weekly Log'!$C$4:$C$1003=A476)*('Weekly Log'!$I$4:$I$1003&lt;&gt;"")),'Weekly Log'!$I$4:$I$1003),""))</f>
        <v/>
      </c>
    </row>
    <row r="477" customFormat="false" ht="15" hidden="false" customHeight="false" outlineLevel="0" collapsed="false">
      <c r="H477" s="16"/>
      <c r="J477" s="12" t="str">
        <f aca="false">IF(A477="","",COUNTIF('Weekly Log'!$C:$C,A477))</f>
        <v/>
      </c>
      <c r="K477" s="12" t="str">
        <f aca="false">IF(A477="","",COUNTIFS('Weekly Log'!$C:$C,A477,'Weekly Log'!$E:$E,"Yes"))</f>
        <v/>
      </c>
      <c r="L477" s="13" t="str">
        <f aca="false">IF(A477="","",IF(J477=0,"",K477/J477))</f>
        <v/>
      </c>
      <c r="M477" s="14" t="str">
        <f aca="false">IF(A477="","",IFERROR((SUMIFS('Weekly Log'!$F:$F,'Weekly Log'!$C:$C,A477)+SUMIFS('Weekly Log'!$G:$G,'Weekly Log'!$C:$C,A477))/(COUNTIFS('Weekly Log'!$C:$C,A477,'Weekly Log'!$F:$F,"&lt;&gt;")+COUNTIFS('Weekly Log'!$C:$C,A477,'Weekly Log'!$G:$G,"&lt;&gt;")),""))</f>
        <v/>
      </c>
      <c r="N477" s="15" t="str">
        <f aca="false">IF(A477="","",IF(K477=0,"",_xlfn.MAXIFS('Weekly Log'!$A:$A,'Weekly Log'!$C:$C,A477,'Weekly Log'!$E:$E,"Yes")))</f>
        <v/>
      </c>
      <c r="O477" s="12" t="str">
        <f aca="true">IF(N477="","",MAX(0,INT((TODAY()-N477)/7)))</f>
        <v/>
      </c>
      <c r="Q477" s="12" t="str">
        <f aca="false">IF(A477="","",IFERROR(LOOKUP(2,1/(('Weekly Log'!$C$4:$C$1003=A477)*('Weekly Log'!$I$4:$I$1003&lt;&gt;"")),'Weekly Log'!$I$4:$I$1003),""))</f>
        <v/>
      </c>
    </row>
    <row r="478" customFormat="false" ht="15" hidden="false" customHeight="false" outlineLevel="0" collapsed="false">
      <c r="H478" s="16"/>
      <c r="J478" s="12" t="str">
        <f aca="false">IF(A478="","",COUNTIF('Weekly Log'!$C:$C,A478))</f>
        <v/>
      </c>
      <c r="K478" s="12" t="str">
        <f aca="false">IF(A478="","",COUNTIFS('Weekly Log'!$C:$C,A478,'Weekly Log'!$E:$E,"Yes"))</f>
        <v/>
      </c>
      <c r="L478" s="13" t="str">
        <f aca="false">IF(A478="","",IF(J478=0,"",K478/J478))</f>
        <v/>
      </c>
      <c r="M478" s="14" t="str">
        <f aca="false">IF(A478="","",IFERROR((SUMIFS('Weekly Log'!$F:$F,'Weekly Log'!$C:$C,A478)+SUMIFS('Weekly Log'!$G:$G,'Weekly Log'!$C:$C,A478))/(COUNTIFS('Weekly Log'!$C:$C,A478,'Weekly Log'!$F:$F,"&lt;&gt;")+COUNTIFS('Weekly Log'!$C:$C,A478,'Weekly Log'!$G:$G,"&lt;&gt;")),""))</f>
        <v/>
      </c>
      <c r="N478" s="15" t="str">
        <f aca="false">IF(A478="","",IF(K478=0,"",_xlfn.MAXIFS('Weekly Log'!$A:$A,'Weekly Log'!$C:$C,A478,'Weekly Log'!$E:$E,"Yes")))</f>
        <v/>
      </c>
      <c r="O478" s="12" t="str">
        <f aca="true">IF(N478="","",MAX(0,INT((TODAY()-N478)/7)))</f>
        <v/>
      </c>
      <c r="Q478" s="12" t="str">
        <f aca="false">IF(A478="","",IFERROR(LOOKUP(2,1/(('Weekly Log'!$C$4:$C$1003=A478)*('Weekly Log'!$I$4:$I$1003&lt;&gt;"")),'Weekly Log'!$I$4:$I$1003),""))</f>
        <v/>
      </c>
    </row>
    <row r="479" customFormat="false" ht="15" hidden="false" customHeight="false" outlineLevel="0" collapsed="false">
      <c r="H479" s="16"/>
      <c r="J479" s="12" t="str">
        <f aca="false">IF(A479="","",COUNTIF('Weekly Log'!$C:$C,A479))</f>
        <v/>
      </c>
      <c r="K479" s="12" t="str">
        <f aca="false">IF(A479="","",COUNTIFS('Weekly Log'!$C:$C,A479,'Weekly Log'!$E:$E,"Yes"))</f>
        <v/>
      </c>
      <c r="L479" s="13" t="str">
        <f aca="false">IF(A479="","",IF(J479=0,"",K479/J479))</f>
        <v/>
      </c>
      <c r="M479" s="14" t="str">
        <f aca="false">IF(A479="","",IFERROR((SUMIFS('Weekly Log'!$F:$F,'Weekly Log'!$C:$C,A479)+SUMIFS('Weekly Log'!$G:$G,'Weekly Log'!$C:$C,A479))/(COUNTIFS('Weekly Log'!$C:$C,A479,'Weekly Log'!$F:$F,"&lt;&gt;")+COUNTIFS('Weekly Log'!$C:$C,A479,'Weekly Log'!$G:$G,"&lt;&gt;")),""))</f>
        <v/>
      </c>
      <c r="N479" s="15" t="str">
        <f aca="false">IF(A479="","",IF(K479=0,"",_xlfn.MAXIFS('Weekly Log'!$A:$A,'Weekly Log'!$C:$C,A479,'Weekly Log'!$E:$E,"Yes")))</f>
        <v/>
      </c>
      <c r="O479" s="12" t="str">
        <f aca="true">IF(N479="","",MAX(0,INT((TODAY()-N479)/7)))</f>
        <v/>
      </c>
      <c r="Q479" s="12" t="str">
        <f aca="false">IF(A479="","",IFERROR(LOOKUP(2,1/(('Weekly Log'!$C$4:$C$1003=A479)*('Weekly Log'!$I$4:$I$1003&lt;&gt;"")),'Weekly Log'!$I$4:$I$1003),""))</f>
        <v/>
      </c>
    </row>
    <row r="480" customFormat="false" ht="15" hidden="false" customHeight="false" outlineLevel="0" collapsed="false">
      <c r="H480" s="16"/>
      <c r="J480" s="12" t="str">
        <f aca="false">IF(A480="","",COUNTIF('Weekly Log'!$C:$C,A480))</f>
        <v/>
      </c>
      <c r="K480" s="12" t="str">
        <f aca="false">IF(A480="","",COUNTIFS('Weekly Log'!$C:$C,A480,'Weekly Log'!$E:$E,"Yes"))</f>
        <v/>
      </c>
      <c r="L480" s="13" t="str">
        <f aca="false">IF(A480="","",IF(J480=0,"",K480/J480))</f>
        <v/>
      </c>
      <c r="M480" s="14" t="str">
        <f aca="false">IF(A480="","",IFERROR((SUMIFS('Weekly Log'!$F:$F,'Weekly Log'!$C:$C,A480)+SUMIFS('Weekly Log'!$G:$G,'Weekly Log'!$C:$C,A480))/(COUNTIFS('Weekly Log'!$C:$C,A480,'Weekly Log'!$F:$F,"&lt;&gt;")+COUNTIFS('Weekly Log'!$C:$C,A480,'Weekly Log'!$G:$G,"&lt;&gt;")),""))</f>
        <v/>
      </c>
      <c r="N480" s="15" t="str">
        <f aca="false">IF(A480="","",IF(K480=0,"",_xlfn.MAXIFS('Weekly Log'!$A:$A,'Weekly Log'!$C:$C,A480,'Weekly Log'!$E:$E,"Yes")))</f>
        <v/>
      </c>
      <c r="O480" s="12" t="str">
        <f aca="true">IF(N480="","",MAX(0,INT((TODAY()-N480)/7)))</f>
        <v/>
      </c>
      <c r="Q480" s="12" t="str">
        <f aca="false">IF(A480="","",IFERROR(LOOKUP(2,1/(('Weekly Log'!$C$4:$C$1003=A480)*('Weekly Log'!$I$4:$I$1003&lt;&gt;"")),'Weekly Log'!$I$4:$I$1003),""))</f>
        <v/>
      </c>
    </row>
    <row r="481" customFormat="false" ht="15" hidden="false" customHeight="false" outlineLevel="0" collapsed="false">
      <c r="H481" s="16"/>
      <c r="J481" s="12" t="str">
        <f aca="false">IF(A481="","",COUNTIF('Weekly Log'!$C:$C,A481))</f>
        <v/>
      </c>
      <c r="K481" s="12" t="str">
        <f aca="false">IF(A481="","",COUNTIFS('Weekly Log'!$C:$C,A481,'Weekly Log'!$E:$E,"Yes"))</f>
        <v/>
      </c>
      <c r="L481" s="13" t="str">
        <f aca="false">IF(A481="","",IF(J481=0,"",K481/J481))</f>
        <v/>
      </c>
      <c r="M481" s="14" t="str">
        <f aca="false">IF(A481="","",IFERROR((SUMIFS('Weekly Log'!$F:$F,'Weekly Log'!$C:$C,A481)+SUMIFS('Weekly Log'!$G:$G,'Weekly Log'!$C:$C,A481))/(COUNTIFS('Weekly Log'!$C:$C,A481,'Weekly Log'!$F:$F,"&lt;&gt;")+COUNTIFS('Weekly Log'!$C:$C,A481,'Weekly Log'!$G:$G,"&lt;&gt;")),""))</f>
        <v/>
      </c>
      <c r="N481" s="15" t="str">
        <f aca="false">IF(A481="","",IF(K481=0,"",_xlfn.MAXIFS('Weekly Log'!$A:$A,'Weekly Log'!$C:$C,A481,'Weekly Log'!$E:$E,"Yes")))</f>
        <v/>
      </c>
      <c r="O481" s="12" t="str">
        <f aca="true">IF(N481="","",MAX(0,INT((TODAY()-N481)/7)))</f>
        <v/>
      </c>
      <c r="Q481" s="12" t="str">
        <f aca="false">IF(A481="","",IFERROR(LOOKUP(2,1/(('Weekly Log'!$C$4:$C$1003=A481)*('Weekly Log'!$I$4:$I$1003&lt;&gt;"")),'Weekly Log'!$I$4:$I$1003),""))</f>
        <v/>
      </c>
    </row>
    <row r="482" customFormat="false" ht="15" hidden="false" customHeight="false" outlineLevel="0" collapsed="false">
      <c r="H482" s="16"/>
      <c r="J482" s="12" t="str">
        <f aca="false">IF(A482="","",COUNTIF('Weekly Log'!$C:$C,A482))</f>
        <v/>
      </c>
      <c r="K482" s="12" t="str">
        <f aca="false">IF(A482="","",COUNTIFS('Weekly Log'!$C:$C,A482,'Weekly Log'!$E:$E,"Yes"))</f>
        <v/>
      </c>
      <c r="L482" s="13" t="str">
        <f aca="false">IF(A482="","",IF(J482=0,"",K482/J482))</f>
        <v/>
      </c>
      <c r="M482" s="14" t="str">
        <f aca="false">IF(A482="","",IFERROR((SUMIFS('Weekly Log'!$F:$F,'Weekly Log'!$C:$C,A482)+SUMIFS('Weekly Log'!$G:$G,'Weekly Log'!$C:$C,A482))/(COUNTIFS('Weekly Log'!$C:$C,A482,'Weekly Log'!$F:$F,"&lt;&gt;")+COUNTIFS('Weekly Log'!$C:$C,A482,'Weekly Log'!$G:$G,"&lt;&gt;")),""))</f>
        <v/>
      </c>
      <c r="N482" s="15" t="str">
        <f aca="false">IF(A482="","",IF(K482=0,"",_xlfn.MAXIFS('Weekly Log'!$A:$A,'Weekly Log'!$C:$C,A482,'Weekly Log'!$E:$E,"Yes")))</f>
        <v/>
      </c>
      <c r="O482" s="12" t="str">
        <f aca="true">IF(N482="","",MAX(0,INT((TODAY()-N482)/7)))</f>
        <v/>
      </c>
      <c r="Q482" s="12" t="str">
        <f aca="false">IF(A482="","",IFERROR(LOOKUP(2,1/(('Weekly Log'!$C$4:$C$1003=A482)*('Weekly Log'!$I$4:$I$1003&lt;&gt;"")),'Weekly Log'!$I$4:$I$1003),""))</f>
        <v/>
      </c>
    </row>
    <row r="483" customFormat="false" ht="15" hidden="false" customHeight="false" outlineLevel="0" collapsed="false">
      <c r="H483" s="16"/>
      <c r="J483" s="12" t="str">
        <f aca="false">IF(A483="","",COUNTIF('Weekly Log'!$C:$C,A483))</f>
        <v/>
      </c>
      <c r="K483" s="12" t="str">
        <f aca="false">IF(A483="","",COUNTIFS('Weekly Log'!$C:$C,A483,'Weekly Log'!$E:$E,"Yes"))</f>
        <v/>
      </c>
      <c r="L483" s="13" t="str">
        <f aca="false">IF(A483="","",IF(J483=0,"",K483/J483))</f>
        <v/>
      </c>
      <c r="M483" s="14" t="str">
        <f aca="false">IF(A483="","",IFERROR((SUMIFS('Weekly Log'!$F:$F,'Weekly Log'!$C:$C,A483)+SUMIFS('Weekly Log'!$G:$G,'Weekly Log'!$C:$C,A483))/(COUNTIFS('Weekly Log'!$C:$C,A483,'Weekly Log'!$F:$F,"&lt;&gt;")+COUNTIFS('Weekly Log'!$C:$C,A483,'Weekly Log'!$G:$G,"&lt;&gt;")),""))</f>
        <v/>
      </c>
      <c r="N483" s="15" t="str">
        <f aca="false">IF(A483="","",IF(K483=0,"",_xlfn.MAXIFS('Weekly Log'!$A:$A,'Weekly Log'!$C:$C,A483,'Weekly Log'!$E:$E,"Yes")))</f>
        <v/>
      </c>
      <c r="O483" s="12" t="str">
        <f aca="true">IF(N483="","",MAX(0,INT((TODAY()-N483)/7)))</f>
        <v/>
      </c>
      <c r="Q483" s="12" t="str">
        <f aca="false">IF(A483="","",IFERROR(LOOKUP(2,1/(('Weekly Log'!$C$4:$C$1003=A483)*('Weekly Log'!$I$4:$I$1003&lt;&gt;"")),'Weekly Log'!$I$4:$I$1003),""))</f>
        <v/>
      </c>
    </row>
    <row r="484" customFormat="false" ht="15" hidden="false" customHeight="false" outlineLevel="0" collapsed="false">
      <c r="H484" s="16"/>
      <c r="J484" s="12" t="str">
        <f aca="false">IF(A484="","",COUNTIF('Weekly Log'!$C:$C,A484))</f>
        <v/>
      </c>
      <c r="K484" s="12" t="str">
        <f aca="false">IF(A484="","",COUNTIFS('Weekly Log'!$C:$C,A484,'Weekly Log'!$E:$E,"Yes"))</f>
        <v/>
      </c>
      <c r="L484" s="13" t="str">
        <f aca="false">IF(A484="","",IF(J484=0,"",K484/J484))</f>
        <v/>
      </c>
      <c r="M484" s="14" t="str">
        <f aca="false">IF(A484="","",IFERROR((SUMIFS('Weekly Log'!$F:$F,'Weekly Log'!$C:$C,A484)+SUMIFS('Weekly Log'!$G:$G,'Weekly Log'!$C:$C,A484))/(COUNTIFS('Weekly Log'!$C:$C,A484,'Weekly Log'!$F:$F,"&lt;&gt;")+COUNTIFS('Weekly Log'!$C:$C,A484,'Weekly Log'!$G:$G,"&lt;&gt;")),""))</f>
        <v/>
      </c>
      <c r="N484" s="15" t="str">
        <f aca="false">IF(A484="","",IF(K484=0,"",_xlfn.MAXIFS('Weekly Log'!$A:$A,'Weekly Log'!$C:$C,A484,'Weekly Log'!$E:$E,"Yes")))</f>
        <v/>
      </c>
      <c r="O484" s="12" t="str">
        <f aca="true">IF(N484="","",MAX(0,INT((TODAY()-N484)/7)))</f>
        <v/>
      </c>
      <c r="Q484" s="12" t="str">
        <f aca="false">IF(A484="","",IFERROR(LOOKUP(2,1/(('Weekly Log'!$C$4:$C$1003=A484)*('Weekly Log'!$I$4:$I$1003&lt;&gt;"")),'Weekly Log'!$I$4:$I$1003),""))</f>
        <v/>
      </c>
    </row>
    <row r="485" customFormat="false" ht="15" hidden="false" customHeight="false" outlineLevel="0" collapsed="false">
      <c r="H485" s="16"/>
      <c r="J485" s="12" t="str">
        <f aca="false">IF(A485="","",COUNTIF('Weekly Log'!$C:$C,A485))</f>
        <v/>
      </c>
      <c r="K485" s="12" t="str">
        <f aca="false">IF(A485="","",COUNTIFS('Weekly Log'!$C:$C,A485,'Weekly Log'!$E:$E,"Yes"))</f>
        <v/>
      </c>
      <c r="L485" s="13" t="str">
        <f aca="false">IF(A485="","",IF(J485=0,"",K485/J485))</f>
        <v/>
      </c>
      <c r="M485" s="14" t="str">
        <f aca="false">IF(A485="","",IFERROR((SUMIFS('Weekly Log'!$F:$F,'Weekly Log'!$C:$C,A485)+SUMIFS('Weekly Log'!$G:$G,'Weekly Log'!$C:$C,A485))/(COUNTIFS('Weekly Log'!$C:$C,A485,'Weekly Log'!$F:$F,"&lt;&gt;")+COUNTIFS('Weekly Log'!$C:$C,A485,'Weekly Log'!$G:$G,"&lt;&gt;")),""))</f>
        <v/>
      </c>
      <c r="N485" s="15" t="str">
        <f aca="false">IF(A485="","",IF(K485=0,"",_xlfn.MAXIFS('Weekly Log'!$A:$A,'Weekly Log'!$C:$C,A485,'Weekly Log'!$E:$E,"Yes")))</f>
        <v/>
      </c>
      <c r="O485" s="12" t="str">
        <f aca="true">IF(N485="","",MAX(0,INT((TODAY()-N485)/7)))</f>
        <v/>
      </c>
      <c r="Q485" s="12" t="str">
        <f aca="false">IF(A485="","",IFERROR(LOOKUP(2,1/(('Weekly Log'!$C$4:$C$1003=A485)*('Weekly Log'!$I$4:$I$1003&lt;&gt;"")),'Weekly Log'!$I$4:$I$1003),""))</f>
        <v/>
      </c>
    </row>
    <row r="486" customFormat="false" ht="15" hidden="false" customHeight="false" outlineLevel="0" collapsed="false">
      <c r="H486" s="16"/>
      <c r="J486" s="12" t="str">
        <f aca="false">IF(A486="","",COUNTIF('Weekly Log'!$C:$C,A486))</f>
        <v/>
      </c>
      <c r="K486" s="12" t="str">
        <f aca="false">IF(A486="","",COUNTIFS('Weekly Log'!$C:$C,A486,'Weekly Log'!$E:$E,"Yes"))</f>
        <v/>
      </c>
      <c r="L486" s="13" t="str">
        <f aca="false">IF(A486="","",IF(J486=0,"",K486/J486))</f>
        <v/>
      </c>
      <c r="M486" s="14" t="str">
        <f aca="false">IF(A486="","",IFERROR((SUMIFS('Weekly Log'!$F:$F,'Weekly Log'!$C:$C,A486)+SUMIFS('Weekly Log'!$G:$G,'Weekly Log'!$C:$C,A486))/(COUNTIFS('Weekly Log'!$C:$C,A486,'Weekly Log'!$F:$F,"&lt;&gt;")+COUNTIFS('Weekly Log'!$C:$C,A486,'Weekly Log'!$G:$G,"&lt;&gt;")),""))</f>
        <v/>
      </c>
      <c r="N486" s="15" t="str">
        <f aca="false">IF(A486="","",IF(K486=0,"",_xlfn.MAXIFS('Weekly Log'!$A:$A,'Weekly Log'!$C:$C,A486,'Weekly Log'!$E:$E,"Yes")))</f>
        <v/>
      </c>
      <c r="O486" s="12" t="str">
        <f aca="true">IF(N486="","",MAX(0,INT((TODAY()-N486)/7)))</f>
        <v/>
      </c>
      <c r="Q486" s="12" t="str">
        <f aca="false">IF(A486="","",IFERROR(LOOKUP(2,1/(('Weekly Log'!$C$4:$C$1003=A486)*('Weekly Log'!$I$4:$I$1003&lt;&gt;"")),'Weekly Log'!$I$4:$I$1003),""))</f>
        <v/>
      </c>
    </row>
    <row r="487" customFormat="false" ht="15" hidden="false" customHeight="false" outlineLevel="0" collapsed="false">
      <c r="H487" s="16"/>
      <c r="J487" s="12" t="str">
        <f aca="false">IF(A487="","",COUNTIF('Weekly Log'!$C:$C,A487))</f>
        <v/>
      </c>
      <c r="K487" s="12" t="str">
        <f aca="false">IF(A487="","",COUNTIFS('Weekly Log'!$C:$C,A487,'Weekly Log'!$E:$E,"Yes"))</f>
        <v/>
      </c>
      <c r="L487" s="13" t="str">
        <f aca="false">IF(A487="","",IF(J487=0,"",K487/J487))</f>
        <v/>
      </c>
      <c r="M487" s="14" t="str">
        <f aca="false">IF(A487="","",IFERROR((SUMIFS('Weekly Log'!$F:$F,'Weekly Log'!$C:$C,A487)+SUMIFS('Weekly Log'!$G:$G,'Weekly Log'!$C:$C,A487))/(COUNTIFS('Weekly Log'!$C:$C,A487,'Weekly Log'!$F:$F,"&lt;&gt;")+COUNTIFS('Weekly Log'!$C:$C,A487,'Weekly Log'!$G:$G,"&lt;&gt;")),""))</f>
        <v/>
      </c>
      <c r="N487" s="15" t="str">
        <f aca="false">IF(A487="","",IF(K487=0,"",_xlfn.MAXIFS('Weekly Log'!$A:$A,'Weekly Log'!$C:$C,A487,'Weekly Log'!$E:$E,"Yes")))</f>
        <v/>
      </c>
      <c r="O487" s="12" t="str">
        <f aca="true">IF(N487="","",MAX(0,INT((TODAY()-N487)/7)))</f>
        <v/>
      </c>
      <c r="Q487" s="12" t="str">
        <f aca="false">IF(A487="","",IFERROR(LOOKUP(2,1/(('Weekly Log'!$C$4:$C$1003=A487)*('Weekly Log'!$I$4:$I$1003&lt;&gt;"")),'Weekly Log'!$I$4:$I$1003),""))</f>
        <v/>
      </c>
    </row>
    <row r="488" customFormat="false" ht="15" hidden="false" customHeight="false" outlineLevel="0" collapsed="false">
      <c r="H488" s="16"/>
      <c r="J488" s="12" t="str">
        <f aca="false">IF(A488="","",COUNTIF('Weekly Log'!$C:$C,A488))</f>
        <v/>
      </c>
      <c r="K488" s="12" t="str">
        <f aca="false">IF(A488="","",COUNTIFS('Weekly Log'!$C:$C,A488,'Weekly Log'!$E:$E,"Yes"))</f>
        <v/>
      </c>
      <c r="L488" s="13" t="str">
        <f aca="false">IF(A488="","",IF(J488=0,"",K488/J488))</f>
        <v/>
      </c>
      <c r="M488" s="14" t="str">
        <f aca="false">IF(A488="","",IFERROR((SUMIFS('Weekly Log'!$F:$F,'Weekly Log'!$C:$C,A488)+SUMIFS('Weekly Log'!$G:$G,'Weekly Log'!$C:$C,A488))/(COUNTIFS('Weekly Log'!$C:$C,A488,'Weekly Log'!$F:$F,"&lt;&gt;")+COUNTIFS('Weekly Log'!$C:$C,A488,'Weekly Log'!$G:$G,"&lt;&gt;")),""))</f>
        <v/>
      </c>
      <c r="N488" s="15" t="str">
        <f aca="false">IF(A488="","",IF(K488=0,"",_xlfn.MAXIFS('Weekly Log'!$A:$A,'Weekly Log'!$C:$C,A488,'Weekly Log'!$E:$E,"Yes")))</f>
        <v/>
      </c>
      <c r="O488" s="12" t="str">
        <f aca="true">IF(N488="","",MAX(0,INT((TODAY()-N488)/7)))</f>
        <v/>
      </c>
      <c r="Q488" s="12" t="str">
        <f aca="false">IF(A488="","",IFERROR(LOOKUP(2,1/(('Weekly Log'!$C$4:$C$1003=A488)*('Weekly Log'!$I$4:$I$1003&lt;&gt;"")),'Weekly Log'!$I$4:$I$1003),""))</f>
        <v/>
      </c>
    </row>
    <row r="489" customFormat="false" ht="15" hidden="false" customHeight="false" outlineLevel="0" collapsed="false">
      <c r="H489" s="16"/>
      <c r="J489" s="12" t="str">
        <f aca="false">IF(A489="","",COUNTIF('Weekly Log'!$C:$C,A489))</f>
        <v/>
      </c>
      <c r="K489" s="12" t="str">
        <f aca="false">IF(A489="","",COUNTIFS('Weekly Log'!$C:$C,A489,'Weekly Log'!$E:$E,"Yes"))</f>
        <v/>
      </c>
      <c r="L489" s="13" t="str">
        <f aca="false">IF(A489="","",IF(J489=0,"",K489/J489))</f>
        <v/>
      </c>
      <c r="M489" s="14" t="str">
        <f aca="false">IF(A489="","",IFERROR((SUMIFS('Weekly Log'!$F:$F,'Weekly Log'!$C:$C,A489)+SUMIFS('Weekly Log'!$G:$G,'Weekly Log'!$C:$C,A489))/(COUNTIFS('Weekly Log'!$C:$C,A489,'Weekly Log'!$F:$F,"&lt;&gt;")+COUNTIFS('Weekly Log'!$C:$C,A489,'Weekly Log'!$G:$G,"&lt;&gt;")),""))</f>
        <v/>
      </c>
      <c r="N489" s="15" t="str">
        <f aca="false">IF(A489="","",IF(K489=0,"",_xlfn.MAXIFS('Weekly Log'!$A:$A,'Weekly Log'!$C:$C,A489,'Weekly Log'!$E:$E,"Yes")))</f>
        <v/>
      </c>
      <c r="O489" s="12" t="str">
        <f aca="true">IF(N489="","",MAX(0,INT((TODAY()-N489)/7)))</f>
        <v/>
      </c>
      <c r="Q489" s="12" t="str">
        <f aca="false">IF(A489="","",IFERROR(LOOKUP(2,1/(('Weekly Log'!$C$4:$C$1003=A489)*('Weekly Log'!$I$4:$I$1003&lt;&gt;"")),'Weekly Log'!$I$4:$I$1003),""))</f>
        <v/>
      </c>
    </row>
    <row r="490" customFormat="false" ht="15" hidden="false" customHeight="false" outlineLevel="0" collapsed="false">
      <c r="H490" s="16"/>
      <c r="J490" s="12" t="str">
        <f aca="false">IF(A490="","",COUNTIF('Weekly Log'!$C:$C,A490))</f>
        <v/>
      </c>
      <c r="K490" s="12" t="str">
        <f aca="false">IF(A490="","",COUNTIFS('Weekly Log'!$C:$C,A490,'Weekly Log'!$E:$E,"Yes"))</f>
        <v/>
      </c>
      <c r="L490" s="13" t="str">
        <f aca="false">IF(A490="","",IF(J490=0,"",K490/J490))</f>
        <v/>
      </c>
      <c r="M490" s="14" t="str">
        <f aca="false">IF(A490="","",IFERROR((SUMIFS('Weekly Log'!$F:$F,'Weekly Log'!$C:$C,A490)+SUMIFS('Weekly Log'!$G:$G,'Weekly Log'!$C:$C,A490))/(COUNTIFS('Weekly Log'!$C:$C,A490,'Weekly Log'!$F:$F,"&lt;&gt;")+COUNTIFS('Weekly Log'!$C:$C,A490,'Weekly Log'!$G:$G,"&lt;&gt;")),""))</f>
        <v/>
      </c>
      <c r="N490" s="15" t="str">
        <f aca="false">IF(A490="","",IF(K490=0,"",_xlfn.MAXIFS('Weekly Log'!$A:$A,'Weekly Log'!$C:$C,A490,'Weekly Log'!$E:$E,"Yes")))</f>
        <v/>
      </c>
      <c r="O490" s="12" t="str">
        <f aca="true">IF(N490="","",MAX(0,INT((TODAY()-N490)/7)))</f>
        <v/>
      </c>
      <c r="Q490" s="12" t="str">
        <f aca="false">IF(A490="","",IFERROR(LOOKUP(2,1/(('Weekly Log'!$C$4:$C$1003=A490)*('Weekly Log'!$I$4:$I$1003&lt;&gt;"")),'Weekly Log'!$I$4:$I$1003),""))</f>
        <v/>
      </c>
    </row>
    <row r="491" customFormat="false" ht="15" hidden="false" customHeight="false" outlineLevel="0" collapsed="false">
      <c r="H491" s="16"/>
      <c r="J491" s="12" t="str">
        <f aca="false">IF(A491="","",COUNTIF('Weekly Log'!$C:$C,A491))</f>
        <v/>
      </c>
      <c r="K491" s="12" t="str">
        <f aca="false">IF(A491="","",COUNTIFS('Weekly Log'!$C:$C,A491,'Weekly Log'!$E:$E,"Yes"))</f>
        <v/>
      </c>
      <c r="L491" s="13" t="str">
        <f aca="false">IF(A491="","",IF(J491=0,"",K491/J491))</f>
        <v/>
      </c>
      <c r="M491" s="14" t="str">
        <f aca="false">IF(A491="","",IFERROR((SUMIFS('Weekly Log'!$F:$F,'Weekly Log'!$C:$C,A491)+SUMIFS('Weekly Log'!$G:$G,'Weekly Log'!$C:$C,A491))/(COUNTIFS('Weekly Log'!$C:$C,A491,'Weekly Log'!$F:$F,"&lt;&gt;")+COUNTIFS('Weekly Log'!$C:$C,A491,'Weekly Log'!$G:$G,"&lt;&gt;")),""))</f>
        <v/>
      </c>
      <c r="N491" s="15" t="str">
        <f aca="false">IF(A491="","",IF(K491=0,"",_xlfn.MAXIFS('Weekly Log'!$A:$A,'Weekly Log'!$C:$C,A491,'Weekly Log'!$E:$E,"Yes")))</f>
        <v/>
      </c>
      <c r="O491" s="12" t="str">
        <f aca="true">IF(N491="","",MAX(0,INT((TODAY()-N491)/7)))</f>
        <v/>
      </c>
      <c r="Q491" s="12" t="str">
        <f aca="false">IF(A491="","",IFERROR(LOOKUP(2,1/(('Weekly Log'!$C$4:$C$1003=A491)*('Weekly Log'!$I$4:$I$1003&lt;&gt;"")),'Weekly Log'!$I$4:$I$1003),""))</f>
        <v/>
      </c>
    </row>
    <row r="492" customFormat="false" ht="15" hidden="false" customHeight="false" outlineLevel="0" collapsed="false">
      <c r="H492" s="16"/>
      <c r="J492" s="12" t="str">
        <f aca="false">IF(A492="","",COUNTIF('Weekly Log'!$C:$C,A492))</f>
        <v/>
      </c>
      <c r="K492" s="12" t="str">
        <f aca="false">IF(A492="","",COUNTIFS('Weekly Log'!$C:$C,A492,'Weekly Log'!$E:$E,"Yes"))</f>
        <v/>
      </c>
      <c r="L492" s="13" t="str">
        <f aca="false">IF(A492="","",IF(J492=0,"",K492/J492))</f>
        <v/>
      </c>
      <c r="M492" s="14" t="str">
        <f aca="false">IF(A492="","",IFERROR((SUMIFS('Weekly Log'!$F:$F,'Weekly Log'!$C:$C,A492)+SUMIFS('Weekly Log'!$G:$G,'Weekly Log'!$C:$C,A492))/(COUNTIFS('Weekly Log'!$C:$C,A492,'Weekly Log'!$F:$F,"&lt;&gt;")+COUNTIFS('Weekly Log'!$C:$C,A492,'Weekly Log'!$G:$G,"&lt;&gt;")),""))</f>
        <v/>
      </c>
      <c r="N492" s="15" t="str">
        <f aca="false">IF(A492="","",IF(K492=0,"",_xlfn.MAXIFS('Weekly Log'!$A:$A,'Weekly Log'!$C:$C,A492,'Weekly Log'!$E:$E,"Yes")))</f>
        <v/>
      </c>
      <c r="O492" s="12" t="str">
        <f aca="true">IF(N492="","",MAX(0,INT((TODAY()-N492)/7)))</f>
        <v/>
      </c>
      <c r="Q492" s="12" t="str">
        <f aca="false">IF(A492="","",IFERROR(LOOKUP(2,1/(('Weekly Log'!$C$4:$C$1003=A492)*('Weekly Log'!$I$4:$I$1003&lt;&gt;"")),'Weekly Log'!$I$4:$I$1003),""))</f>
        <v/>
      </c>
    </row>
    <row r="493" customFormat="false" ht="15" hidden="false" customHeight="false" outlineLevel="0" collapsed="false">
      <c r="H493" s="16"/>
      <c r="J493" s="12" t="str">
        <f aca="false">IF(A493="","",COUNTIF('Weekly Log'!$C:$C,A493))</f>
        <v/>
      </c>
      <c r="K493" s="12" t="str">
        <f aca="false">IF(A493="","",COUNTIFS('Weekly Log'!$C:$C,A493,'Weekly Log'!$E:$E,"Yes"))</f>
        <v/>
      </c>
      <c r="L493" s="13" t="str">
        <f aca="false">IF(A493="","",IF(J493=0,"",K493/J493))</f>
        <v/>
      </c>
      <c r="M493" s="14" t="str">
        <f aca="false">IF(A493="","",IFERROR((SUMIFS('Weekly Log'!$F:$F,'Weekly Log'!$C:$C,A493)+SUMIFS('Weekly Log'!$G:$G,'Weekly Log'!$C:$C,A493))/(COUNTIFS('Weekly Log'!$C:$C,A493,'Weekly Log'!$F:$F,"&lt;&gt;")+COUNTIFS('Weekly Log'!$C:$C,A493,'Weekly Log'!$G:$G,"&lt;&gt;")),""))</f>
        <v/>
      </c>
      <c r="N493" s="15" t="str">
        <f aca="false">IF(A493="","",IF(K493=0,"",_xlfn.MAXIFS('Weekly Log'!$A:$A,'Weekly Log'!$C:$C,A493,'Weekly Log'!$E:$E,"Yes")))</f>
        <v/>
      </c>
      <c r="O493" s="12" t="str">
        <f aca="true">IF(N493="","",MAX(0,INT((TODAY()-N493)/7)))</f>
        <v/>
      </c>
      <c r="Q493" s="12" t="str">
        <f aca="false">IF(A493="","",IFERROR(LOOKUP(2,1/(('Weekly Log'!$C$4:$C$1003=A493)*('Weekly Log'!$I$4:$I$1003&lt;&gt;"")),'Weekly Log'!$I$4:$I$1003),""))</f>
        <v/>
      </c>
    </row>
    <row r="494" customFormat="false" ht="15" hidden="false" customHeight="false" outlineLevel="0" collapsed="false">
      <c r="H494" s="16"/>
      <c r="J494" s="12" t="str">
        <f aca="false">IF(A494="","",COUNTIF('Weekly Log'!$C:$C,A494))</f>
        <v/>
      </c>
      <c r="K494" s="12" t="str">
        <f aca="false">IF(A494="","",COUNTIFS('Weekly Log'!$C:$C,A494,'Weekly Log'!$E:$E,"Yes"))</f>
        <v/>
      </c>
      <c r="L494" s="13" t="str">
        <f aca="false">IF(A494="","",IF(J494=0,"",K494/J494))</f>
        <v/>
      </c>
      <c r="M494" s="14" t="str">
        <f aca="false">IF(A494="","",IFERROR((SUMIFS('Weekly Log'!$F:$F,'Weekly Log'!$C:$C,A494)+SUMIFS('Weekly Log'!$G:$G,'Weekly Log'!$C:$C,A494))/(COUNTIFS('Weekly Log'!$C:$C,A494,'Weekly Log'!$F:$F,"&lt;&gt;")+COUNTIFS('Weekly Log'!$C:$C,A494,'Weekly Log'!$G:$G,"&lt;&gt;")),""))</f>
        <v/>
      </c>
      <c r="N494" s="15" t="str">
        <f aca="false">IF(A494="","",IF(K494=0,"",_xlfn.MAXIFS('Weekly Log'!$A:$A,'Weekly Log'!$C:$C,A494,'Weekly Log'!$E:$E,"Yes")))</f>
        <v/>
      </c>
      <c r="O494" s="12" t="str">
        <f aca="true">IF(N494="","",MAX(0,INT((TODAY()-N494)/7)))</f>
        <v/>
      </c>
      <c r="Q494" s="12" t="str">
        <f aca="false">IF(A494="","",IFERROR(LOOKUP(2,1/(('Weekly Log'!$C$4:$C$1003=A494)*('Weekly Log'!$I$4:$I$1003&lt;&gt;"")),'Weekly Log'!$I$4:$I$1003),""))</f>
        <v/>
      </c>
    </row>
    <row r="495" customFormat="false" ht="15" hidden="false" customHeight="false" outlineLevel="0" collapsed="false">
      <c r="H495" s="16"/>
      <c r="J495" s="12" t="str">
        <f aca="false">IF(A495="","",COUNTIF('Weekly Log'!$C:$C,A495))</f>
        <v/>
      </c>
      <c r="K495" s="12" t="str">
        <f aca="false">IF(A495="","",COUNTIFS('Weekly Log'!$C:$C,A495,'Weekly Log'!$E:$E,"Yes"))</f>
        <v/>
      </c>
      <c r="L495" s="13" t="str">
        <f aca="false">IF(A495="","",IF(J495=0,"",K495/J495))</f>
        <v/>
      </c>
      <c r="M495" s="14" t="str">
        <f aca="false">IF(A495="","",IFERROR((SUMIFS('Weekly Log'!$F:$F,'Weekly Log'!$C:$C,A495)+SUMIFS('Weekly Log'!$G:$G,'Weekly Log'!$C:$C,A495))/(COUNTIFS('Weekly Log'!$C:$C,A495,'Weekly Log'!$F:$F,"&lt;&gt;")+COUNTIFS('Weekly Log'!$C:$C,A495,'Weekly Log'!$G:$G,"&lt;&gt;")),""))</f>
        <v/>
      </c>
      <c r="N495" s="15" t="str">
        <f aca="false">IF(A495="","",IF(K495=0,"",_xlfn.MAXIFS('Weekly Log'!$A:$A,'Weekly Log'!$C:$C,A495,'Weekly Log'!$E:$E,"Yes")))</f>
        <v/>
      </c>
      <c r="O495" s="12" t="str">
        <f aca="true">IF(N495="","",MAX(0,INT((TODAY()-N495)/7)))</f>
        <v/>
      </c>
      <c r="Q495" s="12" t="str">
        <f aca="false">IF(A495="","",IFERROR(LOOKUP(2,1/(('Weekly Log'!$C$4:$C$1003=A495)*('Weekly Log'!$I$4:$I$1003&lt;&gt;"")),'Weekly Log'!$I$4:$I$1003),""))</f>
        <v/>
      </c>
    </row>
    <row r="496" customFormat="false" ht="15" hidden="false" customHeight="false" outlineLevel="0" collapsed="false">
      <c r="H496" s="16"/>
      <c r="J496" s="12" t="str">
        <f aca="false">IF(A496="","",COUNTIF('Weekly Log'!$C:$C,A496))</f>
        <v/>
      </c>
      <c r="K496" s="12" t="str">
        <f aca="false">IF(A496="","",COUNTIFS('Weekly Log'!$C:$C,A496,'Weekly Log'!$E:$E,"Yes"))</f>
        <v/>
      </c>
      <c r="L496" s="13" t="str">
        <f aca="false">IF(A496="","",IF(J496=0,"",K496/J496))</f>
        <v/>
      </c>
      <c r="M496" s="14" t="str">
        <f aca="false">IF(A496="","",IFERROR((SUMIFS('Weekly Log'!$F:$F,'Weekly Log'!$C:$C,A496)+SUMIFS('Weekly Log'!$G:$G,'Weekly Log'!$C:$C,A496))/(COUNTIFS('Weekly Log'!$C:$C,A496,'Weekly Log'!$F:$F,"&lt;&gt;")+COUNTIFS('Weekly Log'!$C:$C,A496,'Weekly Log'!$G:$G,"&lt;&gt;")),""))</f>
        <v/>
      </c>
      <c r="N496" s="15" t="str">
        <f aca="false">IF(A496="","",IF(K496=0,"",_xlfn.MAXIFS('Weekly Log'!$A:$A,'Weekly Log'!$C:$C,A496,'Weekly Log'!$E:$E,"Yes")))</f>
        <v/>
      </c>
      <c r="O496" s="12" t="str">
        <f aca="true">IF(N496="","",MAX(0,INT((TODAY()-N496)/7)))</f>
        <v/>
      </c>
      <c r="Q496" s="12" t="str">
        <f aca="false">IF(A496="","",IFERROR(LOOKUP(2,1/(('Weekly Log'!$C$4:$C$1003=A496)*('Weekly Log'!$I$4:$I$1003&lt;&gt;"")),'Weekly Log'!$I$4:$I$1003),""))</f>
        <v/>
      </c>
    </row>
    <row r="497" customFormat="false" ht="15" hidden="false" customHeight="false" outlineLevel="0" collapsed="false">
      <c r="H497" s="16"/>
      <c r="J497" s="12" t="str">
        <f aca="false">IF(A497="","",COUNTIF('Weekly Log'!$C:$C,A497))</f>
        <v/>
      </c>
      <c r="K497" s="12" t="str">
        <f aca="false">IF(A497="","",COUNTIFS('Weekly Log'!$C:$C,A497,'Weekly Log'!$E:$E,"Yes"))</f>
        <v/>
      </c>
      <c r="L497" s="13" t="str">
        <f aca="false">IF(A497="","",IF(J497=0,"",K497/J497))</f>
        <v/>
      </c>
      <c r="M497" s="14" t="str">
        <f aca="false">IF(A497="","",IFERROR((SUMIFS('Weekly Log'!$F:$F,'Weekly Log'!$C:$C,A497)+SUMIFS('Weekly Log'!$G:$G,'Weekly Log'!$C:$C,A497))/(COUNTIFS('Weekly Log'!$C:$C,A497,'Weekly Log'!$F:$F,"&lt;&gt;")+COUNTIFS('Weekly Log'!$C:$C,A497,'Weekly Log'!$G:$G,"&lt;&gt;")),""))</f>
        <v/>
      </c>
      <c r="N497" s="15" t="str">
        <f aca="false">IF(A497="","",IF(K497=0,"",_xlfn.MAXIFS('Weekly Log'!$A:$A,'Weekly Log'!$C:$C,A497,'Weekly Log'!$E:$E,"Yes")))</f>
        <v/>
      </c>
      <c r="O497" s="12" t="str">
        <f aca="true">IF(N497="","",MAX(0,INT((TODAY()-N497)/7)))</f>
        <v/>
      </c>
      <c r="Q497" s="12" t="str">
        <f aca="false">IF(A497="","",IFERROR(LOOKUP(2,1/(('Weekly Log'!$C$4:$C$1003=A497)*('Weekly Log'!$I$4:$I$1003&lt;&gt;"")),'Weekly Log'!$I$4:$I$1003),""))</f>
        <v/>
      </c>
    </row>
    <row r="498" customFormat="false" ht="15" hidden="false" customHeight="false" outlineLevel="0" collapsed="false">
      <c r="H498" s="16"/>
      <c r="J498" s="12" t="str">
        <f aca="false">IF(A498="","",COUNTIF('Weekly Log'!$C:$C,A498))</f>
        <v/>
      </c>
      <c r="K498" s="12" t="str">
        <f aca="false">IF(A498="","",COUNTIFS('Weekly Log'!$C:$C,A498,'Weekly Log'!$E:$E,"Yes"))</f>
        <v/>
      </c>
      <c r="L498" s="13" t="str">
        <f aca="false">IF(A498="","",IF(J498=0,"",K498/J498))</f>
        <v/>
      </c>
      <c r="M498" s="14" t="str">
        <f aca="false">IF(A498="","",IFERROR((SUMIFS('Weekly Log'!$F:$F,'Weekly Log'!$C:$C,A498)+SUMIFS('Weekly Log'!$G:$G,'Weekly Log'!$C:$C,A498))/(COUNTIFS('Weekly Log'!$C:$C,A498,'Weekly Log'!$F:$F,"&lt;&gt;")+COUNTIFS('Weekly Log'!$C:$C,A498,'Weekly Log'!$G:$G,"&lt;&gt;")),""))</f>
        <v/>
      </c>
      <c r="N498" s="15" t="str">
        <f aca="false">IF(A498="","",IF(K498=0,"",_xlfn.MAXIFS('Weekly Log'!$A:$A,'Weekly Log'!$C:$C,A498,'Weekly Log'!$E:$E,"Yes")))</f>
        <v/>
      </c>
      <c r="O498" s="12" t="str">
        <f aca="true">IF(N498="","",MAX(0,INT((TODAY()-N498)/7)))</f>
        <v/>
      </c>
      <c r="Q498" s="12" t="str">
        <f aca="false">IF(A498="","",IFERROR(LOOKUP(2,1/(('Weekly Log'!$C$4:$C$1003=A498)*('Weekly Log'!$I$4:$I$1003&lt;&gt;"")),'Weekly Log'!$I$4:$I$1003),""))</f>
        <v/>
      </c>
    </row>
    <row r="499" customFormat="false" ht="15" hidden="false" customHeight="false" outlineLevel="0" collapsed="false">
      <c r="H499" s="16"/>
      <c r="J499" s="12" t="str">
        <f aca="false">IF(A499="","",COUNTIF('Weekly Log'!$C:$C,A499))</f>
        <v/>
      </c>
      <c r="K499" s="12" t="str">
        <f aca="false">IF(A499="","",COUNTIFS('Weekly Log'!$C:$C,A499,'Weekly Log'!$E:$E,"Yes"))</f>
        <v/>
      </c>
      <c r="L499" s="13" t="str">
        <f aca="false">IF(A499="","",IF(J499=0,"",K499/J499))</f>
        <v/>
      </c>
      <c r="M499" s="14" t="str">
        <f aca="false">IF(A499="","",IFERROR((SUMIFS('Weekly Log'!$F:$F,'Weekly Log'!$C:$C,A499)+SUMIFS('Weekly Log'!$G:$G,'Weekly Log'!$C:$C,A499))/(COUNTIFS('Weekly Log'!$C:$C,A499,'Weekly Log'!$F:$F,"&lt;&gt;")+COUNTIFS('Weekly Log'!$C:$C,A499,'Weekly Log'!$G:$G,"&lt;&gt;")),""))</f>
        <v/>
      </c>
      <c r="N499" s="15" t="str">
        <f aca="false">IF(A499="","",IF(K499=0,"",_xlfn.MAXIFS('Weekly Log'!$A:$A,'Weekly Log'!$C:$C,A499,'Weekly Log'!$E:$E,"Yes")))</f>
        <v/>
      </c>
      <c r="O499" s="12" t="str">
        <f aca="true">IF(N499="","",MAX(0,INT((TODAY()-N499)/7)))</f>
        <v/>
      </c>
      <c r="Q499" s="12" t="str">
        <f aca="false">IF(A499="","",IFERROR(LOOKUP(2,1/(('Weekly Log'!$C$4:$C$1003=A499)*('Weekly Log'!$I$4:$I$1003&lt;&gt;"")),'Weekly Log'!$I$4:$I$1003),""))</f>
        <v/>
      </c>
    </row>
    <row r="500" customFormat="false" ht="15" hidden="false" customHeight="false" outlineLevel="0" collapsed="false">
      <c r="H500" s="16"/>
      <c r="J500" s="12" t="str">
        <f aca="false">IF(A500="","",COUNTIF('Weekly Log'!$C:$C,A500))</f>
        <v/>
      </c>
      <c r="K500" s="12" t="str">
        <f aca="false">IF(A500="","",COUNTIFS('Weekly Log'!$C:$C,A500,'Weekly Log'!$E:$E,"Yes"))</f>
        <v/>
      </c>
      <c r="L500" s="13" t="str">
        <f aca="false">IF(A500="","",IF(J500=0,"",K500/J500))</f>
        <v/>
      </c>
      <c r="M500" s="14" t="str">
        <f aca="false">IF(A500="","",IFERROR((SUMIFS('Weekly Log'!$F:$F,'Weekly Log'!$C:$C,A500)+SUMIFS('Weekly Log'!$G:$G,'Weekly Log'!$C:$C,A500))/(COUNTIFS('Weekly Log'!$C:$C,A500,'Weekly Log'!$F:$F,"&lt;&gt;")+COUNTIFS('Weekly Log'!$C:$C,A500,'Weekly Log'!$G:$G,"&lt;&gt;")),""))</f>
        <v/>
      </c>
      <c r="N500" s="15" t="str">
        <f aca="false">IF(A500="","",IF(K500=0,"",_xlfn.MAXIFS('Weekly Log'!$A:$A,'Weekly Log'!$C:$C,A500,'Weekly Log'!$E:$E,"Yes")))</f>
        <v/>
      </c>
      <c r="O500" s="12" t="str">
        <f aca="true">IF(N500="","",MAX(0,INT((TODAY()-N500)/7)))</f>
        <v/>
      </c>
      <c r="Q500" s="12" t="str">
        <f aca="false">IF(A500="","",IFERROR(LOOKUP(2,1/(('Weekly Log'!$C$4:$C$1003=A500)*('Weekly Log'!$I$4:$I$1003&lt;&gt;"")),'Weekly Log'!$I$4:$I$1003),""))</f>
        <v/>
      </c>
    </row>
    <row r="501" customFormat="false" ht="15" hidden="false" customHeight="false" outlineLevel="0" collapsed="false">
      <c r="H501" s="16"/>
      <c r="J501" s="12" t="str">
        <f aca="false">IF(A501="","",COUNTIF('Weekly Log'!$C:$C,A501))</f>
        <v/>
      </c>
      <c r="K501" s="12" t="str">
        <f aca="false">IF(A501="","",COUNTIFS('Weekly Log'!$C:$C,A501,'Weekly Log'!$E:$E,"Yes"))</f>
        <v/>
      </c>
      <c r="L501" s="13" t="str">
        <f aca="false">IF(A501="","",IF(J501=0,"",K501/J501))</f>
        <v/>
      </c>
      <c r="M501" s="14" t="str">
        <f aca="false">IF(A501="","",IFERROR((SUMIFS('Weekly Log'!$F:$F,'Weekly Log'!$C:$C,A501)+SUMIFS('Weekly Log'!$G:$G,'Weekly Log'!$C:$C,A501))/(COUNTIFS('Weekly Log'!$C:$C,A501,'Weekly Log'!$F:$F,"&lt;&gt;")+COUNTIFS('Weekly Log'!$C:$C,A501,'Weekly Log'!$G:$G,"&lt;&gt;")),""))</f>
        <v/>
      </c>
      <c r="N501" s="15" t="str">
        <f aca="false">IF(A501="","",IF(K501=0,"",_xlfn.MAXIFS('Weekly Log'!$A:$A,'Weekly Log'!$C:$C,A501,'Weekly Log'!$E:$E,"Yes")))</f>
        <v/>
      </c>
      <c r="O501" s="12" t="str">
        <f aca="true">IF(N501="","",MAX(0,INT((TODAY()-N501)/7)))</f>
        <v/>
      </c>
      <c r="Q501" s="12" t="str">
        <f aca="false">IF(A501="","",IFERROR(LOOKUP(2,1/(('Weekly Log'!$C$4:$C$1003=A501)*('Weekly Log'!$I$4:$I$1003&lt;&gt;"")),'Weekly Log'!$I$4:$I$1003),""))</f>
        <v/>
      </c>
    </row>
    <row r="502" customFormat="false" ht="15" hidden="false" customHeight="false" outlineLevel="0" collapsed="false">
      <c r="H502" s="16"/>
      <c r="J502" s="12" t="str">
        <f aca="false">IF(A502="","",COUNTIF('Weekly Log'!$C:$C,A502))</f>
        <v/>
      </c>
      <c r="K502" s="12" t="str">
        <f aca="false">IF(A502="","",COUNTIFS('Weekly Log'!$C:$C,A502,'Weekly Log'!$E:$E,"Yes"))</f>
        <v/>
      </c>
      <c r="L502" s="13" t="str">
        <f aca="false">IF(A502="","",IF(J502=0,"",K502/J502))</f>
        <v/>
      </c>
      <c r="M502" s="14" t="str">
        <f aca="false">IF(A502="","",IFERROR((SUMIFS('Weekly Log'!$F:$F,'Weekly Log'!$C:$C,A502)+SUMIFS('Weekly Log'!$G:$G,'Weekly Log'!$C:$C,A502))/(COUNTIFS('Weekly Log'!$C:$C,A502,'Weekly Log'!$F:$F,"&lt;&gt;")+COUNTIFS('Weekly Log'!$C:$C,A502,'Weekly Log'!$G:$G,"&lt;&gt;")),""))</f>
        <v/>
      </c>
      <c r="N502" s="15" t="str">
        <f aca="false">IF(A502="","",IF(K502=0,"",_xlfn.MAXIFS('Weekly Log'!$A:$A,'Weekly Log'!$C:$C,A502,'Weekly Log'!$E:$E,"Yes")))</f>
        <v/>
      </c>
      <c r="O502" s="12" t="str">
        <f aca="true">IF(N502="","",MAX(0,INT((TODAY()-N502)/7)))</f>
        <v/>
      </c>
      <c r="Q502" s="12" t="str">
        <f aca="false">IF(A502="","",IFERROR(LOOKUP(2,1/(('Weekly Log'!$C$4:$C$1003=A502)*('Weekly Log'!$I$4:$I$1003&lt;&gt;"")),'Weekly Log'!$I$4:$I$1003),""))</f>
        <v/>
      </c>
    </row>
    <row r="503" customFormat="false" ht="15" hidden="false" customHeight="false" outlineLevel="0" collapsed="false">
      <c r="H503" s="16"/>
      <c r="J503" s="12" t="str">
        <f aca="false">IF(A503="","",COUNTIF('Weekly Log'!$C:$C,A503))</f>
        <v/>
      </c>
      <c r="K503" s="12" t="str">
        <f aca="false">IF(A503="","",COUNTIFS('Weekly Log'!$C:$C,A503,'Weekly Log'!$E:$E,"Yes"))</f>
        <v/>
      </c>
      <c r="L503" s="13" t="str">
        <f aca="false">IF(A503="","",IF(J503=0,"",K503/J503))</f>
        <v/>
      </c>
      <c r="M503" s="14" t="str">
        <f aca="false">IF(A503="","",IFERROR((SUMIFS('Weekly Log'!$F:$F,'Weekly Log'!$C:$C,A503)+SUMIFS('Weekly Log'!$G:$G,'Weekly Log'!$C:$C,A503))/(COUNTIFS('Weekly Log'!$C:$C,A503,'Weekly Log'!$F:$F,"&lt;&gt;")+COUNTIFS('Weekly Log'!$C:$C,A503,'Weekly Log'!$G:$G,"&lt;&gt;")),""))</f>
        <v/>
      </c>
      <c r="N503" s="15" t="str">
        <f aca="false">IF(A503="","",IF(K503=0,"",_xlfn.MAXIFS('Weekly Log'!$A:$A,'Weekly Log'!$C:$C,A503,'Weekly Log'!$E:$E,"Yes")))</f>
        <v/>
      </c>
      <c r="O503" s="12" t="str">
        <f aca="true">IF(N503="","",MAX(0,INT((TODAY()-N503)/7)))</f>
        <v/>
      </c>
      <c r="Q503" s="12" t="str">
        <f aca="false">IF(A503="","",IFERROR(LOOKUP(2,1/(('Weekly Log'!$C$4:$C$1003=A503)*('Weekly Log'!$I$4:$I$1003&lt;&gt;"")),'Weekly Log'!$I$4:$I$1003),""))</f>
        <v/>
      </c>
    </row>
  </sheetData>
  <autoFilter ref="A3:Q503"/>
  <dataValidations count="4">
    <dataValidation allowBlank="true" errorStyle="stop" operator="between" showDropDown="false" showErrorMessage="false" showInputMessage="false" sqref="C4:C503" type="list">
      <formula1>Lists!$C$2:$C$3</formula1>
      <formula2>0</formula2>
    </dataValidation>
    <dataValidation allowBlank="true" errorStyle="stop" operator="between" showDropDown="false" showErrorMessage="false" showInputMessage="false" sqref="E4:E503" type="list">
      <formula1>Lists!$D$2:$D$4</formula1>
      <formula2>0</formula2>
    </dataValidation>
    <dataValidation allowBlank="true" errorStyle="stop" operator="between" showDropDown="false" showErrorMessage="false" showInputMessage="false" sqref="F4:F503" type="list">
      <formula1>Lists!$E$2:$E$10</formula1>
      <formula2>0</formula2>
    </dataValidation>
    <dataValidation allowBlank="true" errorStyle="stop" operator="between" showDropDown="false" showErrorMessage="false" showInputMessage="false" sqref="I4:I503" type="list">
      <formula1>Lists!$H$2:$H$3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5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66</v>
      </c>
    </row>
    <row r="3" customFormat="false" ht="30" hidden="false" customHeight="true" outlineLevel="0" collapsed="false">
      <c r="A3" s="8" t="s">
        <v>67</v>
      </c>
      <c r="B3" s="8" t="s">
        <v>68</v>
      </c>
      <c r="C3" s="8" t="s">
        <v>22</v>
      </c>
      <c r="D3" s="9" t="s">
        <v>69</v>
      </c>
      <c r="E3" s="8" t="s">
        <v>70</v>
      </c>
      <c r="F3" s="8" t="s">
        <v>71</v>
      </c>
      <c r="G3" s="8" t="s">
        <v>72</v>
      </c>
      <c r="H3" s="8" t="s">
        <v>73</v>
      </c>
      <c r="I3" s="8" t="s">
        <v>74</v>
      </c>
      <c r="J3" s="8" t="s">
        <v>37</v>
      </c>
      <c r="K3" s="9" t="s">
        <v>24</v>
      </c>
      <c r="L3" s="9" t="s">
        <v>75</v>
      </c>
    </row>
    <row r="4" customFormat="false" ht="15" hidden="false" customHeight="false" outlineLevel="0" collapsed="false">
      <c r="A4" s="11" t="n">
        <v>46306</v>
      </c>
      <c r="B4" s="10" t="s">
        <v>76</v>
      </c>
      <c r="C4" s="10" t="s">
        <v>48</v>
      </c>
      <c r="D4" s="12" t="str">
        <f aca="false">IF(C4="","",IFERROR(INDEX(Recipes!$B:$B,MATCH(C4,Recipes!$A:$A,0)),"⚠ unknown recipe_id"))</f>
        <v>Ciorbă de perișoare (meatball soup)</v>
      </c>
      <c r="E4" s="10" t="s">
        <v>77</v>
      </c>
      <c r="F4" s="10" t="n">
        <v>4</v>
      </c>
      <c r="G4" s="10" t="n">
        <v>5</v>
      </c>
      <c r="H4" s="10" t="s">
        <v>78</v>
      </c>
      <c r="I4" s="10" t="s">
        <v>79</v>
      </c>
      <c r="J4" s="10" t="s">
        <v>80</v>
      </c>
      <c r="K4" s="12" t="str">
        <f aca="false">IF(C4="","",IFERROR(INDEX(Recipes!$C:$C,MATCH(C4,Recipes!$A:$A,0)),""))</f>
        <v>Own</v>
      </c>
      <c r="L4" s="12" t="str">
        <f aca="false">IF(AND(A4='Grocery List'!$B$3,E4="Yes"),COUNTIFS($A$4:A4,'Grocery List'!$B$3,$E$4:E4,"Yes"),"")</f>
        <v/>
      </c>
    </row>
    <row r="5" customFormat="false" ht="15" hidden="false" customHeight="false" outlineLevel="0" collapsed="false">
      <c r="A5" s="11" t="n">
        <v>46306</v>
      </c>
      <c r="B5" s="10" t="s">
        <v>81</v>
      </c>
      <c r="C5" s="10" t="s">
        <v>61</v>
      </c>
      <c r="D5" s="12" t="str">
        <f aca="false">IF(C5="","",IFERROR(INDEX(Recipes!$B:$B,MATCH(C5,Recipes!$A:$A,0)),"⚠ unknown recipe_id"))</f>
        <v>Tomato egg stir-fry</v>
      </c>
      <c r="E5" s="10" t="s">
        <v>77</v>
      </c>
      <c r="F5" s="10" t="n">
        <v>5</v>
      </c>
      <c r="G5" s="10" t="n">
        <v>4</v>
      </c>
      <c r="H5" s="10" t="s">
        <v>82</v>
      </c>
      <c r="J5" s="10" t="s">
        <v>83</v>
      </c>
      <c r="K5" s="12" t="str">
        <f aca="false">IF(C5="","",IFERROR(INDEX(Recipes!$C:$C,MATCH(C5,Recipes!$A:$A,0)),""))</f>
        <v>Own</v>
      </c>
      <c r="L5" s="12" t="str">
        <f aca="false">IF(AND(A5='Grocery List'!$B$3,E5="Yes"),COUNTIFS($A$4:A5,'Grocery List'!$B$3,$E$4:E5,"Yes"),"")</f>
        <v/>
      </c>
    </row>
    <row r="6" customFormat="false" ht="15" hidden="false" customHeight="false" outlineLevel="0" collapsed="false">
      <c r="A6" s="11" t="n">
        <v>46313</v>
      </c>
      <c r="B6" s="10" t="s">
        <v>76</v>
      </c>
      <c r="C6" s="10" t="s">
        <v>39</v>
      </c>
      <c r="D6" s="12" t="str">
        <f aca="false">IF(C6="","",IFERROR(INDEX(Recipes!$B:$B,MATCH(C6,Recipes!$A:$A,0)),"⚠ unknown recipe_id"))</f>
        <v>Chicken burrito bowls</v>
      </c>
      <c r="E6" s="10" t="s">
        <v>84</v>
      </c>
      <c r="K6" s="12" t="str">
        <f aca="false">IF(C6="","",IFERROR(INDEX(Recipes!$C:$C,MATCH(C6,Recipes!$A:$A,0)),""))</f>
        <v>AI</v>
      </c>
      <c r="L6" s="12" t="str">
        <f aca="false">IF(AND(A6='Grocery List'!$B$3,E6="Yes"),COUNTIFS($A$4:A6,'Grocery List'!$B$3,$E$4:E6,"Yes"),"")</f>
        <v/>
      </c>
    </row>
    <row r="7" customFormat="false" ht="15" hidden="false" customHeight="false" outlineLevel="0" collapsed="false">
      <c r="A7" s="11" t="n">
        <v>46313</v>
      </c>
      <c r="B7" s="10" t="s">
        <v>76</v>
      </c>
      <c r="C7" s="10" t="s">
        <v>45</v>
      </c>
      <c r="D7" s="12" t="str">
        <f aca="false">IF(C7="","",IFERROR(INDEX(Recipes!$B:$B,MATCH(C7,Recipes!$A:$A,0)),"⚠ unknown recipe_id"))</f>
        <v>Cold sesame noodles with cucumber</v>
      </c>
      <c r="E7" s="10" t="s">
        <v>77</v>
      </c>
      <c r="K7" s="12" t="str">
        <f aca="false">IF(C7="","",IFERROR(INDEX(Recipes!$C:$C,MATCH(C7,Recipes!$A:$A,0)),""))</f>
        <v>AI</v>
      </c>
      <c r="L7" s="12" t="n">
        <f aca="false">IF(AND(A7='Grocery List'!$B$3,E7="Yes"),COUNTIFS($A$4:A7,'Grocery List'!$B$3,$E$4:E7,"Yes"),"")</f>
        <v>1</v>
      </c>
    </row>
    <row r="8" customFormat="false" ht="15" hidden="false" customHeight="false" outlineLevel="0" collapsed="false">
      <c r="A8" s="11" t="n">
        <v>46313</v>
      </c>
      <c r="B8" s="10" t="s">
        <v>85</v>
      </c>
      <c r="C8" s="10" t="s">
        <v>48</v>
      </c>
      <c r="D8" s="12" t="str">
        <f aca="false">IF(C8="","",IFERROR(INDEX(Recipes!$B:$B,MATCH(C8,Recipes!$A:$A,0)),"⚠ unknown recipe_id"))</f>
        <v>Ciorbă de perișoare (meatball soup)</v>
      </c>
      <c r="E8" s="10" t="s">
        <v>77</v>
      </c>
      <c r="K8" s="12" t="str">
        <f aca="false">IF(C8="","",IFERROR(INDEX(Recipes!$C:$C,MATCH(C8,Recipes!$A:$A,0)),""))</f>
        <v>Own</v>
      </c>
      <c r="L8" s="12" t="n">
        <f aca="false">IF(AND(A8='Grocery List'!$B$3,E8="Yes"),COUNTIFS($A$4:A8,'Grocery List'!$B$3,$E$4:E8,"Yes"),"")</f>
        <v>2</v>
      </c>
    </row>
    <row r="9" customFormat="false" ht="15" hidden="false" customHeight="false" outlineLevel="0" collapsed="false">
      <c r="A9" s="11" t="n">
        <v>46313</v>
      </c>
      <c r="B9" s="10" t="s">
        <v>85</v>
      </c>
      <c r="C9" s="10" t="s">
        <v>52</v>
      </c>
      <c r="D9" s="12" t="str">
        <f aca="false">IF(C9="","",IFERROR(INDEX(Recipes!$B:$B,MATCH(C9,Recipes!$A:$A,0)),"⚠ unknown recipe_id"))</f>
        <v>Greek chicken orzo</v>
      </c>
      <c r="E9" s="10" t="s">
        <v>84</v>
      </c>
      <c r="K9" s="12" t="str">
        <f aca="false">IF(C9="","",IFERROR(INDEX(Recipes!$C:$C,MATCH(C9,Recipes!$A:$A,0)),""))</f>
        <v>AI</v>
      </c>
      <c r="L9" s="12" t="str">
        <f aca="false">IF(AND(A9='Grocery List'!$B$3,E9="Yes"),COUNTIFS($A$4:A9,'Grocery List'!$B$3,$E$4:E9,"Yes"),"")</f>
        <v/>
      </c>
    </row>
    <row r="10" customFormat="false" ht="15" hidden="false" customHeight="false" outlineLevel="0" collapsed="false">
      <c r="A10" s="11" t="n">
        <v>46313</v>
      </c>
      <c r="B10" s="10" t="s">
        <v>81</v>
      </c>
      <c r="C10" s="10" t="s">
        <v>55</v>
      </c>
      <c r="D10" s="12" t="str">
        <f aca="false">IF(C10="","",IFERROR(INDEX(Recipes!$B:$B,MATCH(C10,Recipes!$A:$A,0)),"⚠ unknown recipe_id"))</f>
        <v>Sheet-pan sausage, peppers &amp; potatoes</v>
      </c>
      <c r="E10" s="10" t="s">
        <v>77</v>
      </c>
      <c r="K10" s="12" t="str">
        <f aca="false">IF(C10="","",IFERROR(INDEX(Recipes!$C:$C,MATCH(C10,Recipes!$A:$A,0)),""))</f>
        <v>AI</v>
      </c>
      <c r="L10" s="12" t="n">
        <f aca="false">IF(AND(A10='Grocery List'!$B$3,E10="Yes"),COUNTIFS($A$4:A10,'Grocery List'!$B$3,$E$4:E10,"Yes"),"")</f>
        <v>3</v>
      </c>
    </row>
    <row r="11" customFormat="false" ht="15" hidden="false" customHeight="false" outlineLevel="0" collapsed="false">
      <c r="A11" s="11" t="n">
        <v>46313</v>
      </c>
      <c r="B11" s="10" t="s">
        <v>81</v>
      </c>
      <c r="C11" s="10" t="s">
        <v>59</v>
      </c>
      <c r="D11" s="12" t="str">
        <f aca="false">IF(C11="","",IFERROR(INDEX(Recipes!$B:$B,MATCH(C11,Recipes!$A:$A,0)),"⚠ unknown recipe_id"))</f>
        <v>Red-braised pork belly (hong shao rou)</v>
      </c>
      <c r="E11" s="10" t="s">
        <v>84</v>
      </c>
      <c r="K11" s="12" t="str">
        <f aca="false">IF(C11="","",IFERROR(INDEX(Recipes!$C:$C,MATCH(C11,Recipes!$A:$A,0)),""))</f>
        <v>AI</v>
      </c>
      <c r="L11" s="12" t="str">
        <f aca="false">IF(AND(A11='Grocery List'!$B$3,E11="Yes"),COUNTIFS($A$4:A11,'Grocery List'!$B$3,$E$4:E11,"Yes"),"")</f>
        <v/>
      </c>
    </row>
    <row r="12" customFormat="false" ht="15" hidden="false" customHeight="false" outlineLevel="0" collapsed="false">
      <c r="A12" s="11" t="n">
        <v>46313</v>
      </c>
      <c r="B12" s="10" t="s">
        <v>86</v>
      </c>
      <c r="C12" s="10" t="s">
        <v>61</v>
      </c>
      <c r="D12" s="12" t="str">
        <f aca="false">IF(C12="","",IFERROR(INDEX(Recipes!$B:$B,MATCH(C12,Recipes!$A:$A,0)),"⚠ unknown recipe_id"))</f>
        <v>Tomato egg stir-fry</v>
      </c>
      <c r="E12" s="10" t="s">
        <v>84</v>
      </c>
      <c r="K12" s="12" t="str">
        <f aca="false">IF(C12="","",IFERROR(INDEX(Recipes!$C:$C,MATCH(C12,Recipes!$A:$A,0)),""))</f>
        <v>Own</v>
      </c>
      <c r="L12" s="12" t="str">
        <f aca="false">IF(AND(A12='Grocery List'!$B$3,E12="Yes"),COUNTIFS($A$4:A12,'Grocery List'!$B$3,$E$4:E12,"Yes"),"")</f>
        <v/>
      </c>
    </row>
    <row r="13" customFormat="false" ht="15" hidden="false" customHeight="false" outlineLevel="0" collapsed="false">
      <c r="A13" s="11" t="n">
        <v>46313</v>
      </c>
      <c r="B13" s="10" t="s">
        <v>86</v>
      </c>
      <c r="C13" s="10" t="s">
        <v>63</v>
      </c>
      <c r="D13" s="12" t="str">
        <f aca="false">IF(C13="","",IFERROR(INDEX(Recipes!$B:$B,MATCH(C13,Recipes!$A:$A,0)),"⚠ unknown recipe_id"))</f>
        <v>Chicken papricaș with mămăligă</v>
      </c>
      <c r="E13" s="10" t="s">
        <v>77</v>
      </c>
      <c r="K13" s="12" t="str">
        <f aca="false">IF(C13="","",IFERROR(INDEX(Recipes!$C:$C,MATCH(C13,Recipes!$A:$A,0)),""))</f>
        <v>AI</v>
      </c>
      <c r="L13" s="12" t="n">
        <f aca="false">IF(AND(A13='Grocery List'!$B$3,E13="Yes"),COUNTIFS($A$4:A13,'Grocery List'!$B$3,$E$4:E13,"Yes"),"")</f>
        <v>4</v>
      </c>
    </row>
    <row r="14" customFormat="false" ht="15" hidden="false" customHeight="false" outlineLevel="0" collapsed="false">
      <c r="A14" s="16"/>
      <c r="D14" s="12" t="str">
        <f aca="false">IF(C14="","",IFERROR(INDEX(Recipes!$B:$B,MATCH(C14,Recipes!$A:$A,0)),"⚠ unknown recipe_id"))</f>
        <v/>
      </c>
      <c r="K14" s="12" t="str">
        <f aca="false">IF(C14="","",IFERROR(INDEX(Recipes!$C:$C,MATCH(C14,Recipes!$A:$A,0)),""))</f>
        <v/>
      </c>
      <c r="L14" s="12" t="str">
        <f aca="false">IF(AND(A14='Grocery List'!$B$3,E14="Yes"),COUNTIFS($A$4:A14,'Grocery List'!$B$3,$E$4:E14,"Yes"),"")</f>
        <v/>
      </c>
    </row>
    <row r="15" customFormat="false" ht="15" hidden="false" customHeight="false" outlineLevel="0" collapsed="false">
      <c r="A15" s="16"/>
      <c r="D15" s="12" t="str">
        <f aca="false">IF(C15="","",IFERROR(INDEX(Recipes!$B:$B,MATCH(C15,Recipes!$A:$A,0)),"⚠ unknown recipe_id"))</f>
        <v/>
      </c>
      <c r="K15" s="12" t="str">
        <f aca="false">IF(C15="","",IFERROR(INDEX(Recipes!$C:$C,MATCH(C15,Recipes!$A:$A,0)),""))</f>
        <v/>
      </c>
      <c r="L15" s="12" t="str">
        <f aca="false">IF(AND(A15='Grocery List'!$B$3,E15="Yes"),COUNTIFS($A$4:A15,'Grocery List'!$B$3,$E$4:E15,"Yes"),"")</f>
        <v/>
      </c>
    </row>
    <row r="16" customFormat="false" ht="15" hidden="false" customHeight="false" outlineLevel="0" collapsed="false">
      <c r="A16" s="16"/>
      <c r="D16" s="12" t="str">
        <f aca="false">IF(C16="","",IFERROR(INDEX(Recipes!$B:$B,MATCH(C16,Recipes!$A:$A,0)),"⚠ unknown recipe_id"))</f>
        <v/>
      </c>
      <c r="K16" s="12" t="str">
        <f aca="false">IF(C16="","",IFERROR(INDEX(Recipes!$C:$C,MATCH(C16,Recipes!$A:$A,0)),""))</f>
        <v/>
      </c>
      <c r="L16" s="12" t="str">
        <f aca="false">IF(AND(A16='Grocery List'!$B$3,E16="Yes"),COUNTIFS($A$4:A16,'Grocery List'!$B$3,$E$4:E16,"Yes"),"")</f>
        <v/>
      </c>
    </row>
    <row r="17" customFormat="false" ht="15" hidden="false" customHeight="false" outlineLevel="0" collapsed="false">
      <c r="A17" s="16"/>
      <c r="D17" s="12" t="str">
        <f aca="false">IF(C17="","",IFERROR(INDEX(Recipes!$B:$B,MATCH(C17,Recipes!$A:$A,0)),"⚠ unknown recipe_id"))</f>
        <v/>
      </c>
      <c r="K17" s="12" t="str">
        <f aca="false">IF(C17="","",IFERROR(INDEX(Recipes!$C:$C,MATCH(C17,Recipes!$A:$A,0)),""))</f>
        <v/>
      </c>
      <c r="L17" s="12" t="str">
        <f aca="false">IF(AND(A17='Grocery List'!$B$3,E17="Yes"),COUNTIFS($A$4:A17,'Grocery List'!$B$3,$E$4:E17,"Yes"),"")</f>
        <v/>
      </c>
    </row>
    <row r="18" customFormat="false" ht="15" hidden="false" customHeight="false" outlineLevel="0" collapsed="false">
      <c r="A18" s="16"/>
      <c r="D18" s="12" t="str">
        <f aca="false">IF(C18="","",IFERROR(INDEX(Recipes!$B:$B,MATCH(C18,Recipes!$A:$A,0)),"⚠ unknown recipe_id"))</f>
        <v/>
      </c>
      <c r="K18" s="12" t="str">
        <f aca="false">IF(C18="","",IFERROR(INDEX(Recipes!$C:$C,MATCH(C18,Recipes!$A:$A,0)),""))</f>
        <v/>
      </c>
      <c r="L18" s="12" t="str">
        <f aca="false">IF(AND(A18='Grocery List'!$B$3,E18="Yes"),COUNTIFS($A$4:A18,'Grocery List'!$B$3,$E$4:E18,"Yes"),"")</f>
        <v/>
      </c>
    </row>
    <row r="19" customFormat="false" ht="15" hidden="false" customHeight="false" outlineLevel="0" collapsed="false">
      <c r="A19" s="16"/>
      <c r="D19" s="12" t="str">
        <f aca="false">IF(C19="","",IFERROR(INDEX(Recipes!$B:$B,MATCH(C19,Recipes!$A:$A,0)),"⚠ unknown recipe_id"))</f>
        <v/>
      </c>
      <c r="K19" s="12" t="str">
        <f aca="false">IF(C19="","",IFERROR(INDEX(Recipes!$C:$C,MATCH(C19,Recipes!$A:$A,0)),""))</f>
        <v/>
      </c>
      <c r="L19" s="12" t="str">
        <f aca="false">IF(AND(A19='Grocery List'!$B$3,E19="Yes"),COUNTIFS($A$4:A19,'Grocery List'!$B$3,$E$4:E19,"Yes"),"")</f>
        <v/>
      </c>
    </row>
    <row r="20" customFormat="false" ht="15" hidden="false" customHeight="false" outlineLevel="0" collapsed="false">
      <c r="A20" s="16"/>
      <c r="D20" s="12" t="str">
        <f aca="false">IF(C20="","",IFERROR(INDEX(Recipes!$B:$B,MATCH(C20,Recipes!$A:$A,0)),"⚠ unknown recipe_id"))</f>
        <v/>
      </c>
      <c r="K20" s="12" t="str">
        <f aca="false">IF(C20="","",IFERROR(INDEX(Recipes!$C:$C,MATCH(C20,Recipes!$A:$A,0)),""))</f>
        <v/>
      </c>
      <c r="L20" s="12" t="str">
        <f aca="false">IF(AND(A20='Grocery List'!$B$3,E20="Yes"),COUNTIFS($A$4:A20,'Grocery List'!$B$3,$E$4:E20,"Yes"),"")</f>
        <v/>
      </c>
    </row>
    <row r="21" customFormat="false" ht="15" hidden="false" customHeight="false" outlineLevel="0" collapsed="false">
      <c r="A21" s="16"/>
      <c r="D21" s="12" t="str">
        <f aca="false">IF(C21="","",IFERROR(INDEX(Recipes!$B:$B,MATCH(C21,Recipes!$A:$A,0)),"⚠ unknown recipe_id"))</f>
        <v/>
      </c>
      <c r="K21" s="12" t="str">
        <f aca="false">IF(C21="","",IFERROR(INDEX(Recipes!$C:$C,MATCH(C21,Recipes!$A:$A,0)),""))</f>
        <v/>
      </c>
      <c r="L21" s="12" t="str">
        <f aca="false">IF(AND(A21='Grocery List'!$B$3,E21="Yes"),COUNTIFS($A$4:A21,'Grocery List'!$B$3,$E$4:E21,"Yes"),"")</f>
        <v/>
      </c>
    </row>
    <row r="22" customFormat="false" ht="15" hidden="false" customHeight="false" outlineLevel="0" collapsed="false">
      <c r="A22" s="16"/>
      <c r="D22" s="12" t="str">
        <f aca="false">IF(C22="","",IFERROR(INDEX(Recipes!$B:$B,MATCH(C22,Recipes!$A:$A,0)),"⚠ unknown recipe_id"))</f>
        <v/>
      </c>
      <c r="K22" s="12" t="str">
        <f aca="false">IF(C22="","",IFERROR(INDEX(Recipes!$C:$C,MATCH(C22,Recipes!$A:$A,0)),""))</f>
        <v/>
      </c>
      <c r="L22" s="12" t="str">
        <f aca="false">IF(AND(A22='Grocery List'!$B$3,E22="Yes"),COUNTIFS($A$4:A22,'Grocery List'!$B$3,$E$4:E22,"Yes"),"")</f>
        <v/>
      </c>
    </row>
    <row r="23" customFormat="false" ht="15" hidden="false" customHeight="false" outlineLevel="0" collapsed="false">
      <c r="A23" s="16"/>
      <c r="D23" s="12" t="str">
        <f aca="false">IF(C23="","",IFERROR(INDEX(Recipes!$B:$B,MATCH(C23,Recipes!$A:$A,0)),"⚠ unknown recipe_id"))</f>
        <v/>
      </c>
      <c r="K23" s="12" t="str">
        <f aca="false">IF(C23="","",IFERROR(INDEX(Recipes!$C:$C,MATCH(C23,Recipes!$A:$A,0)),""))</f>
        <v/>
      </c>
      <c r="L23" s="12" t="str">
        <f aca="false">IF(AND(A23='Grocery List'!$B$3,E23="Yes"),COUNTIFS($A$4:A23,'Grocery List'!$B$3,$E$4:E23,"Yes"),"")</f>
        <v/>
      </c>
    </row>
    <row r="24" customFormat="false" ht="15" hidden="false" customHeight="false" outlineLevel="0" collapsed="false">
      <c r="A24" s="16"/>
      <c r="D24" s="12" t="str">
        <f aca="false">IF(C24="","",IFERROR(INDEX(Recipes!$B:$B,MATCH(C24,Recipes!$A:$A,0)),"⚠ unknown recipe_id"))</f>
        <v/>
      </c>
      <c r="K24" s="12" t="str">
        <f aca="false">IF(C24="","",IFERROR(INDEX(Recipes!$C:$C,MATCH(C24,Recipes!$A:$A,0)),""))</f>
        <v/>
      </c>
      <c r="L24" s="12" t="str">
        <f aca="false">IF(AND(A24='Grocery List'!$B$3,E24="Yes"),COUNTIFS($A$4:A24,'Grocery List'!$B$3,$E$4:E24,"Yes"),"")</f>
        <v/>
      </c>
    </row>
    <row r="25" customFormat="false" ht="15" hidden="false" customHeight="false" outlineLevel="0" collapsed="false">
      <c r="A25" s="16"/>
      <c r="D25" s="12" t="str">
        <f aca="false">IF(C25="","",IFERROR(INDEX(Recipes!$B:$B,MATCH(C25,Recipes!$A:$A,0)),"⚠ unknown recipe_id"))</f>
        <v/>
      </c>
      <c r="K25" s="12" t="str">
        <f aca="false">IF(C25="","",IFERROR(INDEX(Recipes!$C:$C,MATCH(C25,Recipes!$A:$A,0)),""))</f>
        <v/>
      </c>
      <c r="L25" s="12" t="str">
        <f aca="false">IF(AND(A25='Grocery List'!$B$3,E25="Yes"),COUNTIFS($A$4:A25,'Grocery List'!$B$3,$E$4:E25,"Yes"),"")</f>
        <v/>
      </c>
    </row>
    <row r="26" customFormat="false" ht="15" hidden="false" customHeight="false" outlineLevel="0" collapsed="false">
      <c r="A26" s="16"/>
      <c r="D26" s="12" t="str">
        <f aca="false">IF(C26="","",IFERROR(INDEX(Recipes!$B:$B,MATCH(C26,Recipes!$A:$A,0)),"⚠ unknown recipe_id"))</f>
        <v/>
      </c>
      <c r="K26" s="12" t="str">
        <f aca="false">IF(C26="","",IFERROR(INDEX(Recipes!$C:$C,MATCH(C26,Recipes!$A:$A,0)),""))</f>
        <v/>
      </c>
      <c r="L26" s="12" t="str">
        <f aca="false">IF(AND(A26='Grocery List'!$B$3,E26="Yes"),COUNTIFS($A$4:A26,'Grocery List'!$B$3,$E$4:E26,"Yes"),"")</f>
        <v/>
      </c>
    </row>
    <row r="27" customFormat="false" ht="15" hidden="false" customHeight="false" outlineLevel="0" collapsed="false">
      <c r="A27" s="16"/>
      <c r="D27" s="12" t="str">
        <f aca="false">IF(C27="","",IFERROR(INDEX(Recipes!$B:$B,MATCH(C27,Recipes!$A:$A,0)),"⚠ unknown recipe_id"))</f>
        <v/>
      </c>
      <c r="K27" s="12" t="str">
        <f aca="false">IF(C27="","",IFERROR(INDEX(Recipes!$C:$C,MATCH(C27,Recipes!$A:$A,0)),""))</f>
        <v/>
      </c>
      <c r="L27" s="12" t="str">
        <f aca="false">IF(AND(A27='Grocery List'!$B$3,E27="Yes"),COUNTIFS($A$4:A27,'Grocery List'!$B$3,$E$4:E27,"Yes"),"")</f>
        <v/>
      </c>
    </row>
    <row r="28" customFormat="false" ht="15" hidden="false" customHeight="false" outlineLevel="0" collapsed="false">
      <c r="A28" s="16"/>
      <c r="D28" s="12" t="str">
        <f aca="false">IF(C28="","",IFERROR(INDEX(Recipes!$B:$B,MATCH(C28,Recipes!$A:$A,0)),"⚠ unknown recipe_id"))</f>
        <v/>
      </c>
      <c r="K28" s="12" t="str">
        <f aca="false">IF(C28="","",IFERROR(INDEX(Recipes!$C:$C,MATCH(C28,Recipes!$A:$A,0)),""))</f>
        <v/>
      </c>
      <c r="L28" s="12" t="str">
        <f aca="false">IF(AND(A28='Grocery List'!$B$3,E28="Yes"),COUNTIFS($A$4:A28,'Grocery List'!$B$3,$E$4:E28,"Yes"),"")</f>
        <v/>
      </c>
    </row>
    <row r="29" customFormat="false" ht="15" hidden="false" customHeight="false" outlineLevel="0" collapsed="false">
      <c r="A29" s="16"/>
      <c r="D29" s="12" t="str">
        <f aca="false">IF(C29="","",IFERROR(INDEX(Recipes!$B:$B,MATCH(C29,Recipes!$A:$A,0)),"⚠ unknown recipe_id"))</f>
        <v/>
      </c>
      <c r="K29" s="12" t="str">
        <f aca="false">IF(C29="","",IFERROR(INDEX(Recipes!$C:$C,MATCH(C29,Recipes!$A:$A,0)),""))</f>
        <v/>
      </c>
      <c r="L29" s="12" t="str">
        <f aca="false">IF(AND(A29='Grocery List'!$B$3,E29="Yes"),COUNTIFS($A$4:A29,'Grocery List'!$B$3,$E$4:E29,"Yes"),"")</f>
        <v/>
      </c>
    </row>
    <row r="30" customFormat="false" ht="15" hidden="false" customHeight="false" outlineLevel="0" collapsed="false">
      <c r="A30" s="16"/>
      <c r="D30" s="12" t="str">
        <f aca="false">IF(C30="","",IFERROR(INDEX(Recipes!$B:$B,MATCH(C30,Recipes!$A:$A,0)),"⚠ unknown recipe_id"))</f>
        <v/>
      </c>
      <c r="K30" s="12" t="str">
        <f aca="false">IF(C30="","",IFERROR(INDEX(Recipes!$C:$C,MATCH(C30,Recipes!$A:$A,0)),""))</f>
        <v/>
      </c>
      <c r="L30" s="12" t="str">
        <f aca="false">IF(AND(A30='Grocery List'!$B$3,E30="Yes"),COUNTIFS($A$4:A30,'Grocery List'!$B$3,$E$4:E30,"Yes"),"")</f>
        <v/>
      </c>
    </row>
    <row r="31" customFormat="false" ht="15" hidden="false" customHeight="false" outlineLevel="0" collapsed="false">
      <c r="A31" s="16"/>
      <c r="D31" s="12" t="str">
        <f aca="false">IF(C31="","",IFERROR(INDEX(Recipes!$B:$B,MATCH(C31,Recipes!$A:$A,0)),"⚠ unknown recipe_id"))</f>
        <v/>
      </c>
      <c r="K31" s="12" t="str">
        <f aca="false">IF(C31="","",IFERROR(INDEX(Recipes!$C:$C,MATCH(C31,Recipes!$A:$A,0)),""))</f>
        <v/>
      </c>
      <c r="L31" s="12" t="str">
        <f aca="false">IF(AND(A31='Grocery List'!$B$3,E31="Yes"),COUNTIFS($A$4:A31,'Grocery List'!$B$3,$E$4:E31,"Yes"),"")</f>
        <v/>
      </c>
    </row>
    <row r="32" customFormat="false" ht="15" hidden="false" customHeight="false" outlineLevel="0" collapsed="false">
      <c r="A32" s="16"/>
      <c r="D32" s="12" t="str">
        <f aca="false">IF(C32="","",IFERROR(INDEX(Recipes!$B:$B,MATCH(C32,Recipes!$A:$A,0)),"⚠ unknown recipe_id"))</f>
        <v/>
      </c>
      <c r="K32" s="12" t="str">
        <f aca="false">IF(C32="","",IFERROR(INDEX(Recipes!$C:$C,MATCH(C32,Recipes!$A:$A,0)),""))</f>
        <v/>
      </c>
      <c r="L32" s="12" t="str">
        <f aca="false">IF(AND(A32='Grocery List'!$B$3,E32="Yes"),COUNTIFS($A$4:A32,'Grocery List'!$B$3,$E$4:E32,"Yes"),"")</f>
        <v/>
      </c>
    </row>
    <row r="33" customFormat="false" ht="15" hidden="false" customHeight="false" outlineLevel="0" collapsed="false">
      <c r="A33" s="16"/>
      <c r="D33" s="12" t="str">
        <f aca="false">IF(C33="","",IFERROR(INDEX(Recipes!$B:$B,MATCH(C33,Recipes!$A:$A,0)),"⚠ unknown recipe_id"))</f>
        <v/>
      </c>
      <c r="K33" s="12" t="str">
        <f aca="false">IF(C33="","",IFERROR(INDEX(Recipes!$C:$C,MATCH(C33,Recipes!$A:$A,0)),""))</f>
        <v/>
      </c>
      <c r="L33" s="12" t="str">
        <f aca="false">IF(AND(A33='Grocery List'!$B$3,E33="Yes"),COUNTIFS($A$4:A33,'Grocery List'!$B$3,$E$4:E33,"Yes"),"")</f>
        <v/>
      </c>
    </row>
    <row r="34" customFormat="false" ht="15" hidden="false" customHeight="false" outlineLevel="0" collapsed="false">
      <c r="A34" s="16"/>
      <c r="D34" s="12" t="str">
        <f aca="false">IF(C34="","",IFERROR(INDEX(Recipes!$B:$B,MATCH(C34,Recipes!$A:$A,0)),"⚠ unknown recipe_id"))</f>
        <v/>
      </c>
      <c r="K34" s="12" t="str">
        <f aca="false">IF(C34="","",IFERROR(INDEX(Recipes!$C:$C,MATCH(C34,Recipes!$A:$A,0)),""))</f>
        <v/>
      </c>
      <c r="L34" s="12" t="str">
        <f aca="false">IF(AND(A34='Grocery List'!$B$3,E34="Yes"),COUNTIFS($A$4:A34,'Grocery List'!$B$3,$E$4:E34,"Yes"),"")</f>
        <v/>
      </c>
    </row>
    <row r="35" customFormat="false" ht="15" hidden="false" customHeight="false" outlineLevel="0" collapsed="false">
      <c r="A35" s="16"/>
      <c r="D35" s="12" t="str">
        <f aca="false">IF(C35="","",IFERROR(INDEX(Recipes!$B:$B,MATCH(C35,Recipes!$A:$A,0)),"⚠ unknown recipe_id"))</f>
        <v/>
      </c>
      <c r="K35" s="12" t="str">
        <f aca="false">IF(C35="","",IFERROR(INDEX(Recipes!$C:$C,MATCH(C35,Recipes!$A:$A,0)),""))</f>
        <v/>
      </c>
      <c r="L35" s="12" t="str">
        <f aca="false">IF(AND(A35='Grocery List'!$B$3,E35="Yes"),COUNTIFS($A$4:A35,'Grocery List'!$B$3,$E$4:E35,"Yes"),"")</f>
        <v/>
      </c>
    </row>
    <row r="36" customFormat="false" ht="15" hidden="false" customHeight="false" outlineLevel="0" collapsed="false">
      <c r="A36" s="16"/>
      <c r="D36" s="12" t="str">
        <f aca="false">IF(C36="","",IFERROR(INDEX(Recipes!$B:$B,MATCH(C36,Recipes!$A:$A,0)),"⚠ unknown recipe_id"))</f>
        <v/>
      </c>
      <c r="K36" s="12" t="str">
        <f aca="false">IF(C36="","",IFERROR(INDEX(Recipes!$C:$C,MATCH(C36,Recipes!$A:$A,0)),""))</f>
        <v/>
      </c>
      <c r="L36" s="12" t="str">
        <f aca="false">IF(AND(A36='Grocery List'!$B$3,E36="Yes"),COUNTIFS($A$4:A36,'Grocery List'!$B$3,$E$4:E36,"Yes"),"")</f>
        <v/>
      </c>
    </row>
    <row r="37" customFormat="false" ht="15" hidden="false" customHeight="false" outlineLevel="0" collapsed="false">
      <c r="A37" s="16"/>
      <c r="D37" s="12" t="str">
        <f aca="false">IF(C37="","",IFERROR(INDEX(Recipes!$B:$B,MATCH(C37,Recipes!$A:$A,0)),"⚠ unknown recipe_id"))</f>
        <v/>
      </c>
      <c r="K37" s="12" t="str">
        <f aca="false">IF(C37="","",IFERROR(INDEX(Recipes!$C:$C,MATCH(C37,Recipes!$A:$A,0)),""))</f>
        <v/>
      </c>
      <c r="L37" s="12" t="str">
        <f aca="false">IF(AND(A37='Grocery List'!$B$3,E37="Yes"),COUNTIFS($A$4:A37,'Grocery List'!$B$3,$E$4:E37,"Yes"),"")</f>
        <v/>
      </c>
    </row>
    <row r="38" customFormat="false" ht="15" hidden="false" customHeight="false" outlineLevel="0" collapsed="false">
      <c r="A38" s="16"/>
      <c r="D38" s="12" t="str">
        <f aca="false">IF(C38="","",IFERROR(INDEX(Recipes!$B:$B,MATCH(C38,Recipes!$A:$A,0)),"⚠ unknown recipe_id"))</f>
        <v/>
      </c>
      <c r="K38" s="12" t="str">
        <f aca="false">IF(C38="","",IFERROR(INDEX(Recipes!$C:$C,MATCH(C38,Recipes!$A:$A,0)),""))</f>
        <v/>
      </c>
      <c r="L38" s="12" t="str">
        <f aca="false">IF(AND(A38='Grocery List'!$B$3,E38="Yes"),COUNTIFS($A$4:A38,'Grocery List'!$B$3,$E$4:E38,"Yes"),"")</f>
        <v/>
      </c>
    </row>
    <row r="39" customFormat="false" ht="15" hidden="false" customHeight="false" outlineLevel="0" collapsed="false">
      <c r="A39" s="16"/>
      <c r="D39" s="12" t="str">
        <f aca="false">IF(C39="","",IFERROR(INDEX(Recipes!$B:$B,MATCH(C39,Recipes!$A:$A,0)),"⚠ unknown recipe_id"))</f>
        <v/>
      </c>
      <c r="K39" s="12" t="str">
        <f aca="false">IF(C39="","",IFERROR(INDEX(Recipes!$C:$C,MATCH(C39,Recipes!$A:$A,0)),""))</f>
        <v/>
      </c>
      <c r="L39" s="12" t="str">
        <f aca="false">IF(AND(A39='Grocery List'!$B$3,E39="Yes"),COUNTIFS($A$4:A39,'Grocery List'!$B$3,$E$4:E39,"Yes"),"")</f>
        <v/>
      </c>
    </row>
    <row r="40" customFormat="false" ht="15" hidden="false" customHeight="false" outlineLevel="0" collapsed="false">
      <c r="A40" s="16"/>
      <c r="D40" s="12" t="str">
        <f aca="false">IF(C40="","",IFERROR(INDEX(Recipes!$B:$B,MATCH(C40,Recipes!$A:$A,0)),"⚠ unknown recipe_id"))</f>
        <v/>
      </c>
      <c r="K40" s="12" t="str">
        <f aca="false">IF(C40="","",IFERROR(INDEX(Recipes!$C:$C,MATCH(C40,Recipes!$A:$A,0)),""))</f>
        <v/>
      </c>
      <c r="L40" s="12" t="str">
        <f aca="false">IF(AND(A40='Grocery List'!$B$3,E40="Yes"),COUNTIFS($A$4:A40,'Grocery List'!$B$3,$E$4:E40,"Yes"),"")</f>
        <v/>
      </c>
    </row>
    <row r="41" customFormat="false" ht="15" hidden="false" customHeight="false" outlineLevel="0" collapsed="false">
      <c r="A41" s="16"/>
      <c r="D41" s="12" t="str">
        <f aca="false">IF(C41="","",IFERROR(INDEX(Recipes!$B:$B,MATCH(C41,Recipes!$A:$A,0)),"⚠ unknown recipe_id"))</f>
        <v/>
      </c>
      <c r="K41" s="12" t="str">
        <f aca="false">IF(C41="","",IFERROR(INDEX(Recipes!$C:$C,MATCH(C41,Recipes!$A:$A,0)),""))</f>
        <v/>
      </c>
      <c r="L41" s="12" t="str">
        <f aca="false">IF(AND(A41='Grocery List'!$B$3,E41="Yes"),COUNTIFS($A$4:A41,'Grocery List'!$B$3,$E$4:E41,"Yes"),"")</f>
        <v/>
      </c>
    </row>
    <row r="42" customFormat="false" ht="15" hidden="false" customHeight="false" outlineLevel="0" collapsed="false">
      <c r="A42" s="16"/>
      <c r="D42" s="12" t="str">
        <f aca="false">IF(C42="","",IFERROR(INDEX(Recipes!$B:$B,MATCH(C42,Recipes!$A:$A,0)),"⚠ unknown recipe_id"))</f>
        <v/>
      </c>
      <c r="K42" s="12" t="str">
        <f aca="false">IF(C42="","",IFERROR(INDEX(Recipes!$C:$C,MATCH(C42,Recipes!$A:$A,0)),""))</f>
        <v/>
      </c>
      <c r="L42" s="12" t="str">
        <f aca="false">IF(AND(A42='Grocery List'!$B$3,E42="Yes"),COUNTIFS($A$4:A42,'Grocery List'!$B$3,$E$4:E42,"Yes"),"")</f>
        <v/>
      </c>
    </row>
    <row r="43" customFormat="false" ht="15" hidden="false" customHeight="false" outlineLevel="0" collapsed="false">
      <c r="A43" s="16"/>
      <c r="D43" s="12" t="str">
        <f aca="false">IF(C43="","",IFERROR(INDEX(Recipes!$B:$B,MATCH(C43,Recipes!$A:$A,0)),"⚠ unknown recipe_id"))</f>
        <v/>
      </c>
      <c r="K43" s="12" t="str">
        <f aca="false">IF(C43="","",IFERROR(INDEX(Recipes!$C:$C,MATCH(C43,Recipes!$A:$A,0)),""))</f>
        <v/>
      </c>
      <c r="L43" s="12" t="str">
        <f aca="false">IF(AND(A43='Grocery List'!$B$3,E43="Yes"),COUNTIFS($A$4:A43,'Grocery List'!$B$3,$E$4:E43,"Yes"),"")</f>
        <v/>
      </c>
    </row>
    <row r="44" customFormat="false" ht="15" hidden="false" customHeight="false" outlineLevel="0" collapsed="false">
      <c r="A44" s="16"/>
      <c r="D44" s="12" t="str">
        <f aca="false">IF(C44="","",IFERROR(INDEX(Recipes!$B:$B,MATCH(C44,Recipes!$A:$A,0)),"⚠ unknown recipe_id"))</f>
        <v/>
      </c>
      <c r="K44" s="12" t="str">
        <f aca="false">IF(C44="","",IFERROR(INDEX(Recipes!$C:$C,MATCH(C44,Recipes!$A:$A,0)),""))</f>
        <v/>
      </c>
      <c r="L44" s="12" t="str">
        <f aca="false">IF(AND(A44='Grocery List'!$B$3,E44="Yes"),COUNTIFS($A$4:A44,'Grocery List'!$B$3,$E$4:E44,"Yes"),"")</f>
        <v/>
      </c>
    </row>
    <row r="45" customFormat="false" ht="15" hidden="false" customHeight="false" outlineLevel="0" collapsed="false">
      <c r="A45" s="16"/>
      <c r="D45" s="12" t="str">
        <f aca="false">IF(C45="","",IFERROR(INDEX(Recipes!$B:$B,MATCH(C45,Recipes!$A:$A,0)),"⚠ unknown recipe_id"))</f>
        <v/>
      </c>
      <c r="K45" s="12" t="str">
        <f aca="false">IF(C45="","",IFERROR(INDEX(Recipes!$C:$C,MATCH(C45,Recipes!$A:$A,0)),""))</f>
        <v/>
      </c>
      <c r="L45" s="12" t="str">
        <f aca="false">IF(AND(A45='Grocery List'!$B$3,E45="Yes"),COUNTIFS($A$4:A45,'Grocery List'!$B$3,$E$4:E45,"Yes"),"")</f>
        <v/>
      </c>
    </row>
    <row r="46" customFormat="false" ht="15" hidden="false" customHeight="false" outlineLevel="0" collapsed="false">
      <c r="A46" s="16"/>
      <c r="D46" s="12" t="str">
        <f aca="false">IF(C46="","",IFERROR(INDEX(Recipes!$B:$B,MATCH(C46,Recipes!$A:$A,0)),"⚠ unknown recipe_id"))</f>
        <v/>
      </c>
      <c r="K46" s="12" t="str">
        <f aca="false">IF(C46="","",IFERROR(INDEX(Recipes!$C:$C,MATCH(C46,Recipes!$A:$A,0)),""))</f>
        <v/>
      </c>
      <c r="L46" s="12" t="str">
        <f aca="false">IF(AND(A46='Grocery List'!$B$3,E46="Yes"),COUNTIFS($A$4:A46,'Grocery List'!$B$3,$E$4:E46,"Yes"),"")</f>
        <v/>
      </c>
    </row>
    <row r="47" customFormat="false" ht="15" hidden="false" customHeight="false" outlineLevel="0" collapsed="false">
      <c r="A47" s="16"/>
      <c r="D47" s="12" t="str">
        <f aca="false">IF(C47="","",IFERROR(INDEX(Recipes!$B:$B,MATCH(C47,Recipes!$A:$A,0)),"⚠ unknown recipe_id"))</f>
        <v/>
      </c>
      <c r="K47" s="12" t="str">
        <f aca="false">IF(C47="","",IFERROR(INDEX(Recipes!$C:$C,MATCH(C47,Recipes!$A:$A,0)),""))</f>
        <v/>
      </c>
      <c r="L47" s="12" t="str">
        <f aca="false">IF(AND(A47='Grocery List'!$B$3,E47="Yes"),COUNTIFS($A$4:A47,'Grocery List'!$B$3,$E$4:E47,"Yes"),"")</f>
        <v/>
      </c>
    </row>
    <row r="48" customFormat="false" ht="15" hidden="false" customHeight="false" outlineLevel="0" collapsed="false">
      <c r="A48" s="16"/>
      <c r="D48" s="12" t="str">
        <f aca="false">IF(C48="","",IFERROR(INDEX(Recipes!$B:$B,MATCH(C48,Recipes!$A:$A,0)),"⚠ unknown recipe_id"))</f>
        <v/>
      </c>
      <c r="K48" s="12" t="str">
        <f aca="false">IF(C48="","",IFERROR(INDEX(Recipes!$C:$C,MATCH(C48,Recipes!$A:$A,0)),""))</f>
        <v/>
      </c>
      <c r="L48" s="12" t="str">
        <f aca="false">IF(AND(A48='Grocery List'!$B$3,E48="Yes"),COUNTIFS($A$4:A48,'Grocery List'!$B$3,$E$4:E48,"Yes"),"")</f>
        <v/>
      </c>
    </row>
    <row r="49" customFormat="false" ht="15" hidden="false" customHeight="false" outlineLevel="0" collapsed="false">
      <c r="A49" s="16"/>
      <c r="D49" s="12" t="str">
        <f aca="false">IF(C49="","",IFERROR(INDEX(Recipes!$B:$B,MATCH(C49,Recipes!$A:$A,0)),"⚠ unknown recipe_id"))</f>
        <v/>
      </c>
      <c r="K49" s="12" t="str">
        <f aca="false">IF(C49="","",IFERROR(INDEX(Recipes!$C:$C,MATCH(C49,Recipes!$A:$A,0)),""))</f>
        <v/>
      </c>
      <c r="L49" s="12" t="str">
        <f aca="false">IF(AND(A49='Grocery List'!$B$3,E49="Yes"),COUNTIFS($A$4:A49,'Grocery List'!$B$3,$E$4:E49,"Yes"),"")</f>
        <v/>
      </c>
    </row>
    <row r="50" customFormat="false" ht="15" hidden="false" customHeight="false" outlineLevel="0" collapsed="false">
      <c r="A50" s="16"/>
      <c r="D50" s="12" t="str">
        <f aca="false">IF(C50="","",IFERROR(INDEX(Recipes!$B:$B,MATCH(C50,Recipes!$A:$A,0)),"⚠ unknown recipe_id"))</f>
        <v/>
      </c>
      <c r="K50" s="12" t="str">
        <f aca="false">IF(C50="","",IFERROR(INDEX(Recipes!$C:$C,MATCH(C50,Recipes!$A:$A,0)),""))</f>
        <v/>
      </c>
      <c r="L50" s="12" t="str">
        <f aca="false">IF(AND(A50='Grocery List'!$B$3,E50="Yes"),COUNTIFS($A$4:A50,'Grocery List'!$B$3,$E$4:E50,"Yes"),"")</f>
        <v/>
      </c>
    </row>
    <row r="51" customFormat="false" ht="15" hidden="false" customHeight="false" outlineLevel="0" collapsed="false">
      <c r="A51" s="16"/>
      <c r="D51" s="12" t="str">
        <f aca="false">IF(C51="","",IFERROR(INDEX(Recipes!$B:$B,MATCH(C51,Recipes!$A:$A,0)),"⚠ unknown recipe_id"))</f>
        <v/>
      </c>
      <c r="K51" s="12" t="str">
        <f aca="false">IF(C51="","",IFERROR(INDEX(Recipes!$C:$C,MATCH(C51,Recipes!$A:$A,0)),""))</f>
        <v/>
      </c>
      <c r="L51" s="12" t="str">
        <f aca="false">IF(AND(A51='Grocery List'!$B$3,E51="Yes"),COUNTIFS($A$4:A51,'Grocery List'!$B$3,$E$4:E51,"Yes"),"")</f>
        <v/>
      </c>
    </row>
    <row r="52" customFormat="false" ht="15" hidden="false" customHeight="false" outlineLevel="0" collapsed="false">
      <c r="A52" s="16"/>
      <c r="D52" s="12" t="str">
        <f aca="false">IF(C52="","",IFERROR(INDEX(Recipes!$B:$B,MATCH(C52,Recipes!$A:$A,0)),"⚠ unknown recipe_id"))</f>
        <v/>
      </c>
      <c r="K52" s="12" t="str">
        <f aca="false">IF(C52="","",IFERROR(INDEX(Recipes!$C:$C,MATCH(C52,Recipes!$A:$A,0)),""))</f>
        <v/>
      </c>
      <c r="L52" s="12" t="str">
        <f aca="false">IF(AND(A52='Grocery List'!$B$3,E52="Yes"),COUNTIFS($A$4:A52,'Grocery List'!$B$3,$E$4:E52,"Yes"),"")</f>
        <v/>
      </c>
    </row>
    <row r="53" customFormat="false" ht="15" hidden="false" customHeight="false" outlineLevel="0" collapsed="false">
      <c r="A53" s="16"/>
      <c r="D53" s="12" t="str">
        <f aca="false">IF(C53="","",IFERROR(INDEX(Recipes!$B:$B,MATCH(C53,Recipes!$A:$A,0)),"⚠ unknown recipe_id"))</f>
        <v/>
      </c>
      <c r="K53" s="12" t="str">
        <f aca="false">IF(C53="","",IFERROR(INDEX(Recipes!$C:$C,MATCH(C53,Recipes!$A:$A,0)),""))</f>
        <v/>
      </c>
      <c r="L53" s="12" t="str">
        <f aca="false">IF(AND(A53='Grocery List'!$B$3,E53="Yes"),COUNTIFS($A$4:A53,'Grocery List'!$B$3,$E$4:E53,"Yes"),"")</f>
        <v/>
      </c>
    </row>
    <row r="54" customFormat="false" ht="15" hidden="false" customHeight="false" outlineLevel="0" collapsed="false">
      <c r="A54" s="16"/>
      <c r="D54" s="12" t="str">
        <f aca="false">IF(C54="","",IFERROR(INDEX(Recipes!$B:$B,MATCH(C54,Recipes!$A:$A,0)),"⚠ unknown recipe_id"))</f>
        <v/>
      </c>
      <c r="K54" s="12" t="str">
        <f aca="false">IF(C54="","",IFERROR(INDEX(Recipes!$C:$C,MATCH(C54,Recipes!$A:$A,0)),""))</f>
        <v/>
      </c>
      <c r="L54" s="12" t="str">
        <f aca="false">IF(AND(A54='Grocery List'!$B$3,E54="Yes"),COUNTIFS($A$4:A54,'Grocery List'!$B$3,$E$4:E54,"Yes"),"")</f>
        <v/>
      </c>
    </row>
    <row r="55" customFormat="false" ht="15" hidden="false" customHeight="false" outlineLevel="0" collapsed="false">
      <c r="A55" s="16"/>
      <c r="D55" s="12" t="str">
        <f aca="false">IF(C55="","",IFERROR(INDEX(Recipes!$B:$B,MATCH(C55,Recipes!$A:$A,0)),"⚠ unknown recipe_id"))</f>
        <v/>
      </c>
      <c r="K55" s="12" t="str">
        <f aca="false">IF(C55="","",IFERROR(INDEX(Recipes!$C:$C,MATCH(C55,Recipes!$A:$A,0)),""))</f>
        <v/>
      </c>
      <c r="L55" s="12" t="str">
        <f aca="false">IF(AND(A55='Grocery List'!$B$3,E55="Yes"),COUNTIFS($A$4:A55,'Grocery List'!$B$3,$E$4:E55,"Yes"),"")</f>
        <v/>
      </c>
    </row>
    <row r="56" customFormat="false" ht="15" hidden="false" customHeight="false" outlineLevel="0" collapsed="false">
      <c r="A56" s="16"/>
      <c r="D56" s="12" t="str">
        <f aca="false">IF(C56="","",IFERROR(INDEX(Recipes!$B:$B,MATCH(C56,Recipes!$A:$A,0)),"⚠ unknown recipe_id"))</f>
        <v/>
      </c>
      <c r="K56" s="12" t="str">
        <f aca="false">IF(C56="","",IFERROR(INDEX(Recipes!$C:$C,MATCH(C56,Recipes!$A:$A,0)),""))</f>
        <v/>
      </c>
      <c r="L56" s="12" t="str">
        <f aca="false">IF(AND(A56='Grocery List'!$B$3,E56="Yes"),COUNTIFS($A$4:A56,'Grocery List'!$B$3,$E$4:E56,"Yes"),"")</f>
        <v/>
      </c>
    </row>
    <row r="57" customFormat="false" ht="15" hidden="false" customHeight="false" outlineLevel="0" collapsed="false">
      <c r="A57" s="16"/>
      <c r="D57" s="12" t="str">
        <f aca="false">IF(C57="","",IFERROR(INDEX(Recipes!$B:$B,MATCH(C57,Recipes!$A:$A,0)),"⚠ unknown recipe_id"))</f>
        <v/>
      </c>
      <c r="K57" s="12" t="str">
        <f aca="false">IF(C57="","",IFERROR(INDEX(Recipes!$C:$C,MATCH(C57,Recipes!$A:$A,0)),""))</f>
        <v/>
      </c>
      <c r="L57" s="12" t="str">
        <f aca="false">IF(AND(A57='Grocery List'!$B$3,E57="Yes"),COUNTIFS($A$4:A57,'Grocery List'!$B$3,$E$4:E57,"Yes"),"")</f>
        <v/>
      </c>
    </row>
    <row r="58" customFormat="false" ht="15" hidden="false" customHeight="false" outlineLevel="0" collapsed="false">
      <c r="A58" s="16"/>
      <c r="D58" s="12" t="str">
        <f aca="false">IF(C58="","",IFERROR(INDEX(Recipes!$B:$B,MATCH(C58,Recipes!$A:$A,0)),"⚠ unknown recipe_id"))</f>
        <v/>
      </c>
      <c r="K58" s="12" t="str">
        <f aca="false">IF(C58="","",IFERROR(INDEX(Recipes!$C:$C,MATCH(C58,Recipes!$A:$A,0)),""))</f>
        <v/>
      </c>
      <c r="L58" s="12" t="str">
        <f aca="false">IF(AND(A58='Grocery List'!$B$3,E58="Yes"),COUNTIFS($A$4:A58,'Grocery List'!$B$3,$E$4:E58,"Yes"),"")</f>
        <v/>
      </c>
    </row>
    <row r="59" customFormat="false" ht="15" hidden="false" customHeight="false" outlineLevel="0" collapsed="false">
      <c r="A59" s="16"/>
      <c r="D59" s="12" t="str">
        <f aca="false">IF(C59="","",IFERROR(INDEX(Recipes!$B:$B,MATCH(C59,Recipes!$A:$A,0)),"⚠ unknown recipe_id"))</f>
        <v/>
      </c>
      <c r="K59" s="12" t="str">
        <f aca="false">IF(C59="","",IFERROR(INDEX(Recipes!$C:$C,MATCH(C59,Recipes!$A:$A,0)),""))</f>
        <v/>
      </c>
      <c r="L59" s="12" t="str">
        <f aca="false">IF(AND(A59='Grocery List'!$B$3,E59="Yes"),COUNTIFS($A$4:A59,'Grocery List'!$B$3,$E$4:E59,"Yes"),"")</f>
        <v/>
      </c>
    </row>
    <row r="60" customFormat="false" ht="15" hidden="false" customHeight="false" outlineLevel="0" collapsed="false">
      <c r="A60" s="16"/>
      <c r="D60" s="12" t="str">
        <f aca="false">IF(C60="","",IFERROR(INDEX(Recipes!$B:$B,MATCH(C60,Recipes!$A:$A,0)),"⚠ unknown recipe_id"))</f>
        <v/>
      </c>
      <c r="K60" s="12" t="str">
        <f aca="false">IF(C60="","",IFERROR(INDEX(Recipes!$C:$C,MATCH(C60,Recipes!$A:$A,0)),""))</f>
        <v/>
      </c>
      <c r="L60" s="12" t="str">
        <f aca="false">IF(AND(A60='Grocery List'!$B$3,E60="Yes"),COUNTIFS($A$4:A60,'Grocery List'!$B$3,$E$4:E60,"Yes"),"")</f>
        <v/>
      </c>
    </row>
    <row r="61" customFormat="false" ht="15" hidden="false" customHeight="false" outlineLevel="0" collapsed="false">
      <c r="A61" s="16"/>
      <c r="D61" s="12" t="str">
        <f aca="false">IF(C61="","",IFERROR(INDEX(Recipes!$B:$B,MATCH(C61,Recipes!$A:$A,0)),"⚠ unknown recipe_id"))</f>
        <v/>
      </c>
      <c r="K61" s="12" t="str">
        <f aca="false">IF(C61="","",IFERROR(INDEX(Recipes!$C:$C,MATCH(C61,Recipes!$A:$A,0)),""))</f>
        <v/>
      </c>
      <c r="L61" s="12" t="str">
        <f aca="false">IF(AND(A61='Grocery List'!$B$3,E61="Yes"),COUNTIFS($A$4:A61,'Grocery List'!$B$3,$E$4:E61,"Yes"),"")</f>
        <v/>
      </c>
    </row>
    <row r="62" customFormat="false" ht="15" hidden="false" customHeight="false" outlineLevel="0" collapsed="false">
      <c r="A62" s="16"/>
      <c r="D62" s="12" t="str">
        <f aca="false">IF(C62="","",IFERROR(INDEX(Recipes!$B:$B,MATCH(C62,Recipes!$A:$A,0)),"⚠ unknown recipe_id"))</f>
        <v/>
      </c>
      <c r="K62" s="12" t="str">
        <f aca="false">IF(C62="","",IFERROR(INDEX(Recipes!$C:$C,MATCH(C62,Recipes!$A:$A,0)),""))</f>
        <v/>
      </c>
      <c r="L62" s="12" t="str">
        <f aca="false">IF(AND(A62='Grocery List'!$B$3,E62="Yes"),COUNTIFS($A$4:A62,'Grocery List'!$B$3,$E$4:E62,"Yes"),"")</f>
        <v/>
      </c>
    </row>
    <row r="63" customFormat="false" ht="15" hidden="false" customHeight="false" outlineLevel="0" collapsed="false">
      <c r="A63" s="16"/>
      <c r="D63" s="12" t="str">
        <f aca="false">IF(C63="","",IFERROR(INDEX(Recipes!$B:$B,MATCH(C63,Recipes!$A:$A,0)),"⚠ unknown recipe_id"))</f>
        <v/>
      </c>
      <c r="K63" s="12" t="str">
        <f aca="false">IF(C63="","",IFERROR(INDEX(Recipes!$C:$C,MATCH(C63,Recipes!$A:$A,0)),""))</f>
        <v/>
      </c>
      <c r="L63" s="12" t="str">
        <f aca="false">IF(AND(A63='Grocery List'!$B$3,E63="Yes"),COUNTIFS($A$4:A63,'Grocery List'!$B$3,$E$4:E63,"Yes"),"")</f>
        <v/>
      </c>
    </row>
    <row r="64" customFormat="false" ht="15" hidden="false" customHeight="false" outlineLevel="0" collapsed="false">
      <c r="A64" s="16"/>
      <c r="D64" s="12" t="str">
        <f aca="false">IF(C64="","",IFERROR(INDEX(Recipes!$B:$B,MATCH(C64,Recipes!$A:$A,0)),"⚠ unknown recipe_id"))</f>
        <v/>
      </c>
      <c r="K64" s="12" t="str">
        <f aca="false">IF(C64="","",IFERROR(INDEX(Recipes!$C:$C,MATCH(C64,Recipes!$A:$A,0)),""))</f>
        <v/>
      </c>
      <c r="L64" s="12" t="str">
        <f aca="false">IF(AND(A64='Grocery List'!$B$3,E64="Yes"),COUNTIFS($A$4:A64,'Grocery List'!$B$3,$E$4:E64,"Yes"),"")</f>
        <v/>
      </c>
    </row>
    <row r="65" customFormat="false" ht="15" hidden="false" customHeight="false" outlineLevel="0" collapsed="false">
      <c r="A65" s="16"/>
      <c r="D65" s="12" t="str">
        <f aca="false">IF(C65="","",IFERROR(INDEX(Recipes!$B:$B,MATCH(C65,Recipes!$A:$A,0)),"⚠ unknown recipe_id"))</f>
        <v/>
      </c>
      <c r="K65" s="12" t="str">
        <f aca="false">IF(C65="","",IFERROR(INDEX(Recipes!$C:$C,MATCH(C65,Recipes!$A:$A,0)),""))</f>
        <v/>
      </c>
      <c r="L65" s="12" t="str">
        <f aca="false">IF(AND(A65='Grocery List'!$B$3,E65="Yes"),COUNTIFS($A$4:A65,'Grocery List'!$B$3,$E$4:E65,"Yes"),"")</f>
        <v/>
      </c>
    </row>
    <row r="66" customFormat="false" ht="15" hidden="false" customHeight="false" outlineLevel="0" collapsed="false">
      <c r="A66" s="16"/>
      <c r="D66" s="12" t="str">
        <f aca="false">IF(C66="","",IFERROR(INDEX(Recipes!$B:$B,MATCH(C66,Recipes!$A:$A,0)),"⚠ unknown recipe_id"))</f>
        <v/>
      </c>
      <c r="K66" s="12" t="str">
        <f aca="false">IF(C66="","",IFERROR(INDEX(Recipes!$C:$C,MATCH(C66,Recipes!$A:$A,0)),""))</f>
        <v/>
      </c>
      <c r="L66" s="12" t="str">
        <f aca="false">IF(AND(A66='Grocery List'!$B$3,E66="Yes"),COUNTIFS($A$4:A66,'Grocery List'!$B$3,$E$4:E66,"Yes"),"")</f>
        <v/>
      </c>
    </row>
    <row r="67" customFormat="false" ht="15" hidden="false" customHeight="false" outlineLevel="0" collapsed="false">
      <c r="A67" s="16"/>
      <c r="D67" s="12" t="str">
        <f aca="false">IF(C67="","",IFERROR(INDEX(Recipes!$B:$B,MATCH(C67,Recipes!$A:$A,0)),"⚠ unknown recipe_id"))</f>
        <v/>
      </c>
      <c r="K67" s="12" t="str">
        <f aca="false">IF(C67="","",IFERROR(INDEX(Recipes!$C:$C,MATCH(C67,Recipes!$A:$A,0)),""))</f>
        <v/>
      </c>
      <c r="L67" s="12" t="str">
        <f aca="false">IF(AND(A67='Grocery List'!$B$3,E67="Yes"),COUNTIFS($A$4:A67,'Grocery List'!$B$3,$E$4:E67,"Yes"),"")</f>
        <v/>
      </c>
    </row>
    <row r="68" customFormat="false" ht="15" hidden="false" customHeight="false" outlineLevel="0" collapsed="false">
      <c r="A68" s="16"/>
      <c r="D68" s="12" t="str">
        <f aca="false">IF(C68="","",IFERROR(INDEX(Recipes!$B:$B,MATCH(C68,Recipes!$A:$A,0)),"⚠ unknown recipe_id"))</f>
        <v/>
      </c>
      <c r="K68" s="12" t="str">
        <f aca="false">IF(C68="","",IFERROR(INDEX(Recipes!$C:$C,MATCH(C68,Recipes!$A:$A,0)),""))</f>
        <v/>
      </c>
      <c r="L68" s="12" t="str">
        <f aca="false">IF(AND(A68='Grocery List'!$B$3,E68="Yes"),COUNTIFS($A$4:A68,'Grocery List'!$B$3,$E$4:E68,"Yes"),"")</f>
        <v/>
      </c>
    </row>
    <row r="69" customFormat="false" ht="15" hidden="false" customHeight="false" outlineLevel="0" collapsed="false">
      <c r="A69" s="16"/>
      <c r="D69" s="12" t="str">
        <f aca="false">IF(C69="","",IFERROR(INDEX(Recipes!$B:$B,MATCH(C69,Recipes!$A:$A,0)),"⚠ unknown recipe_id"))</f>
        <v/>
      </c>
      <c r="K69" s="12" t="str">
        <f aca="false">IF(C69="","",IFERROR(INDEX(Recipes!$C:$C,MATCH(C69,Recipes!$A:$A,0)),""))</f>
        <v/>
      </c>
      <c r="L69" s="12" t="str">
        <f aca="false">IF(AND(A69='Grocery List'!$B$3,E69="Yes"),COUNTIFS($A$4:A69,'Grocery List'!$B$3,$E$4:E69,"Yes"),"")</f>
        <v/>
      </c>
    </row>
    <row r="70" customFormat="false" ht="15" hidden="false" customHeight="false" outlineLevel="0" collapsed="false">
      <c r="A70" s="16"/>
      <c r="D70" s="12" t="str">
        <f aca="false">IF(C70="","",IFERROR(INDEX(Recipes!$B:$B,MATCH(C70,Recipes!$A:$A,0)),"⚠ unknown recipe_id"))</f>
        <v/>
      </c>
      <c r="K70" s="12" t="str">
        <f aca="false">IF(C70="","",IFERROR(INDEX(Recipes!$C:$C,MATCH(C70,Recipes!$A:$A,0)),""))</f>
        <v/>
      </c>
      <c r="L70" s="12" t="str">
        <f aca="false">IF(AND(A70='Grocery List'!$B$3,E70="Yes"),COUNTIFS($A$4:A70,'Grocery List'!$B$3,$E$4:E70,"Yes"),"")</f>
        <v/>
      </c>
    </row>
    <row r="71" customFormat="false" ht="15" hidden="false" customHeight="false" outlineLevel="0" collapsed="false">
      <c r="A71" s="16"/>
      <c r="D71" s="12" t="str">
        <f aca="false">IF(C71="","",IFERROR(INDEX(Recipes!$B:$B,MATCH(C71,Recipes!$A:$A,0)),"⚠ unknown recipe_id"))</f>
        <v/>
      </c>
      <c r="K71" s="12" t="str">
        <f aca="false">IF(C71="","",IFERROR(INDEX(Recipes!$C:$C,MATCH(C71,Recipes!$A:$A,0)),""))</f>
        <v/>
      </c>
      <c r="L71" s="12" t="str">
        <f aca="false">IF(AND(A71='Grocery List'!$B$3,E71="Yes"),COUNTIFS($A$4:A71,'Grocery List'!$B$3,$E$4:E71,"Yes"),"")</f>
        <v/>
      </c>
    </row>
    <row r="72" customFormat="false" ht="15" hidden="false" customHeight="false" outlineLevel="0" collapsed="false">
      <c r="A72" s="16"/>
      <c r="D72" s="12" t="str">
        <f aca="false">IF(C72="","",IFERROR(INDEX(Recipes!$B:$B,MATCH(C72,Recipes!$A:$A,0)),"⚠ unknown recipe_id"))</f>
        <v/>
      </c>
      <c r="K72" s="12" t="str">
        <f aca="false">IF(C72="","",IFERROR(INDEX(Recipes!$C:$C,MATCH(C72,Recipes!$A:$A,0)),""))</f>
        <v/>
      </c>
      <c r="L72" s="12" t="str">
        <f aca="false">IF(AND(A72='Grocery List'!$B$3,E72="Yes"),COUNTIFS($A$4:A72,'Grocery List'!$B$3,$E$4:E72,"Yes"),"")</f>
        <v/>
      </c>
    </row>
    <row r="73" customFormat="false" ht="15" hidden="false" customHeight="false" outlineLevel="0" collapsed="false">
      <c r="A73" s="16"/>
      <c r="D73" s="12" t="str">
        <f aca="false">IF(C73="","",IFERROR(INDEX(Recipes!$B:$B,MATCH(C73,Recipes!$A:$A,0)),"⚠ unknown recipe_id"))</f>
        <v/>
      </c>
      <c r="K73" s="12" t="str">
        <f aca="false">IF(C73="","",IFERROR(INDEX(Recipes!$C:$C,MATCH(C73,Recipes!$A:$A,0)),""))</f>
        <v/>
      </c>
      <c r="L73" s="12" t="str">
        <f aca="false">IF(AND(A73='Grocery List'!$B$3,E73="Yes"),COUNTIFS($A$4:A73,'Grocery List'!$B$3,$E$4:E73,"Yes"),"")</f>
        <v/>
      </c>
    </row>
    <row r="74" customFormat="false" ht="15" hidden="false" customHeight="false" outlineLevel="0" collapsed="false">
      <c r="A74" s="16"/>
      <c r="D74" s="12" t="str">
        <f aca="false">IF(C74="","",IFERROR(INDEX(Recipes!$B:$B,MATCH(C74,Recipes!$A:$A,0)),"⚠ unknown recipe_id"))</f>
        <v/>
      </c>
      <c r="K74" s="12" t="str">
        <f aca="false">IF(C74="","",IFERROR(INDEX(Recipes!$C:$C,MATCH(C74,Recipes!$A:$A,0)),""))</f>
        <v/>
      </c>
      <c r="L74" s="12" t="str">
        <f aca="false">IF(AND(A74='Grocery List'!$B$3,E74="Yes"),COUNTIFS($A$4:A74,'Grocery List'!$B$3,$E$4:E74,"Yes"),"")</f>
        <v/>
      </c>
    </row>
    <row r="75" customFormat="false" ht="15" hidden="false" customHeight="false" outlineLevel="0" collapsed="false">
      <c r="A75" s="16"/>
      <c r="D75" s="12" t="str">
        <f aca="false">IF(C75="","",IFERROR(INDEX(Recipes!$B:$B,MATCH(C75,Recipes!$A:$A,0)),"⚠ unknown recipe_id"))</f>
        <v/>
      </c>
      <c r="K75" s="12" t="str">
        <f aca="false">IF(C75="","",IFERROR(INDEX(Recipes!$C:$C,MATCH(C75,Recipes!$A:$A,0)),""))</f>
        <v/>
      </c>
      <c r="L75" s="12" t="str">
        <f aca="false">IF(AND(A75='Grocery List'!$B$3,E75="Yes"),COUNTIFS($A$4:A75,'Grocery List'!$B$3,$E$4:E75,"Yes"),"")</f>
        <v/>
      </c>
    </row>
    <row r="76" customFormat="false" ht="15" hidden="false" customHeight="false" outlineLevel="0" collapsed="false">
      <c r="A76" s="16"/>
      <c r="D76" s="12" t="str">
        <f aca="false">IF(C76="","",IFERROR(INDEX(Recipes!$B:$B,MATCH(C76,Recipes!$A:$A,0)),"⚠ unknown recipe_id"))</f>
        <v/>
      </c>
      <c r="K76" s="12" t="str">
        <f aca="false">IF(C76="","",IFERROR(INDEX(Recipes!$C:$C,MATCH(C76,Recipes!$A:$A,0)),""))</f>
        <v/>
      </c>
      <c r="L76" s="12" t="str">
        <f aca="false">IF(AND(A76='Grocery List'!$B$3,E76="Yes"),COUNTIFS($A$4:A76,'Grocery List'!$B$3,$E$4:E76,"Yes"),"")</f>
        <v/>
      </c>
    </row>
    <row r="77" customFormat="false" ht="15" hidden="false" customHeight="false" outlineLevel="0" collapsed="false">
      <c r="A77" s="16"/>
      <c r="D77" s="12" t="str">
        <f aca="false">IF(C77="","",IFERROR(INDEX(Recipes!$B:$B,MATCH(C77,Recipes!$A:$A,0)),"⚠ unknown recipe_id"))</f>
        <v/>
      </c>
      <c r="K77" s="12" t="str">
        <f aca="false">IF(C77="","",IFERROR(INDEX(Recipes!$C:$C,MATCH(C77,Recipes!$A:$A,0)),""))</f>
        <v/>
      </c>
      <c r="L77" s="12" t="str">
        <f aca="false">IF(AND(A77='Grocery List'!$B$3,E77="Yes"),COUNTIFS($A$4:A77,'Grocery List'!$B$3,$E$4:E77,"Yes"),"")</f>
        <v/>
      </c>
    </row>
    <row r="78" customFormat="false" ht="15" hidden="false" customHeight="false" outlineLevel="0" collapsed="false">
      <c r="A78" s="16"/>
      <c r="D78" s="12" t="str">
        <f aca="false">IF(C78="","",IFERROR(INDEX(Recipes!$B:$B,MATCH(C78,Recipes!$A:$A,0)),"⚠ unknown recipe_id"))</f>
        <v/>
      </c>
      <c r="K78" s="12" t="str">
        <f aca="false">IF(C78="","",IFERROR(INDEX(Recipes!$C:$C,MATCH(C78,Recipes!$A:$A,0)),""))</f>
        <v/>
      </c>
      <c r="L78" s="12" t="str">
        <f aca="false">IF(AND(A78='Grocery List'!$B$3,E78="Yes"),COUNTIFS($A$4:A78,'Grocery List'!$B$3,$E$4:E78,"Yes"),"")</f>
        <v/>
      </c>
    </row>
    <row r="79" customFormat="false" ht="15" hidden="false" customHeight="false" outlineLevel="0" collapsed="false">
      <c r="A79" s="16"/>
      <c r="D79" s="12" t="str">
        <f aca="false">IF(C79="","",IFERROR(INDEX(Recipes!$B:$B,MATCH(C79,Recipes!$A:$A,0)),"⚠ unknown recipe_id"))</f>
        <v/>
      </c>
      <c r="K79" s="12" t="str">
        <f aca="false">IF(C79="","",IFERROR(INDEX(Recipes!$C:$C,MATCH(C79,Recipes!$A:$A,0)),""))</f>
        <v/>
      </c>
      <c r="L79" s="12" t="str">
        <f aca="false">IF(AND(A79='Grocery List'!$B$3,E79="Yes"),COUNTIFS($A$4:A79,'Grocery List'!$B$3,$E$4:E79,"Yes"),"")</f>
        <v/>
      </c>
    </row>
    <row r="80" customFormat="false" ht="15" hidden="false" customHeight="false" outlineLevel="0" collapsed="false">
      <c r="A80" s="16"/>
      <c r="D80" s="12" t="str">
        <f aca="false">IF(C80="","",IFERROR(INDEX(Recipes!$B:$B,MATCH(C80,Recipes!$A:$A,0)),"⚠ unknown recipe_id"))</f>
        <v/>
      </c>
      <c r="K80" s="12" t="str">
        <f aca="false">IF(C80="","",IFERROR(INDEX(Recipes!$C:$C,MATCH(C80,Recipes!$A:$A,0)),""))</f>
        <v/>
      </c>
      <c r="L80" s="12" t="str">
        <f aca="false">IF(AND(A80='Grocery List'!$B$3,E80="Yes"),COUNTIFS($A$4:A80,'Grocery List'!$B$3,$E$4:E80,"Yes"),"")</f>
        <v/>
      </c>
    </row>
    <row r="81" customFormat="false" ht="15" hidden="false" customHeight="false" outlineLevel="0" collapsed="false">
      <c r="A81" s="16"/>
      <c r="D81" s="12" t="str">
        <f aca="false">IF(C81="","",IFERROR(INDEX(Recipes!$B:$B,MATCH(C81,Recipes!$A:$A,0)),"⚠ unknown recipe_id"))</f>
        <v/>
      </c>
      <c r="K81" s="12" t="str">
        <f aca="false">IF(C81="","",IFERROR(INDEX(Recipes!$C:$C,MATCH(C81,Recipes!$A:$A,0)),""))</f>
        <v/>
      </c>
      <c r="L81" s="12" t="str">
        <f aca="false">IF(AND(A81='Grocery List'!$B$3,E81="Yes"),COUNTIFS($A$4:A81,'Grocery List'!$B$3,$E$4:E81,"Yes"),"")</f>
        <v/>
      </c>
    </row>
    <row r="82" customFormat="false" ht="15" hidden="false" customHeight="false" outlineLevel="0" collapsed="false">
      <c r="A82" s="16"/>
      <c r="D82" s="12" t="str">
        <f aca="false">IF(C82="","",IFERROR(INDEX(Recipes!$B:$B,MATCH(C82,Recipes!$A:$A,0)),"⚠ unknown recipe_id"))</f>
        <v/>
      </c>
      <c r="K82" s="12" t="str">
        <f aca="false">IF(C82="","",IFERROR(INDEX(Recipes!$C:$C,MATCH(C82,Recipes!$A:$A,0)),""))</f>
        <v/>
      </c>
      <c r="L82" s="12" t="str">
        <f aca="false">IF(AND(A82='Grocery List'!$B$3,E82="Yes"),COUNTIFS($A$4:A82,'Grocery List'!$B$3,$E$4:E82,"Yes"),"")</f>
        <v/>
      </c>
    </row>
    <row r="83" customFormat="false" ht="15" hidden="false" customHeight="false" outlineLevel="0" collapsed="false">
      <c r="A83" s="16"/>
      <c r="D83" s="12" t="str">
        <f aca="false">IF(C83="","",IFERROR(INDEX(Recipes!$B:$B,MATCH(C83,Recipes!$A:$A,0)),"⚠ unknown recipe_id"))</f>
        <v/>
      </c>
      <c r="K83" s="12" t="str">
        <f aca="false">IF(C83="","",IFERROR(INDEX(Recipes!$C:$C,MATCH(C83,Recipes!$A:$A,0)),""))</f>
        <v/>
      </c>
      <c r="L83" s="12" t="str">
        <f aca="false">IF(AND(A83='Grocery List'!$B$3,E83="Yes"),COUNTIFS($A$4:A83,'Grocery List'!$B$3,$E$4:E83,"Yes"),"")</f>
        <v/>
      </c>
    </row>
    <row r="84" customFormat="false" ht="15" hidden="false" customHeight="false" outlineLevel="0" collapsed="false">
      <c r="A84" s="16"/>
      <c r="D84" s="12" t="str">
        <f aca="false">IF(C84="","",IFERROR(INDEX(Recipes!$B:$B,MATCH(C84,Recipes!$A:$A,0)),"⚠ unknown recipe_id"))</f>
        <v/>
      </c>
      <c r="K84" s="12" t="str">
        <f aca="false">IF(C84="","",IFERROR(INDEX(Recipes!$C:$C,MATCH(C84,Recipes!$A:$A,0)),""))</f>
        <v/>
      </c>
      <c r="L84" s="12" t="str">
        <f aca="false">IF(AND(A84='Grocery List'!$B$3,E84="Yes"),COUNTIFS($A$4:A84,'Grocery List'!$B$3,$E$4:E84,"Yes"),"")</f>
        <v/>
      </c>
    </row>
    <row r="85" customFormat="false" ht="15" hidden="false" customHeight="false" outlineLevel="0" collapsed="false">
      <c r="A85" s="16"/>
      <c r="D85" s="12" t="str">
        <f aca="false">IF(C85="","",IFERROR(INDEX(Recipes!$B:$B,MATCH(C85,Recipes!$A:$A,0)),"⚠ unknown recipe_id"))</f>
        <v/>
      </c>
      <c r="K85" s="12" t="str">
        <f aca="false">IF(C85="","",IFERROR(INDEX(Recipes!$C:$C,MATCH(C85,Recipes!$A:$A,0)),""))</f>
        <v/>
      </c>
      <c r="L85" s="12" t="str">
        <f aca="false">IF(AND(A85='Grocery List'!$B$3,E85="Yes"),COUNTIFS($A$4:A85,'Grocery List'!$B$3,$E$4:E85,"Yes"),"")</f>
        <v/>
      </c>
    </row>
    <row r="86" customFormat="false" ht="15" hidden="false" customHeight="false" outlineLevel="0" collapsed="false">
      <c r="A86" s="16"/>
      <c r="D86" s="12" t="str">
        <f aca="false">IF(C86="","",IFERROR(INDEX(Recipes!$B:$B,MATCH(C86,Recipes!$A:$A,0)),"⚠ unknown recipe_id"))</f>
        <v/>
      </c>
      <c r="K86" s="12" t="str">
        <f aca="false">IF(C86="","",IFERROR(INDEX(Recipes!$C:$C,MATCH(C86,Recipes!$A:$A,0)),""))</f>
        <v/>
      </c>
      <c r="L86" s="12" t="str">
        <f aca="false">IF(AND(A86='Grocery List'!$B$3,E86="Yes"),COUNTIFS($A$4:A86,'Grocery List'!$B$3,$E$4:E86,"Yes"),"")</f>
        <v/>
      </c>
    </row>
    <row r="87" customFormat="false" ht="15" hidden="false" customHeight="false" outlineLevel="0" collapsed="false">
      <c r="A87" s="16"/>
      <c r="D87" s="12" t="str">
        <f aca="false">IF(C87="","",IFERROR(INDEX(Recipes!$B:$B,MATCH(C87,Recipes!$A:$A,0)),"⚠ unknown recipe_id"))</f>
        <v/>
      </c>
      <c r="K87" s="12" t="str">
        <f aca="false">IF(C87="","",IFERROR(INDEX(Recipes!$C:$C,MATCH(C87,Recipes!$A:$A,0)),""))</f>
        <v/>
      </c>
      <c r="L87" s="12" t="str">
        <f aca="false">IF(AND(A87='Grocery List'!$B$3,E87="Yes"),COUNTIFS($A$4:A87,'Grocery List'!$B$3,$E$4:E87,"Yes"),"")</f>
        <v/>
      </c>
    </row>
    <row r="88" customFormat="false" ht="15" hidden="false" customHeight="false" outlineLevel="0" collapsed="false">
      <c r="A88" s="16"/>
      <c r="D88" s="12" t="str">
        <f aca="false">IF(C88="","",IFERROR(INDEX(Recipes!$B:$B,MATCH(C88,Recipes!$A:$A,0)),"⚠ unknown recipe_id"))</f>
        <v/>
      </c>
      <c r="K88" s="12" t="str">
        <f aca="false">IF(C88="","",IFERROR(INDEX(Recipes!$C:$C,MATCH(C88,Recipes!$A:$A,0)),""))</f>
        <v/>
      </c>
      <c r="L88" s="12" t="str">
        <f aca="false">IF(AND(A88='Grocery List'!$B$3,E88="Yes"),COUNTIFS($A$4:A88,'Grocery List'!$B$3,$E$4:E88,"Yes"),"")</f>
        <v/>
      </c>
    </row>
    <row r="89" customFormat="false" ht="15" hidden="false" customHeight="false" outlineLevel="0" collapsed="false">
      <c r="A89" s="16"/>
      <c r="D89" s="12" t="str">
        <f aca="false">IF(C89="","",IFERROR(INDEX(Recipes!$B:$B,MATCH(C89,Recipes!$A:$A,0)),"⚠ unknown recipe_id"))</f>
        <v/>
      </c>
      <c r="K89" s="12" t="str">
        <f aca="false">IF(C89="","",IFERROR(INDEX(Recipes!$C:$C,MATCH(C89,Recipes!$A:$A,0)),""))</f>
        <v/>
      </c>
      <c r="L89" s="12" t="str">
        <f aca="false">IF(AND(A89='Grocery List'!$B$3,E89="Yes"),COUNTIFS($A$4:A89,'Grocery List'!$B$3,$E$4:E89,"Yes"),"")</f>
        <v/>
      </c>
    </row>
    <row r="90" customFormat="false" ht="15" hidden="false" customHeight="false" outlineLevel="0" collapsed="false">
      <c r="A90" s="16"/>
      <c r="D90" s="12" t="str">
        <f aca="false">IF(C90="","",IFERROR(INDEX(Recipes!$B:$B,MATCH(C90,Recipes!$A:$A,0)),"⚠ unknown recipe_id"))</f>
        <v/>
      </c>
      <c r="K90" s="12" t="str">
        <f aca="false">IF(C90="","",IFERROR(INDEX(Recipes!$C:$C,MATCH(C90,Recipes!$A:$A,0)),""))</f>
        <v/>
      </c>
      <c r="L90" s="12" t="str">
        <f aca="false">IF(AND(A90='Grocery List'!$B$3,E90="Yes"),COUNTIFS($A$4:A90,'Grocery List'!$B$3,$E$4:E90,"Yes"),"")</f>
        <v/>
      </c>
    </row>
    <row r="91" customFormat="false" ht="15" hidden="false" customHeight="false" outlineLevel="0" collapsed="false">
      <c r="A91" s="16"/>
      <c r="D91" s="12" t="str">
        <f aca="false">IF(C91="","",IFERROR(INDEX(Recipes!$B:$B,MATCH(C91,Recipes!$A:$A,0)),"⚠ unknown recipe_id"))</f>
        <v/>
      </c>
      <c r="K91" s="12" t="str">
        <f aca="false">IF(C91="","",IFERROR(INDEX(Recipes!$C:$C,MATCH(C91,Recipes!$A:$A,0)),""))</f>
        <v/>
      </c>
      <c r="L91" s="12" t="str">
        <f aca="false">IF(AND(A91='Grocery List'!$B$3,E91="Yes"),COUNTIFS($A$4:A91,'Grocery List'!$B$3,$E$4:E91,"Yes"),"")</f>
        <v/>
      </c>
    </row>
    <row r="92" customFormat="false" ht="15" hidden="false" customHeight="false" outlineLevel="0" collapsed="false">
      <c r="A92" s="16"/>
      <c r="D92" s="12" t="str">
        <f aca="false">IF(C92="","",IFERROR(INDEX(Recipes!$B:$B,MATCH(C92,Recipes!$A:$A,0)),"⚠ unknown recipe_id"))</f>
        <v/>
      </c>
      <c r="K92" s="12" t="str">
        <f aca="false">IF(C92="","",IFERROR(INDEX(Recipes!$C:$C,MATCH(C92,Recipes!$A:$A,0)),""))</f>
        <v/>
      </c>
      <c r="L92" s="12" t="str">
        <f aca="false">IF(AND(A92='Grocery List'!$B$3,E92="Yes"),COUNTIFS($A$4:A92,'Grocery List'!$B$3,$E$4:E92,"Yes"),"")</f>
        <v/>
      </c>
    </row>
    <row r="93" customFormat="false" ht="15" hidden="false" customHeight="false" outlineLevel="0" collapsed="false">
      <c r="A93" s="16"/>
      <c r="D93" s="12" t="str">
        <f aca="false">IF(C93="","",IFERROR(INDEX(Recipes!$B:$B,MATCH(C93,Recipes!$A:$A,0)),"⚠ unknown recipe_id"))</f>
        <v/>
      </c>
      <c r="K93" s="12" t="str">
        <f aca="false">IF(C93="","",IFERROR(INDEX(Recipes!$C:$C,MATCH(C93,Recipes!$A:$A,0)),""))</f>
        <v/>
      </c>
      <c r="L93" s="12" t="str">
        <f aca="false">IF(AND(A93='Grocery List'!$B$3,E93="Yes"),COUNTIFS($A$4:A93,'Grocery List'!$B$3,$E$4:E93,"Yes"),"")</f>
        <v/>
      </c>
    </row>
    <row r="94" customFormat="false" ht="15" hidden="false" customHeight="false" outlineLevel="0" collapsed="false">
      <c r="A94" s="16"/>
      <c r="D94" s="12" t="str">
        <f aca="false">IF(C94="","",IFERROR(INDEX(Recipes!$B:$B,MATCH(C94,Recipes!$A:$A,0)),"⚠ unknown recipe_id"))</f>
        <v/>
      </c>
      <c r="K94" s="12" t="str">
        <f aca="false">IF(C94="","",IFERROR(INDEX(Recipes!$C:$C,MATCH(C94,Recipes!$A:$A,0)),""))</f>
        <v/>
      </c>
      <c r="L94" s="12" t="str">
        <f aca="false">IF(AND(A94='Grocery List'!$B$3,E94="Yes"),COUNTIFS($A$4:A94,'Grocery List'!$B$3,$E$4:E94,"Yes"),"")</f>
        <v/>
      </c>
    </row>
    <row r="95" customFormat="false" ht="15" hidden="false" customHeight="false" outlineLevel="0" collapsed="false">
      <c r="A95" s="16"/>
      <c r="D95" s="12" t="str">
        <f aca="false">IF(C95="","",IFERROR(INDEX(Recipes!$B:$B,MATCH(C95,Recipes!$A:$A,0)),"⚠ unknown recipe_id"))</f>
        <v/>
      </c>
      <c r="K95" s="12" t="str">
        <f aca="false">IF(C95="","",IFERROR(INDEX(Recipes!$C:$C,MATCH(C95,Recipes!$A:$A,0)),""))</f>
        <v/>
      </c>
      <c r="L95" s="12" t="str">
        <f aca="false">IF(AND(A95='Grocery List'!$B$3,E95="Yes"),COUNTIFS($A$4:A95,'Grocery List'!$B$3,$E$4:E95,"Yes"),"")</f>
        <v/>
      </c>
    </row>
    <row r="96" customFormat="false" ht="15" hidden="false" customHeight="false" outlineLevel="0" collapsed="false">
      <c r="A96" s="16"/>
      <c r="D96" s="12" t="str">
        <f aca="false">IF(C96="","",IFERROR(INDEX(Recipes!$B:$B,MATCH(C96,Recipes!$A:$A,0)),"⚠ unknown recipe_id"))</f>
        <v/>
      </c>
      <c r="K96" s="12" t="str">
        <f aca="false">IF(C96="","",IFERROR(INDEX(Recipes!$C:$C,MATCH(C96,Recipes!$A:$A,0)),""))</f>
        <v/>
      </c>
      <c r="L96" s="12" t="str">
        <f aca="false">IF(AND(A96='Grocery List'!$B$3,E96="Yes"),COUNTIFS($A$4:A96,'Grocery List'!$B$3,$E$4:E96,"Yes"),"")</f>
        <v/>
      </c>
    </row>
    <row r="97" customFormat="false" ht="15" hidden="false" customHeight="false" outlineLevel="0" collapsed="false">
      <c r="A97" s="16"/>
      <c r="D97" s="12" t="str">
        <f aca="false">IF(C97="","",IFERROR(INDEX(Recipes!$B:$B,MATCH(C97,Recipes!$A:$A,0)),"⚠ unknown recipe_id"))</f>
        <v/>
      </c>
      <c r="K97" s="12" t="str">
        <f aca="false">IF(C97="","",IFERROR(INDEX(Recipes!$C:$C,MATCH(C97,Recipes!$A:$A,0)),""))</f>
        <v/>
      </c>
      <c r="L97" s="12" t="str">
        <f aca="false">IF(AND(A97='Grocery List'!$B$3,E97="Yes"),COUNTIFS($A$4:A97,'Grocery List'!$B$3,$E$4:E97,"Yes"),"")</f>
        <v/>
      </c>
    </row>
    <row r="98" customFormat="false" ht="15" hidden="false" customHeight="false" outlineLevel="0" collapsed="false">
      <c r="A98" s="16"/>
      <c r="D98" s="12" t="str">
        <f aca="false">IF(C98="","",IFERROR(INDEX(Recipes!$B:$B,MATCH(C98,Recipes!$A:$A,0)),"⚠ unknown recipe_id"))</f>
        <v/>
      </c>
      <c r="K98" s="12" t="str">
        <f aca="false">IF(C98="","",IFERROR(INDEX(Recipes!$C:$C,MATCH(C98,Recipes!$A:$A,0)),""))</f>
        <v/>
      </c>
      <c r="L98" s="12" t="str">
        <f aca="false">IF(AND(A98='Grocery List'!$B$3,E98="Yes"),COUNTIFS($A$4:A98,'Grocery List'!$B$3,$E$4:E98,"Yes"),"")</f>
        <v/>
      </c>
    </row>
    <row r="99" customFormat="false" ht="15" hidden="false" customHeight="false" outlineLevel="0" collapsed="false">
      <c r="A99" s="16"/>
      <c r="D99" s="12" t="str">
        <f aca="false">IF(C99="","",IFERROR(INDEX(Recipes!$B:$B,MATCH(C99,Recipes!$A:$A,0)),"⚠ unknown recipe_id"))</f>
        <v/>
      </c>
      <c r="K99" s="12" t="str">
        <f aca="false">IF(C99="","",IFERROR(INDEX(Recipes!$C:$C,MATCH(C99,Recipes!$A:$A,0)),""))</f>
        <v/>
      </c>
      <c r="L99" s="12" t="str">
        <f aca="false">IF(AND(A99='Grocery List'!$B$3,E99="Yes"),COUNTIFS($A$4:A99,'Grocery List'!$B$3,$E$4:E99,"Yes"),"")</f>
        <v/>
      </c>
    </row>
    <row r="100" customFormat="false" ht="15" hidden="false" customHeight="false" outlineLevel="0" collapsed="false">
      <c r="A100" s="16"/>
      <c r="D100" s="12" t="str">
        <f aca="false">IF(C100="","",IFERROR(INDEX(Recipes!$B:$B,MATCH(C100,Recipes!$A:$A,0)),"⚠ unknown recipe_id"))</f>
        <v/>
      </c>
      <c r="K100" s="12" t="str">
        <f aca="false">IF(C100="","",IFERROR(INDEX(Recipes!$C:$C,MATCH(C100,Recipes!$A:$A,0)),""))</f>
        <v/>
      </c>
      <c r="L100" s="12" t="str">
        <f aca="false">IF(AND(A100='Grocery List'!$B$3,E100="Yes"),COUNTIFS($A$4:A100,'Grocery List'!$B$3,$E$4:E100,"Yes"),"")</f>
        <v/>
      </c>
    </row>
    <row r="101" customFormat="false" ht="15" hidden="false" customHeight="false" outlineLevel="0" collapsed="false">
      <c r="A101" s="16"/>
      <c r="D101" s="12" t="str">
        <f aca="false">IF(C101="","",IFERROR(INDEX(Recipes!$B:$B,MATCH(C101,Recipes!$A:$A,0)),"⚠ unknown recipe_id"))</f>
        <v/>
      </c>
      <c r="K101" s="12" t="str">
        <f aca="false">IF(C101="","",IFERROR(INDEX(Recipes!$C:$C,MATCH(C101,Recipes!$A:$A,0)),""))</f>
        <v/>
      </c>
      <c r="L101" s="12" t="str">
        <f aca="false">IF(AND(A101='Grocery List'!$B$3,E101="Yes"),COUNTIFS($A$4:A101,'Grocery List'!$B$3,$E$4:E101,"Yes"),"")</f>
        <v/>
      </c>
    </row>
    <row r="102" customFormat="false" ht="15" hidden="false" customHeight="false" outlineLevel="0" collapsed="false">
      <c r="A102" s="16"/>
      <c r="D102" s="12" t="str">
        <f aca="false">IF(C102="","",IFERROR(INDEX(Recipes!$B:$B,MATCH(C102,Recipes!$A:$A,0)),"⚠ unknown recipe_id"))</f>
        <v/>
      </c>
      <c r="K102" s="12" t="str">
        <f aca="false">IF(C102="","",IFERROR(INDEX(Recipes!$C:$C,MATCH(C102,Recipes!$A:$A,0)),""))</f>
        <v/>
      </c>
      <c r="L102" s="12" t="str">
        <f aca="false">IF(AND(A102='Grocery List'!$B$3,E102="Yes"),COUNTIFS($A$4:A102,'Grocery List'!$B$3,$E$4:E102,"Yes"),"")</f>
        <v/>
      </c>
    </row>
    <row r="103" customFormat="false" ht="15" hidden="false" customHeight="false" outlineLevel="0" collapsed="false">
      <c r="A103" s="16"/>
      <c r="D103" s="12" t="str">
        <f aca="false">IF(C103="","",IFERROR(INDEX(Recipes!$B:$B,MATCH(C103,Recipes!$A:$A,0)),"⚠ unknown recipe_id"))</f>
        <v/>
      </c>
      <c r="K103" s="12" t="str">
        <f aca="false">IF(C103="","",IFERROR(INDEX(Recipes!$C:$C,MATCH(C103,Recipes!$A:$A,0)),""))</f>
        <v/>
      </c>
      <c r="L103" s="12" t="str">
        <f aca="false">IF(AND(A103='Grocery List'!$B$3,E103="Yes"),COUNTIFS($A$4:A103,'Grocery List'!$B$3,$E$4:E103,"Yes"),"")</f>
        <v/>
      </c>
    </row>
    <row r="104" customFormat="false" ht="15" hidden="false" customHeight="false" outlineLevel="0" collapsed="false">
      <c r="A104" s="16"/>
      <c r="D104" s="12" t="str">
        <f aca="false">IF(C104="","",IFERROR(INDEX(Recipes!$B:$B,MATCH(C104,Recipes!$A:$A,0)),"⚠ unknown recipe_id"))</f>
        <v/>
      </c>
      <c r="K104" s="12" t="str">
        <f aca="false">IF(C104="","",IFERROR(INDEX(Recipes!$C:$C,MATCH(C104,Recipes!$A:$A,0)),""))</f>
        <v/>
      </c>
      <c r="L104" s="12" t="str">
        <f aca="false">IF(AND(A104='Grocery List'!$B$3,E104="Yes"),COUNTIFS($A$4:A104,'Grocery List'!$B$3,$E$4:E104,"Yes"),"")</f>
        <v/>
      </c>
    </row>
    <row r="105" customFormat="false" ht="15" hidden="false" customHeight="false" outlineLevel="0" collapsed="false">
      <c r="A105" s="16"/>
      <c r="D105" s="12" t="str">
        <f aca="false">IF(C105="","",IFERROR(INDEX(Recipes!$B:$B,MATCH(C105,Recipes!$A:$A,0)),"⚠ unknown recipe_id"))</f>
        <v/>
      </c>
      <c r="K105" s="12" t="str">
        <f aca="false">IF(C105="","",IFERROR(INDEX(Recipes!$C:$C,MATCH(C105,Recipes!$A:$A,0)),""))</f>
        <v/>
      </c>
      <c r="L105" s="12" t="str">
        <f aca="false">IF(AND(A105='Grocery List'!$B$3,E105="Yes"),COUNTIFS($A$4:A105,'Grocery List'!$B$3,$E$4:E105,"Yes"),"")</f>
        <v/>
      </c>
    </row>
    <row r="106" customFormat="false" ht="15" hidden="false" customHeight="false" outlineLevel="0" collapsed="false">
      <c r="A106" s="16"/>
      <c r="D106" s="12" t="str">
        <f aca="false">IF(C106="","",IFERROR(INDEX(Recipes!$B:$B,MATCH(C106,Recipes!$A:$A,0)),"⚠ unknown recipe_id"))</f>
        <v/>
      </c>
      <c r="K106" s="12" t="str">
        <f aca="false">IF(C106="","",IFERROR(INDEX(Recipes!$C:$C,MATCH(C106,Recipes!$A:$A,0)),""))</f>
        <v/>
      </c>
      <c r="L106" s="12" t="str">
        <f aca="false">IF(AND(A106='Grocery List'!$B$3,E106="Yes"),COUNTIFS($A$4:A106,'Grocery List'!$B$3,$E$4:E106,"Yes"),"")</f>
        <v/>
      </c>
    </row>
    <row r="107" customFormat="false" ht="15" hidden="false" customHeight="false" outlineLevel="0" collapsed="false">
      <c r="A107" s="16"/>
      <c r="D107" s="12" t="str">
        <f aca="false">IF(C107="","",IFERROR(INDEX(Recipes!$B:$B,MATCH(C107,Recipes!$A:$A,0)),"⚠ unknown recipe_id"))</f>
        <v/>
      </c>
      <c r="K107" s="12" t="str">
        <f aca="false">IF(C107="","",IFERROR(INDEX(Recipes!$C:$C,MATCH(C107,Recipes!$A:$A,0)),""))</f>
        <v/>
      </c>
      <c r="L107" s="12" t="str">
        <f aca="false">IF(AND(A107='Grocery List'!$B$3,E107="Yes"),COUNTIFS($A$4:A107,'Grocery List'!$B$3,$E$4:E107,"Yes"),"")</f>
        <v/>
      </c>
    </row>
    <row r="108" customFormat="false" ht="15" hidden="false" customHeight="false" outlineLevel="0" collapsed="false">
      <c r="A108" s="16"/>
      <c r="D108" s="12" t="str">
        <f aca="false">IF(C108="","",IFERROR(INDEX(Recipes!$B:$B,MATCH(C108,Recipes!$A:$A,0)),"⚠ unknown recipe_id"))</f>
        <v/>
      </c>
      <c r="K108" s="12" t="str">
        <f aca="false">IF(C108="","",IFERROR(INDEX(Recipes!$C:$C,MATCH(C108,Recipes!$A:$A,0)),""))</f>
        <v/>
      </c>
      <c r="L108" s="12" t="str">
        <f aca="false">IF(AND(A108='Grocery List'!$B$3,E108="Yes"),COUNTIFS($A$4:A108,'Grocery List'!$B$3,$E$4:E108,"Yes"),"")</f>
        <v/>
      </c>
    </row>
    <row r="109" customFormat="false" ht="15" hidden="false" customHeight="false" outlineLevel="0" collapsed="false">
      <c r="A109" s="16"/>
      <c r="D109" s="12" t="str">
        <f aca="false">IF(C109="","",IFERROR(INDEX(Recipes!$B:$B,MATCH(C109,Recipes!$A:$A,0)),"⚠ unknown recipe_id"))</f>
        <v/>
      </c>
      <c r="K109" s="12" t="str">
        <f aca="false">IF(C109="","",IFERROR(INDEX(Recipes!$C:$C,MATCH(C109,Recipes!$A:$A,0)),""))</f>
        <v/>
      </c>
      <c r="L109" s="12" t="str">
        <f aca="false">IF(AND(A109='Grocery List'!$B$3,E109="Yes"),COUNTIFS($A$4:A109,'Grocery List'!$B$3,$E$4:E109,"Yes"),"")</f>
        <v/>
      </c>
    </row>
    <row r="110" customFormat="false" ht="15" hidden="false" customHeight="false" outlineLevel="0" collapsed="false">
      <c r="A110" s="16"/>
      <c r="D110" s="12" t="str">
        <f aca="false">IF(C110="","",IFERROR(INDEX(Recipes!$B:$B,MATCH(C110,Recipes!$A:$A,0)),"⚠ unknown recipe_id"))</f>
        <v/>
      </c>
      <c r="K110" s="12" t="str">
        <f aca="false">IF(C110="","",IFERROR(INDEX(Recipes!$C:$C,MATCH(C110,Recipes!$A:$A,0)),""))</f>
        <v/>
      </c>
      <c r="L110" s="12" t="str">
        <f aca="false">IF(AND(A110='Grocery List'!$B$3,E110="Yes"),COUNTIFS($A$4:A110,'Grocery List'!$B$3,$E$4:E110,"Yes"),"")</f>
        <v/>
      </c>
    </row>
    <row r="111" customFormat="false" ht="15" hidden="false" customHeight="false" outlineLevel="0" collapsed="false">
      <c r="A111" s="16"/>
      <c r="D111" s="12" t="str">
        <f aca="false">IF(C111="","",IFERROR(INDEX(Recipes!$B:$B,MATCH(C111,Recipes!$A:$A,0)),"⚠ unknown recipe_id"))</f>
        <v/>
      </c>
      <c r="K111" s="12" t="str">
        <f aca="false">IF(C111="","",IFERROR(INDEX(Recipes!$C:$C,MATCH(C111,Recipes!$A:$A,0)),""))</f>
        <v/>
      </c>
      <c r="L111" s="12" t="str">
        <f aca="false">IF(AND(A111='Grocery List'!$B$3,E111="Yes"),COUNTIFS($A$4:A111,'Grocery List'!$B$3,$E$4:E111,"Yes"),"")</f>
        <v/>
      </c>
    </row>
    <row r="112" customFormat="false" ht="15" hidden="false" customHeight="false" outlineLevel="0" collapsed="false">
      <c r="A112" s="16"/>
      <c r="D112" s="12" t="str">
        <f aca="false">IF(C112="","",IFERROR(INDEX(Recipes!$B:$B,MATCH(C112,Recipes!$A:$A,0)),"⚠ unknown recipe_id"))</f>
        <v/>
      </c>
      <c r="K112" s="12" t="str">
        <f aca="false">IF(C112="","",IFERROR(INDEX(Recipes!$C:$C,MATCH(C112,Recipes!$A:$A,0)),""))</f>
        <v/>
      </c>
      <c r="L112" s="12" t="str">
        <f aca="false">IF(AND(A112='Grocery List'!$B$3,E112="Yes"),COUNTIFS($A$4:A112,'Grocery List'!$B$3,$E$4:E112,"Yes"),"")</f>
        <v/>
      </c>
    </row>
    <row r="113" customFormat="false" ht="15" hidden="false" customHeight="false" outlineLevel="0" collapsed="false">
      <c r="A113" s="16"/>
      <c r="D113" s="12" t="str">
        <f aca="false">IF(C113="","",IFERROR(INDEX(Recipes!$B:$B,MATCH(C113,Recipes!$A:$A,0)),"⚠ unknown recipe_id"))</f>
        <v/>
      </c>
      <c r="K113" s="12" t="str">
        <f aca="false">IF(C113="","",IFERROR(INDEX(Recipes!$C:$C,MATCH(C113,Recipes!$A:$A,0)),""))</f>
        <v/>
      </c>
      <c r="L113" s="12" t="str">
        <f aca="false">IF(AND(A113='Grocery List'!$B$3,E113="Yes"),COUNTIFS($A$4:A113,'Grocery List'!$B$3,$E$4:E113,"Yes"),"")</f>
        <v/>
      </c>
    </row>
    <row r="114" customFormat="false" ht="15" hidden="false" customHeight="false" outlineLevel="0" collapsed="false">
      <c r="A114" s="16"/>
      <c r="D114" s="12" t="str">
        <f aca="false">IF(C114="","",IFERROR(INDEX(Recipes!$B:$B,MATCH(C114,Recipes!$A:$A,0)),"⚠ unknown recipe_id"))</f>
        <v/>
      </c>
      <c r="K114" s="12" t="str">
        <f aca="false">IF(C114="","",IFERROR(INDEX(Recipes!$C:$C,MATCH(C114,Recipes!$A:$A,0)),""))</f>
        <v/>
      </c>
      <c r="L114" s="12" t="str">
        <f aca="false">IF(AND(A114='Grocery List'!$B$3,E114="Yes"),COUNTIFS($A$4:A114,'Grocery List'!$B$3,$E$4:E114,"Yes"),"")</f>
        <v/>
      </c>
    </row>
    <row r="115" customFormat="false" ht="15" hidden="false" customHeight="false" outlineLevel="0" collapsed="false">
      <c r="A115" s="16"/>
      <c r="D115" s="12" t="str">
        <f aca="false">IF(C115="","",IFERROR(INDEX(Recipes!$B:$B,MATCH(C115,Recipes!$A:$A,0)),"⚠ unknown recipe_id"))</f>
        <v/>
      </c>
      <c r="K115" s="12" t="str">
        <f aca="false">IF(C115="","",IFERROR(INDEX(Recipes!$C:$C,MATCH(C115,Recipes!$A:$A,0)),""))</f>
        <v/>
      </c>
      <c r="L115" s="12" t="str">
        <f aca="false">IF(AND(A115='Grocery List'!$B$3,E115="Yes"),COUNTIFS($A$4:A115,'Grocery List'!$B$3,$E$4:E115,"Yes"),"")</f>
        <v/>
      </c>
    </row>
    <row r="116" customFormat="false" ht="15" hidden="false" customHeight="false" outlineLevel="0" collapsed="false">
      <c r="A116" s="16"/>
      <c r="D116" s="12" t="str">
        <f aca="false">IF(C116="","",IFERROR(INDEX(Recipes!$B:$B,MATCH(C116,Recipes!$A:$A,0)),"⚠ unknown recipe_id"))</f>
        <v/>
      </c>
      <c r="K116" s="12" t="str">
        <f aca="false">IF(C116="","",IFERROR(INDEX(Recipes!$C:$C,MATCH(C116,Recipes!$A:$A,0)),""))</f>
        <v/>
      </c>
      <c r="L116" s="12" t="str">
        <f aca="false">IF(AND(A116='Grocery List'!$B$3,E116="Yes"),COUNTIFS($A$4:A116,'Grocery List'!$B$3,$E$4:E116,"Yes"),"")</f>
        <v/>
      </c>
    </row>
    <row r="117" customFormat="false" ht="15" hidden="false" customHeight="false" outlineLevel="0" collapsed="false">
      <c r="A117" s="16"/>
      <c r="D117" s="12" t="str">
        <f aca="false">IF(C117="","",IFERROR(INDEX(Recipes!$B:$B,MATCH(C117,Recipes!$A:$A,0)),"⚠ unknown recipe_id"))</f>
        <v/>
      </c>
      <c r="K117" s="12" t="str">
        <f aca="false">IF(C117="","",IFERROR(INDEX(Recipes!$C:$C,MATCH(C117,Recipes!$A:$A,0)),""))</f>
        <v/>
      </c>
      <c r="L117" s="12" t="str">
        <f aca="false">IF(AND(A117='Grocery List'!$B$3,E117="Yes"),COUNTIFS($A$4:A117,'Grocery List'!$B$3,$E$4:E117,"Yes"),"")</f>
        <v/>
      </c>
    </row>
    <row r="118" customFormat="false" ht="15" hidden="false" customHeight="false" outlineLevel="0" collapsed="false">
      <c r="A118" s="16"/>
      <c r="D118" s="12" t="str">
        <f aca="false">IF(C118="","",IFERROR(INDEX(Recipes!$B:$B,MATCH(C118,Recipes!$A:$A,0)),"⚠ unknown recipe_id"))</f>
        <v/>
      </c>
      <c r="K118" s="12" t="str">
        <f aca="false">IF(C118="","",IFERROR(INDEX(Recipes!$C:$C,MATCH(C118,Recipes!$A:$A,0)),""))</f>
        <v/>
      </c>
      <c r="L118" s="12" t="str">
        <f aca="false">IF(AND(A118='Grocery List'!$B$3,E118="Yes"),COUNTIFS($A$4:A118,'Grocery List'!$B$3,$E$4:E118,"Yes"),"")</f>
        <v/>
      </c>
    </row>
    <row r="119" customFormat="false" ht="15" hidden="false" customHeight="false" outlineLevel="0" collapsed="false">
      <c r="A119" s="16"/>
      <c r="D119" s="12" t="str">
        <f aca="false">IF(C119="","",IFERROR(INDEX(Recipes!$B:$B,MATCH(C119,Recipes!$A:$A,0)),"⚠ unknown recipe_id"))</f>
        <v/>
      </c>
      <c r="K119" s="12" t="str">
        <f aca="false">IF(C119="","",IFERROR(INDEX(Recipes!$C:$C,MATCH(C119,Recipes!$A:$A,0)),""))</f>
        <v/>
      </c>
      <c r="L119" s="12" t="str">
        <f aca="false">IF(AND(A119='Grocery List'!$B$3,E119="Yes"),COUNTIFS($A$4:A119,'Grocery List'!$B$3,$E$4:E119,"Yes"),"")</f>
        <v/>
      </c>
    </row>
    <row r="120" customFormat="false" ht="15" hidden="false" customHeight="false" outlineLevel="0" collapsed="false">
      <c r="A120" s="16"/>
      <c r="D120" s="12" t="str">
        <f aca="false">IF(C120="","",IFERROR(INDEX(Recipes!$B:$B,MATCH(C120,Recipes!$A:$A,0)),"⚠ unknown recipe_id"))</f>
        <v/>
      </c>
      <c r="K120" s="12" t="str">
        <f aca="false">IF(C120="","",IFERROR(INDEX(Recipes!$C:$C,MATCH(C120,Recipes!$A:$A,0)),""))</f>
        <v/>
      </c>
      <c r="L120" s="12" t="str">
        <f aca="false">IF(AND(A120='Grocery List'!$B$3,E120="Yes"),COUNTIFS($A$4:A120,'Grocery List'!$B$3,$E$4:E120,"Yes"),"")</f>
        <v/>
      </c>
    </row>
    <row r="121" customFormat="false" ht="15" hidden="false" customHeight="false" outlineLevel="0" collapsed="false">
      <c r="A121" s="16"/>
      <c r="D121" s="12" t="str">
        <f aca="false">IF(C121="","",IFERROR(INDEX(Recipes!$B:$B,MATCH(C121,Recipes!$A:$A,0)),"⚠ unknown recipe_id"))</f>
        <v/>
      </c>
      <c r="K121" s="12" t="str">
        <f aca="false">IF(C121="","",IFERROR(INDEX(Recipes!$C:$C,MATCH(C121,Recipes!$A:$A,0)),""))</f>
        <v/>
      </c>
      <c r="L121" s="12" t="str">
        <f aca="false">IF(AND(A121='Grocery List'!$B$3,E121="Yes"),COUNTIFS($A$4:A121,'Grocery List'!$B$3,$E$4:E121,"Yes"),"")</f>
        <v/>
      </c>
    </row>
    <row r="122" customFormat="false" ht="15" hidden="false" customHeight="false" outlineLevel="0" collapsed="false">
      <c r="A122" s="16"/>
      <c r="D122" s="12" t="str">
        <f aca="false">IF(C122="","",IFERROR(INDEX(Recipes!$B:$B,MATCH(C122,Recipes!$A:$A,0)),"⚠ unknown recipe_id"))</f>
        <v/>
      </c>
      <c r="K122" s="12" t="str">
        <f aca="false">IF(C122="","",IFERROR(INDEX(Recipes!$C:$C,MATCH(C122,Recipes!$A:$A,0)),""))</f>
        <v/>
      </c>
      <c r="L122" s="12" t="str">
        <f aca="false">IF(AND(A122='Grocery List'!$B$3,E122="Yes"),COUNTIFS($A$4:A122,'Grocery List'!$B$3,$E$4:E122,"Yes"),"")</f>
        <v/>
      </c>
    </row>
    <row r="123" customFormat="false" ht="15" hidden="false" customHeight="false" outlineLevel="0" collapsed="false">
      <c r="A123" s="16"/>
      <c r="D123" s="12" t="str">
        <f aca="false">IF(C123="","",IFERROR(INDEX(Recipes!$B:$B,MATCH(C123,Recipes!$A:$A,0)),"⚠ unknown recipe_id"))</f>
        <v/>
      </c>
      <c r="K123" s="12" t="str">
        <f aca="false">IF(C123="","",IFERROR(INDEX(Recipes!$C:$C,MATCH(C123,Recipes!$A:$A,0)),""))</f>
        <v/>
      </c>
      <c r="L123" s="12" t="str">
        <f aca="false">IF(AND(A123='Grocery List'!$B$3,E123="Yes"),COUNTIFS($A$4:A123,'Grocery List'!$B$3,$E$4:E123,"Yes"),"")</f>
        <v/>
      </c>
    </row>
    <row r="124" customFormat="false" ht="15" hidden="false" customHeight="false" outlineLevel="0" collapsed="false">
      <c r="A124" s="16"/>
      <c r="D124" s="12" t="str">
        <f aca="false">IF(C124="","",IFERROR(INDEX(Recipes!$B:$B,MATCH(C124,Recipes!$A:$A,0)),"⚠ unknown recipe_id"))</f>
        <v/>
      </c>
      <c r="K124" s="12" t="str">
        <f aca="false">IF(C124="","",IFERROR(INDEX(Recipes!$C:$C,MATCH(C124,Recipes!$A:$A,0)),""))</f>
        <v/>
      </c>
      <c r="L124" s="12" t="str">
        <f aca="false">IF(AND(A124='Grocery List'!$B$3,E124="Yes"),COUNTIFS($A$4:A124,'Grocery List'!$B$3,$E$4:E124,"Yes"),"")</f>
        <v/>
      </c>
    </row>
    <row r="125" customFormat="false" ht="15" hidden="false" customHeight="false" outlineLevel="0" collapsed="false">
      <c r="A125" s="16"/>
      <c r="D125" s="12" t="str">
        <f aca="false">IF(C125="","",IFERROR(INDEX(Recipes!$B:$B,MATCH(C125,Recipes!$A:$A,0)),"⚠ unknown recipe_id"))</f>
        <v/>
      </c>
      <c r="K125" s="12" t="str">
        <f aca="false">IF(C125="","",IFERROR(INDEX(Recipes!$C:$C,MATCH(C125,Recipes!$A:$A,0)),""))</f>
        <v/>
      </c>
      <c r="L125" s="12" t="str">
        <f aca="false">IF(AND(A125='Grocery List'!$B$3,E125="Yes"),COUNTIFS($A$4:A125,'Grocery List'!$B$3,$E$4:E125,"Yes"),"")</f>
        <v/>
      </c>
    </row>
    <row r="126" customFormat="false" ht="15" hidden="false" customHeight="false" outlineLevel="0" collapsed="false">
      <c r="A126" s="16"/>
      <c r="D126" s="12" t="str">
        <f aca="false">IF(C126="","",IFERROR(INDEX(Recipes!$B:$B,MATCH(C126,Recipes!$A:$A,0)),"⚠ unknown recipe_id"))</f>
        <v/>
      </c>
      <c r="K126" s="12" t="str">
        <f aca="false">IF(C126="","",IFERROR(INDEX(Recipes!$C:$C,MATCH(C126,Recipes!$A:$A,0)),""))</f>
        <v/>
      </c>
      <c r="L126" s="12" t="str">
        <f aca="false">IF(AND(A126='Grocery List'!$B$3,E126="Yes"),COUNTIFS($A$4:A126,'Grocery List'!$B$3,$E$4:E126,"Yes"),"")</f>
        <v/>
      </c>
    </row>
    <row r="127" customFormat="false" ht="15" hidden="false" customHeight="false" outlineLevel="0" collapsed="false">
      <c r="A127" s="16"/>
      <c r="D127" s="12" t="str">
        <f aca="false">IF(C127="","",IFERROR(INDEX(Recipes!$B:$B,MATCH(C127,Recipes!$A:$A,0)),"⚠ unknown recipe_id"))</f>
        <v/>
      </c>
      <c r="K127" s="12" t="str">
        <f aca="false">IF(C127="","",IFERROR(INDEX(Recipes!$C:$C,MATCH(C127,Recipes!$A:$A,0)),""))</f>
        <v/>
      </c>
      <c r="L127" s="12" t="str">
        <f aca="false">IF(AND(A127='Grocery List'!$B$3,E127="Yes"),COUNTIFS($A$4:A127,'Grocery List'!$B$3,$E$4:E127,"Yes"),"")</f>
        <v/>
      </c>
    </row>
    <row r="128" customFormat="false" ht="15" hidden="false" customHeight="false" outlineLevel="0" collapsed="false">
      <c r="A128" s="16"/>
      <c r="D128" s="12" t="str">
        <f aca="false">IF(C128="","",IFERROR(INDEX(Recipes!$B:$B,MATCH(C128,Recipes!$A:$A,0)),"⚠ unknown recipe_id"))</f>
        <v/>
      </c>
      <c r="K128" s="12" t="str">
        <f aca="false">IF(C128="","",IFERROR(INDEX(Recipes!$C:$C,MATCH(C128,Recipes!$A:$A,0)),""))</f>
        <v/>
      </c>
      <c r="L128" s="12" t="str">
        <f aca="false">IF(AND(A128='Grocery List'!$B$3,E128="Yes"),COUNTIFS($A$4:A128,'Grocery List'!$B$3,$E$4:E128,"Yes"),"")</f>
        <v/>
      </c>
    </row>
    <row r="129" customFormat="false" ht="15" hidden="false" customHeight="false" outlineLevel="0" collapsed="false">
      <c r="A129" s="16"/>
      <c r="D129" s="12" t="str">
        <f aca="false">IF(C129="","",IFERROR(INDEX(Recipes!$B:$B,MATCH(C129,Recipes!$A:$A,0)),"⚠ unknown recipe_id"))</f>
        <v/>
      </c>
      <c r="K129" s="12" t="str">
        <f aca="false">IF(C129="","",IFERROR(INDEX(Recipes!$C:$C,MATCH(C129,Recipes!$A:$A,0)),""))</f>
        <v/>
      </c>
      <c r="L129" s="12" t="str">
        <f aca="false">IF(AND(A129='Grocery List'!$B$3,E129="Yes"),COUNTIFS($A$4:A129,'Grocery List'!$B$3,$E$4:E129,"Yes"),"")</f>
        <v/>
      </c>
    </row>
    <row r="130" customFormat="false" ht="15" hidden="false" customHeight="false" outlineLevel="0" collapsed="false">
      <c r="A130" s="16"/>
      <c r="D130" s="12" t="str">
        <f aca="false">IF(C130="","",IFERROR(INDEX(Recipes!$B:$B,MATCH(C130,Recipes!$A:$A,0)),"⚠ unknown recipe_id"))</f>
        <v/>
      </c>
      <c r="K130" s="12" t="str">
        <f aca="false">IF(C130="","",IFERROR(INDEX(Recipes!$C:$C,MATCH(C130,Recipes!$A:$A,0)),""))</f>
        <v/>
      </c>
      <c r="L130" s="12" t="str">
        <f aca="false">IF(AND(A130='Grocery List'!$B$3,E130="Yes"),COUNTIFS($A$4:A130,'Grocery List'!$B$3,$E$4:E130,"Yes"),"")</f>
        <v/>
      </c>
    </row>
    <row r="131" customFormat="false" ht="15" hidden="false" customHeight="false" outlineLevel="0" collapsed="false">
      <c r="A131" s="16"/>
      <c r="D131" s="12" t="str">
        <f aca="false">IF(C131="","",IFERROR(INDEX(Recipes!$B:$B,MATCH(C131,Recipes!$A:$A,0)),"⚠ unknown recipe_id"))</f>
        <v/>
      </c>
      <c r="K131" s="12" t="str">
        <f aca="false">IF(C131="","",IFERROR(INDEX(Recipes!$C:$C,MATCH(C131,Recipes!$A:$A,0)),""))</f>
        <v/>
      </c>
      <c r="L131" s="12" t="str">
        <f aca="false">IF(AND(A131='Grocery List'!$B$3,E131="Yes"),COUNTIFS($A$4:A131,'Grocery List'!$B$3,$E$4:E131,"Yes"),"")</f>
        <v/>
      </c>
    </row>
    <row r="132" customFormat="false" ht="15" hidden="false" customHeight="false" outlineLevel="0" collapsed="false">
      <c r="A132" s="16"/>
      <c r="D132" s="12" t="str">
        <f aca="false">IF(C132="","",IFERROR(INDEX(Recipes!$B:$B,MATCH(C132,Recipes!$A:$A,0)),"⚠ unknown recipe_id"))</f>
        <v/>
      </c>
      <c r="K132" s="12" t="str">
        <f aca="false">IF(C132="","",IFERROR(INDEX(Recipes!$C:$C,MATCH(C132,Recipes!$A:$A,0)),""))</f>
        <v/>
      </c>
      <c r="L132" s="12" t="str">
        <f aca="false">IF(AND(A132='Grocery List'!$B$3,E132="Yes"),COUNTIFS($A$4:A132,'Grocery List'!$B$3,$E$4:E132,"Yes"),"")</f>
        <v/>
      </c>
    </row>
    <row r="133" customFormat="false" ht="15" hidden="false" customHeight="false" outlineLevel="0" collapsed="false">
      <c r="A133" s="16"/>
      <c r="D133" s="12" t="str">
        <f aca="false">IF(C133="","",IFERROR(INDEX(Recipes!$B:$B,MATCH(C133,Recipes!$A:$A,0)),"⚠ unknown recipe_id"))</f>
        <v/>
      </c>
      <c r="K133" s="12" t="str">
        <f aca="false">IF(C133="","",IFERROR(INDEX(Recipes!$C:$C,MATCH(C133,Recipes!$A:$A,0)),""))</f>
        <v/>
      </c>
      <c r="L133" s="12" t="str">
        <f aca="false">IF(AND(A133='Grocery List'!$B$3,E133="Yes"),COUNTIFS($A$4:A133,'Grocery List'!$B$3,$E$4:E133,"Yes"),"")</f>
        <v/>
      </c>
    </row>
    <row r="134" customFormat="false" ht="15" hidden="false" customHeight="false" outlineLevel="0" collapsed="false">
      <c r="A134" s="16"/>
      <c r="D134" s="12" t="str">
        <f aca="false">IF(C134="","",IFERROR(INDEX(Recipes!$B:$B,MATCH(C134,Recipes!$A:$A,0)),"⚠ unknown recipe_id"))</f>
        <v/>
      </c>
      <c r="K134" s="12" t="str">
        <f aca="false">IF(C134="","",IFERROR(INDEX(Recipes!$C:$C,MATCH(C134,Recipes!$A:$A,0)),""))</f>
        <v/>
      </c>
      <c r="L134" s="12" t="str">
        <f aca="false">IF(AND(A134='Grocery List'!$B$3,E134="Yes"),COUNTIFS($A$4:A134,'Grocery List'!$B$3,$E$4:E134,"Yes"),"")</f>
        <v/>
      </c>
    </row>
    <row r="135" customFormat="false" ht="15" hidden="false" customHeight="false" outlineLevel="0" collapsed="false">
      <c r="A135" s="16"/>
      <c r="D135" s="12" t="str">
        <f aca="false">IF(C135="","",IFERROR(INDEX(Recipes!$B:$B,MATCH(C135,Recipes!$A:$A,0)),"⚠ unknown recipe_id"))</f>
        <v/>
      </c>
      <c r="K135" s="12" t="str">
        <f aca="false">IF(C135="","",IFERROR(INDEX(Recipes!$C:$C,MATCH(C135,Recipes!$A:$A,0)),""))</f>
        <v/>
      </c>
      <c r="L135" s="12" t="str">
        <f aca="false">IF(AND(A135='Grocery List'!$B$3,E135="Yes"),COUNTIFS($A$4:A135,'Grocery List'!$B$3,$E$4:E135,"Yes"),"")</f>
        <v/>
      </c>
    </row>
    <row r="136" customFormat="false" ht="15" hidden="false" customHeight="false" outlineLevel="0" collapsed="false">
      <c r="A136" s="16"/>
      <c r="D136" s="12" t="str">
        <f aca="false">IF(C136="","",IFERROR(INDEX(Recipes!$B:$B,MATCH(C136,Recipes!$A:$A,0)),"⚠ unknown recipe_id"))</f>
        <v/>
      </c>
      <c r="K136" s="12" t="str">
        <f aca="false">IF(C136="","",IFERROR(INDEX(Recipes!$C:$C,MATCH(C136,Recipes!$A:$A,0)),""))</f>
        <v/>
      </c>
      <c r="L136" s="12" t="str">
        <f aca="false">IF(AND(A136='Grocery List'!$B$3,E136="Yes"),COUNTIFS($A$4:A136,'Grocery List'!$B$3,$E$4:E136,"Yes"),"")</f>
        <v/>
      </c>
    </row>
    <row r="137" customFormat="false" ht="15" hidden="false" customHeight="false" outlineLevel="0" collapsed="false">
      <c r="A137" s="16"/>
      <c r="D137" s="12" t="str">
        <f aca="false">IF(C137="","",IFERROR(INDEX(Recipes!$B:$B,MATCH(C137,Recipes!$A:$A,0)),"⚠ unknown recipe_id"))</f>
        <v/>
      </c>
      <c r="K137" s="12" t="str">
        <f aca="false">IF(C137="","",IFERROR(INDEX(Recipes!$C:$C,MATCH(C137,Recipes!$A:$A,0)),""))</f>
        <v/>
      </c>
      <c r="L137" s="12" t="str">
        <f aca="false">IF(AND(A137='Grocery List'!$B$3,E137="Yes"),COUNTIFS($A$4:A137,'Grocery List'!$B$3,$E$4:E137,"Yes"),"")</f>
        <v/>
      </c>
    </row>
    <row r="138" customFormat="false" ht="15" hidden="false" customHeight="false" outlineLevel="0" collapsed="false">
      <c r="A138" s="16"/>
      <c r="D138" s="12" t="str">
        <f aca="false">IF(C138="","",IFERROR(INDEX(Recipes!$B:$B,MATCH(C138,Recipes!$A:$A,0)),"⚠ unknown recipe_id"))</f>
        <v/>
      </c>
      <c r="K138" s="12" t="str">
        <f aca="false">IF(C138="","",IFERROR(INDEX(Recipes!$C:$C,MATCH(C138,Recipes!$A:$A,0)),""))</f>
        <v/>
      </c>
      <c r="L138" s="12" t="str">
        <f aca="false">IF(AND(A138='Grocery List'!$B$3,E138="Yes"),COUNTIFS($A$4:A138,'Grocery List'!$B$3,$E$4:E138,"Yes"),"")</f>
        <v/>
      </c>
    </row>
    <row r="139" customFormat="false" ht="15" hidden="false" customHeight="false" outlineLevel="0" collapsed="false">
      <c r="A139" s="16"/>
      <c r="D139" s="12" t="str">
        <f aca="false">IF(C139="","",IFERROR(INDEX(Recipes!$B:$B,MATCH(C139,Recipes!$A:$A,0)),"⚠ unknown recipe_id"))</f>
        <v/>
      </c>
      <c r="K139" s="12" t="str">
        <f aca="false">IF(C139="","",IFERROR(INDEX(Recipes!$C:$C,MATCH(C139,Recipes!$A:$A,0)),""))</f>
        <v/>
      </c>
      <c r="L139" s="12" t="str">
        <f aca="false">IF(AND(A139='Grocery List'!$B$3,E139="Yes"),COUNTIFS($A$4:A139,'Grocery List'!$B$3,$E$4:E139,"Yes"),"")</f>
        <v/>
      </c>
    </row>
    <row r="140" customFormat="false" ht="15" hidden="false" customHeight="false" outlineLevel="0" collapsed="false">
      <c r="A140" s="16"/>
      <c r="D140" s="12" t="str">
        <f aca="false">IF(C140="","",IFERROR(INDEX(Recipes!$B:$B,MATCH(C140,Recipes!$A:$A,0)),"⚠ unknown recipe_id"))</f>
        <v/>
      </c>
      <c r="K140" s="12" t="str">
        <f aca="false">IF(C140="","",IFERROR(INDEX(Recipes!$C:$C,MATCH(C140,Recipes!$A:$A,0)),""))</f>
        <v/>
      </c>
      <c r="L140" s="12" t="str">
        <f aca="false">IF(AND(A140='Grocery List'!$B$3,E140="Yes"),COUNTIFS($A$4:A140,'Grocery List'!$B$3,$E$4:E140,"Yes"),"")</f>
        <v/>
      </c>
    </row>
    <row r="141" customFormat="false" ht="15" hidden="false" customHeight="false" outlineLevel="0" collapsed="false">
      <c r="A141" s="16"/>
      <c r="D141" s="12" t="str">
        <f aca="false">IF(C141="","",IFERROR(INDEX(Recipes!$B:$B,MATCH(C141,Recipes!$A:$A,0)),"⚠ unknown recipe_id"))</f>
        <v/>
      </c>
      <c r="K141" s="12" t="str">
        <f aca="false">IF(C141="","",IFERROR(INDEX(Recipes!$C:$C,MATCH(C141,Recipes!$A:$A,0)),""))</f>
        <v/>
      </c>
      <c r="L141" s="12" t="str">
        <f aca="false">IF(AND(A141='Grocery List'!$B$3,E141="Yes"),COUNTIFS($A$4:A141,'Grocery List'!$B$3,$E$4:E141,"Yes"),"")</f>
        <v/>
      </c>
    </row>
    <row r="142" customFormat="false" ht="15" hidden="false" customHeight="false" outlineLevel="0" collapsed="false">
      <c r="A142" s="16"/>
      <c r="D142" s="12" t="str">
        <f aca="false">IF(C142="","",IFERROR(INDEX(Recipes!$B:$B,MATCH(C142,Recipes!$A:$A,0)),"⚠ unknown recipe_id"))</f>
        <v/>
      </c>
      <c r="K142" s="12" t="str">
        <f aca="false">IF(C142="","",IFERROR(INDEX(Recipes!$C:$C,MATCH(C142,Recipes!$A:$A,0)),""))</f>
        <v/>
      </c>
      <c r="L142" s="12" t="str">
        <f aca="false">IF(AND(A142='Grocery List'!$B$3,E142="Yes"),COUNTIFS($A$4:A142,'Grocery List'!$B$3,$E$4:E142,"Yes"),"")</f>
        <v/>
      </c>
    </row>
    <row r="143" customFormat="false" ht="15" hidden="false" customHeight="false" outlineLevel="0" collapsed="false">
      <c r="A143" s="16"/>
      <c r="D143" s="12" t="str">
        <f aca="false">IF(C143="","",IFERROR(INDEX(Recipes!$B:$B,MATCH(C143,Recipes!$A:$A,0)),"⚠ unknown recipe_id"))</f>
        <v/>
      </c>
      <c r="K143" s="12" t="str">
        <f aca="false">IF(C143="","",IFERROR(INDEX(Recipes!$C:$C,MATCH(C143,Recipes!$A:$A,0)),""))</f>
        <v/>
      </c>
      <c r="L143" s="12" t="str">
        <f aca="false">IF(AND(A143='Grocery List'!$B$3,E143="Yes"),COUNTIFS($A$4:A143,'Grocery List'!$B$3,$E$4:E143,"Yes"),"")</f>
        <v/>
      </c>
    </row>
    <row r="144" customFormat="false" ht="15" hidden="false" customHeight="false" outlineLevel="0" collapsed="false">
      <c r="A144" s="16"/>
      <c r="D144" s="12" t="str">
        <f aca="false">IF(C144="","",IFERROR(INDEX(Recipes!$B:$B,MATCH(C144,Recipes!$A:$A,0)),"⚠ unknown recipe_id"))</f>
        <v/>
      </c>
      <c r="K144" s="12" t="str">
        <f aca="false">IF(C144="","",IFERROR(INDEX(Recipes!$C:$C,MATCH(C144,Recipes!$A:$A,0)),""))</f>
        <v/>
      </c>
      <c r="L144" s="12" t="str">
        <f aca="false">IF(AND(A144='Grocery List'!$B$3,E144="Yes"),COUNTIFS($A$4:A144,'Grocery List'!$B$3,$E$4:E144,"Yes"),"")</f>
        <v/>
      </c>
    </row>
    <row r="145" customFormat="false" ht="15" hidden="false" customHeight="false" outlineLevel="0" collapsed="false">
      <c r="A145" s="16"/>
      <c r="D145" s="12" t="str">
        <f aca="false">IF(C145="","",IFERROR(INDEX(Recipes!$B:$B,MATCH(C145,Recipes!$A:$A,0)),"⚠ unknown recipe_id"))</f>
        <v/>
      </c>
      <c r="K145" s="12" t="str">
        <f aca="false">IF(C145="","",IFERROR(INDEX(Recipes!$C:$C,MATCH(C145,Recipes!$A:$A,0)),""))</f>
        <v/>
      </c>
      <c r="L145" s="12" t="str">
        <f aca="false">IF(AND(A145='Grocery List'!$B$3,E145="Yes"),COUNTIFS($A$4:A145,'Grocery List'!$B$3,$E$4:E145,"Yes"),"")</f>
        <v/>
      </c>
    </row>
    <row r="146" customFormat="false" ht="15" hidden="false" customHeight="false" outlineLevel="0" collapsed="false">
      <c r="A146" s="16"/>
      <c r="D146" s="12" t="str">
        <f aca="false">IF(C146="","",IFERROR(INDEX(Recipes!$B:$B,MATCH(C146,Recipes!$A:$A,0)),"⚠ unknown recipe_id"))</f>
        <v/>
      </c>
      <c r="K146" s="12" t="str">
        <f aca="false">IF(C146="","",IFERROR(INDEX(Recipes!$C:$C,MATCH(C146,Recipes!$A:$A,0)),""))</f>
        <v/>
      </c>
      <c r="L146" s="12" t="str">
        <f aca="false">IF(AND(A146='Grocery List'!$B$3,E146="Yes"),COUNTIFS($A$4:A146,'Grocery List'!$B$3,$E$4:E146,"Yes"),"")</f>
        <v/>
      </c>
    </row>
    <row r="147" customFormat="false" ht="15" hidden="false" customHeight="false" outlineLevel="0" collapsed="false">
      <c r="A147" s="16"/>
      <c r="D147" s="12" t="str">
        <f aca="false">IF(C147="","",IFERROR(INDEX(Recipes!$B:$B,MATCH(C147,Recipes!$A:$A,0)),"⚠ unknown recipe_id"))</f>
        <v/>
      </c>
      <c r="K147" s="12" t="str">
        <f aca="false">IF(C147="","",IFERROR(INDEX(Recipes!$C:$C,MATCH(C147,Recipes!$A:$A,0)),""))</f>
        <v/>
      </c>
      <c r="L147" s="12" t="str">
        <f aca="false">IF(AND(A147='Grocery List'!$B$3,E147="Yes"),COUNTIFS($A$4:A147,'Grocery List'!$B$3,$E$4:E147,"Yes"),"")</f>
        <v/>
      </c>
    </row>
    <row r="148" customFormat="false" ht="15" hidden="false" customHeight="false" outlineLevel="0" collapsed="false">
      <c r="A148" s="16"/>
      <c r="D148" s="12" t="str">
        <f aca="false">IF(C148="","",IFERROR(INDEX(Recipes!$B:$B,MATCH(C148,Recipes!$A:$A,0)),"⚠ unknown recipe_id"))</f>
        <v/>
      </c>
      <c r="K148" s="12" t="str">
        <f aca="false">IF(C148="","",IFERROR(INDEX(Recipes!$C:$C,MATCH(C148,Recipes!$A:$A,0)),""))</f>
        <v/>
      </c>
      <c r="L148" s="12" t="str">
        <f aca="false">IF(AND(A148='Grocery List'!$B$3,E148="Yes"),COUNTIFS($A$4:A148,'Grocery List'!$B$3,$E$4:E148,"Yes"),"")</f>
        <v/>
      </c>
    </row>
    <row r="149" customFormat="false" ht="15" hidden="false" customHeight="false" outlineLevel="0" collapsed="false">
      <c r="A149" s="16"/>
      <c r="D149" s="12" t="str">
        <f aca="false">IF(C149="","",IFERROR(INDEX(Recipes!$B:$B,MATCH(C149,Recipes!$A:$A,0)),"⚠ unknown recipe_id"))</f>
        <v/>
      </c>
      <c r="K149" s="12" t="str">
        <f aca="false">IF(C149="","",IFERROR(INDEX(Recipes!$C:$C,MATCH(C149,Recipes!$A:$A,0)),""))</f>
        <v/>
      </c>
      <c r="L149" s="12" t="str">
        <f aca="false">IF(AND(A149='Grocery List'!$B$3,E149="Yes"),COUNTIFS($A$4:A149,'Grocery List'!$B$3,$E$4:E149,"Yes"),"")</f>
        <v/>
      </c>
    </row>
    <row r="150" customFormat="false" ht="15" hidden="false" customHeight="false" outlineLevel="0" collapsed="false">
      <c r="A150" s="16"/>
      <c r="D150" s="12" t="str">
        <f aca="false">IF(C150="","",IFERROR(INDEX(Recipes!$B:$B,MATCH(C150,Recipes!$A:$A,0)),"⚠ unknown recipe_id"))</f>
        <v/>
      </c>
      <c r="K150" s="12" t="str">
        <f aca="false">IF(C150="","",IFERROR(INDEX(Recipes!$C:$C,MATCH(C150,Recipes!$A:$A,0)),""))</f>
        <v/>
      </c>
      <c r="L150" s="12" t="str">
        <f aca="false">IF(AND(A150='Grocery List'!$B$3,E150="Yes"),COUNTIFS($A$4:A150,'Grocery List'!$B$3,$E$4:E150,"Yes"),"")</f>
        <v/>
      </c>
    </row>
    <row r="151" customFormat="false" ht="15" hidden="false" customHeight="false" outlineLevel="0" collapsed="false">
      <c r="A151" s="16"/>
      <c r="D151" s="12" t="str">
        <f aca="false">IF(C151="","",IFERROR(INDEX(Recipes!$B:$B,MATCH(C151,Recipes!$A:$A,0)),"⚠ unknown recipe_id"))</f>
        <v/>
      </c>
      <c r="K151" s="12" t="str">
        <f aca="false">IF(C151="","",IFERROR(INDEX(Recipes!$C:$C,MATCH(C151,Recipes!$A:$A,0)),""))</f>
        <v/>
      </c>
      <c r="L151" s="12" t="str">
        <f aca="false">IF(AND(A151='Grocery List'!$B$3,E151="Yes"),COUNTIFS($A$4:A151,'Grocery List'!$B$3,$E$4:E151,"Yes"),"")</f>
        <v/>
      </c>
    </row>
    <row r="152" customFormat="false" ht="15" hidden="false" customHeight="false" outlineLevel="0" collapsed="false">
      <c r="A152" s="16"/>
      <c r="D152" s="12" t="str">
        <f aca="false">IF(C152="","",IFERROR(INDEX(Recipes!$B:$B,MATCH(C152,Recipes!$A:$A,0)),"⚠ unknown recipe_id"))</f>
        <v/>
      </c>
      <c r="K152" s="12" t="str">
        <f aca="false">IF(C152="","",IFERROR(INDEX(Recipes!$C:$C,MATCH(C152,Recipes!$A:$A,0)),""))</f>
        <v/>
      </c>
      <c r="L152" s="12" t="str">
        <f aca="false">IF(AND(A152='Grocery List'!$B$3,E152="Yes"),COUNTIFS($A$4:A152,'Grocery List'!$B$3,$E$4:E152,"Yes"),"")</f>
        <v/>
      </c>
    </row>
    <row r="153" customFormat="false" ht="15" hidden="false" customHeight="false" outlineLevel="0" collapsed="false">
      <c r="A153" s="16"/>
      <c r="D153" s="12" t="str">
        <f aca="false">IF(C153="","",IFERROR(INDEX(Recipes!$B:$B,MATCH(C153,Recipes!$A:$A,0)),"⚠ unknown recipe_id"))</f>
        <v/>
      </c>
      <c r="K153" s="12" t="str">
        <f aca="false">IF(C153="","",IFERROR(INDEX(Recipes!$C:$C,MATCH(C153,Recipes!$A:$A,0)),""))</f>
        <v/>
      </c>
      <c r="L153" s="12" t="str">
        <f aca="false">IF(AND(A153='Grocery List'!$B$3,E153="Yes"),COUNTIFS($A$4:A153,'Grocery List'!$B$3,$E$4:E153,"Yes"),"")</f>
        <v/>
      </c>
    </row>
    <row r="154" customFormat="false" ht="15" hidden="false" customHeight="false" outlineLevel="0" collapsed="false">
      <c r="A154" s="16"/>
      <c r="D154" s="12" t="str">
        <f aca="false">IF(C154="","",IFERROR(INDEX(Recipes!$B:$B,MATCH(C154,Recipes!$A:$A,0)),"⚠ unknown recipe_id"))</f>
        <v/>
      </c>
      <c r="K154" s="12" t="str">
        <f aca="false">IF(C154="","",IFERROR(INDEX(Recipes!$C:$C,MATCH(C154,Recipes!$A:$A,0)),""))</f>
        <v/>
      </c>
      <c r="L154" s="12" t="str">
        <f aca="false">IF(AND(A154='Grocery List'!$B$3,E154="Yes"),COUNTIFS($A$4:A154,'Grocery List'!$B$3,$E$4:E154,"Yes"),"")</f>
        <v/>
      </c>
    </row>
    <row r="155" customFormat="false" ht="15" hidden="false" customHeight="false" outlineLevel="0" collapsed="false">
      <c r="A155" s="16"/>
      <c r="D155" s="12" t="str">
        <f aca="false">IF(C155="","",IFERROR(INDEX(Recipes!$B:$B,MATCH(C155,Recipes!$A:$A,0)),"⚠ unknown recipe_id"))</f>
        <v/>
      </c>
      <c r="K155" s="12" t="str">
        <f aca="false">IF(C155="","",IFERROR(INDEX(Recipes!$C:$C,MATCH(C155,Recipes!$A:$A,0)),""))</f>
        <v/>
      </c>
      <c r="L155" s="12" t="str">
        <f aca="false">IF(AND(A155='Grocery List'!$B$3,E155="Yes"),COUNTIFS($A$4:A155,'Grocery List'!$B$3,$E$4:E155,"Yes"),"")</f>
        <v/>
      </c>
    </row>
    <row r="156" customFormat="false" ht="15" hidden="false" customHeight="false" outlineLevel="0" collapsed="false">
      <c r="A156" s="16"/>
      <c r="D156" s="12" t="str">
        <f aca="false">IF(C156="","",IFERROR(INDEX(Recipes!$B:$B,MATCH(C156,Recipes!$A:$A,0)),"⚠ unknown recipe_id"))</f>
        <v/>
      </c>
      <c r="K156" s="12" t="str">
        <f aca="false">IF(C156="","",IFERROR(INDEX(Recipes!$C:$C,MATCH(C156,Recipes!$A:$A,0)),""))</f>
        <v/>
      </c>
      <c r="L156" s="12" t="str">
        <f aca="false">IF(AND(A156='Grocery List'!$B$3,E156="Yes"),COUNTIFS($A$4:A156,'Grocery List'!$B$3,$E$4:E156,"Yes"),"")</f>
        <v/>
      </c>
    </row>
    <row r="157" customFormat="false" ht="15" hidden="false" customHeight="false" outlineLevel="0" collapsed="false">
      <c r="A157" s="16"/>
      <c r="D157" s="12" t="str">
        <f aca="false">IF(C157="","",IFERROR(INDEX(Recipes!$B:$B,MATCH(C157,Recipes!$A:$A,0)),"⚠ unknown recipe_id"))</f>
        <v/>
      </c>
      <c r="K157" s="12" t="str">
        <f aca="false">IF(C157="","",IFERROR(INDEX(Recipes!$C:$C,MATCH(C157,Recipes!$A:$A,0)),""))</f>
        <v/>
      </c>
      <c r="L157" s="12" t="str">
        <f aca="false">IF(AND(A157='Grocery List'!$B$3,E157="Yes"),COUNTIFS($A$4:A157,'Grocery List'!$B$3,$E$4:E157,"Yes"),"")</f>
        <v/>
      </c>
    </row>
    <row r="158" customFormat="false" ht="15" hidden="false" customHeight="false" outlineLevel="0" collapsed="false">
      <c r="A158" s="16"/>
      <c r="D158" s="12" t="str">
        <f aca="false">IF(C158="","",IFERROR(INDEX(Recipes!$B:$B,MATCH(C158,Recipes!$A:$A,0)),"⚠ unknown recipe_id"))</f>
        <v/>
      </c>
      <c r="K158" s="12" t="str">
        <f aca="false">IF(C158="","",IFERROR(INDEX(Recipes!$C:$C,MATCH(C158,Recipes!$A:$A,0)),""))</f>
        <v/>
      </c>
      <c r="L158" s="12" t="str">
        <f aca="false">IF(AND(A158='Grocery List'!$B$3,E158="Yes"),COUNTIFS($A$4:A158,'Grocery List'!$B$3,$E$4:E158,"Yes"),"")</f>
        <v/>
      </c>
    </row>
    <row r="159" customFormat="false" ht="15" hidden="false" customHeight="false" outlineLevel="0" collapsed="false">
      <c r="A159" s="16"/>
      <c r="D159" s="12" t="str">
        <f aca="false">IF(C159="","",IFERROR(INDEX(Recipes!$B:$B,MATCH(C159,Recipes!$A:$A,0)),"⚠ unknown recipe_id"))</f>
        <v/>
      </c>
      <c r="K159" s="12" t="str">
        <f aca="false">IF(C159="","",IFERROR(INDEX(Recipes!$C:$C,MATCH(C159,Recipes!$A:$A,0)),""))</f>
        <v/>
      </c>
      <c r="L159" s="12" t="str">
        <f aca="false">IF(AND(A159='Grocery List'!$B$3,E159="Yes"),COUNTIFS($A$4:A159,'Grocery List'!$B$3,$E$4:E159,"Yes"),"")</f>
        <v/>
      </c>
    </row>
    <row r="160" customFormat="false" ht="15" hidden="false" customHeight="false" outlineLevel="0" collapsed="false">
      <c r="A160" s="16"/>
      <c r="D160" s="12" t="str">
        <f aca="false">IF(C160="","",IFERROR(INDEX(Recipes!$B:$B,MATCH(C160,Recipes!$A:$A,0)),"⚠ unknown recipe_id"))</f>
        <v/>
      </c>
      <c r="K160" s="12" t="str">
        <f aca="false">IF(C160="","",IFERROR(INDEX(Recipes!$C:$C,MATCH(C160,Recipes!$A:$A,0)),""))</f>
        <v/>
      </c>
      <c r="L160" s="12" t="str">
        <f aca="false">IF(AND(A160='Grocery List'!$B$3,E160="Yes"),COUNTIFS($A$4:A160,'Grocery List'!$B$3,$E$4:E160,"Yes"),"")</f>
        <v/>
      </c>
    </row>
    <row r="161" customFormat="false" ht="15" hidden="false" customHeight="false" outlineLevel="0" collapsed="false">
      <c r="A161" s="16"/>
      <c r="D161" s="12" t="str">
        <f aca="false">IF(C161="","",IFERROR(INDEX(Recipes!$B:$B,MATCH(C161,Recipes!$A:$A,0)),"⚠ unknown recipe_id"))</f>
        <v/>
      </c>
      <c r="K161" s="12" t="str">
        <f aca="false">IF(C161="","",IFERROR(INDEX(Recipes!$C:$C,MATCH(C161,Recipes!$A:$A,0)),""))</f>
        <v/>
      </c>
      <c r="L161" s="12" t="str">
        <f aca="false">IF(AND(A161='Grocery List'!$B$3,E161="Yes"),COUNTIFS($A$4:A161,'Grocery List'!$B$3,$E$4:E161,"Yes"),"")</f>
        <v/>
      </c>
    </row>
    <row r="162" customFormat="false" ht="15" hidden="false" customHeight="false" outlineLevel="0" collapsed="false">
      <c r="A162" s="16"/>
      <c r="D162" s="12" t="str">
        <f aca="false">IF(C162="","",IFERROR(INDEX(Recipes!$B:$B,MATCH(C162,Recipes!$A:$A,0)),"⚠ unknown recipe_id"))</f>
        <v/>
      </c>
      <c r="K162" s="12" t="str">
        <f aca="false">IF(C162="","",IFERROR(INDEX(Recipes!$C:$C,MATCH(C162,Recipes!$A:$A,0)),""))</f>
        <v/>
      </c>
      <c r="L162" s="12" t="str">
        <f aca="false">IF(AND(A162='Grocery List'!$B$3,E162="Yes"),COUNTIFS($A$4:A162,'Grocery List'!$B$3,$E$4:E162,"Yes"),"")</f>
        <v/>
      </c>
    </row>
    <row r="163" customFormat="false" ht="15" hidden="false" customHeight="false" outlineLevel="0" collapsed="false">
      <c r="A163" s="16"/>
      <c r="D163" s="12" t="str">
        <f aca="false">IF(C163="","",IFERROR(INDEX(Recipes!$B:$B,MATCH(C163,Recipes!$A:$A,0)),"⚠ unknown recipe_id"))</f>
        <v/>
      </c>
      <c r="K163" s="12" t="str">
        <f aca="false">IF(C163="","",IFERROR(INDEX(Recipes!$C:$C,MATCH(C163,Recipes!$A:$A,0)),""))</f>
        <v/>
      </c>
      <c r="L163" s="12" t="str">
        <f aca="false">IF(AND(A163='Grocery List'!$B$3,E163="Yes"),COUNTIFS($A$4:A163,'Grocery List'!$B$3,$E$4:E163,"Yes"),"")</f>
        <v/>
      </c>
    </row>
    <row r="164" customFormat="false" ht="15" hidden="false" customHeight="false" outlineLevel="0" collapsed="false">
      <c r="A164" s="16"/>
      <c r="D164" s="12" t="str">
        <f aca="false">IF(C164="","",IFERROR(INDEX(Recipes!$B:$B,MATCH(C164,Recipes!$A:$A,0)),"⚠ unknown recipe_id"))</f>
        <v/>
      </c>
      <c r="K164" s="12" t="str">
        <f aca="false">IF(C164="","",IFERROR(INDEX(Recipes!$C:$C,MATCH(C164,Recipes!$A:$A,0)),""))</f>
        <v/>
      </c>
      <c r="L164" s="12" t="str">
        <f aca="false">IF(AND(A164='Grocery List'!$B$3,E164="Yes"),COUNTIFS($A$4:A164,'Grocery List'!$B$3,$E$4:E164,"Yes"),"")</f>
        <v/>
      </c>
    </row>
    <row r="165" customFormat="false" ht="15" hidden="false" customHeight="false" outlineLevel="0" collapsed="false">
      <c r="A165" s="16"/>
      <c r="D165" s="12" t="str">
        <f aca="false">IF(C165="","",IFERROR(INDEX(Recipes!$B:$B,MATCH(C165,Recipes!$A:$A,0)),"⚠ unknown recipe_id"))</f>
        <v/>
      </c>
      <c r="K165" s="12" t="str">
        <f aca="false">IF(C165="","",IFERROR(INDEX(Recipes!$C:$C,MATCH(C165,Recipes!$A:$A,0)),""))</f>
        <v/>
      </c>
      <c r="L165" s="12" t="str">
        <f aca="false">IF(AND(A165='Grocery List'!$B$3,E165="Yes"),COUNTIFS($A$4:A165,'Grocery List'!$B$3,$E$4:E165,"Yes"),"")</f>
        <v/>
      </c>
    </row>
    <row r="166" customFormat="false" ht="15" hidden="false" customHeight="false" outlineLevel="0" collapsed="false">
      <c r="A166" s="16"/>
      <c r="D166" s="12" t="str">
        <f aca="false">IF(C166="","",IFERROR(INDEX(Recipes!$B:$B,MATCH(C166,Recipes!$A:$A,0)),"⚠ unknown recipe_id"))</f>
        <v/>
      </c>
      <c r="K166" s="12" t="str">
        <f aca="false">IF(C166="","",IFERROR(INDEX(Recipes!$C:$C,MATCH(C166,Recipes!$A:$A,0)),""))</f>
        <v/>
      </c>
      <c r="L166" s="12" t="str">
        <f aca="false">IF(AND(A166='Grocery List'!$B$3,E166="Yes"),COUNTIFS($A$4:A166,'Grocery List'!$B$3,$E$4:E166,"Yes"),"")</f>
        <v/>
      </c>
    </row>
    <row r="167" customFormat="false" ht="15" hidden="false" customHeight="false" outlineLevel="0" collapsed="false">
      <c r="A167" s="16"/>
      <c r="D167" s="12" t="str">
        <f aca="false">IF(C167="","",IFERROR(INDEX(Recipes!$B:$B,MATCH(C167,Recipes!$A:$A,0)),"⚠ unknown recipe_id"))</f>
        <v/>
      </c>
      <c r="K167" s="12" t="str">
        <f aca="false">IF(C167="","",IFERROR(INDEX(Recipes!$C:$C,MATCH(C167,Recipes!$A:$A,0)),""))</f>
        <v/>
      </c>
      <c r="L167" s="12" t="str">
        <f aca="false">IF(AND(A167='Grocery List'!$B$3,E167="Yes"),COUNTIFS($A$4:A167,'Grocery List'!$B$3,$E$4:E167,"Yes"),"")</f>
        <v/>
      </c>
    </row>
    <row r="168" customFormat="false" ht="15" hidden="false" customHeight="false" outlineLevel="0" collapsed="false">
      <c r="A168" s="16"/>
      <c r="D168" s="12" t="str">
        <f aca="false">IF(C168="","",IFERROR(INDEX(Recipes!$B:$B,MATCH(C168,Recipes!$A:$A,0)),"⚠ unknown recipe_id"))</f>
        <v/>
      </c>
      <c r="K168" s="12" t="str">
        <f aca="false">IF(C168="","",IFERROR(INDEX(Recipes!$C:$C,MATCH(C168,Recipes!$A:$A,0)),""))</f>
        <v/>
      </c>
      <c r="L168" s="12" t="str">
        <f aca="false">IF(AND(A168='Grocery List'!$B$3,E168="Yes"),COUNTIFS($A$4:A168,'Grocery List'!$B$3,$E$4:E168,"Yes"),"")</f>
        <v/>
      </c>
    </row>
    <row r="169" customFormat="false" ht="15" hidden="false" customHeight="false" outlineLevel="0" collapsed="false">
      <c r="A169" s="16"/>
      <c r="D169" s="12" t="str">
        <f aca="false">IF(C169="","",IFERROR(INDEX(Recipes!$B:$B,MATCH(C169,Recipes!$A:$A,0)),"⚠ unknown recipe_id"))</f>
        <v/>
      </c>
      <c r="K169" s="12" t="str">
        <f aca="false">IF(C169="","",IFERROR(INDEX(Recipes!$C:$C,MATCH(C169,Recipes!$A:$A,0)),""))</f>
        <v/>
      </c>
      <c r="L169" s="12" t="str">
        <f aca="false">IF(AND(A169='Grocery List'!$B$3,E169="Yes"),COUNTIFS($A$4:A169,'Grocery List'!$B$3,$E$4:E169,"Yes"),"")</f>
        <v/>
      </c>
    </row>
    <row r="170" customFormat="false" ht="15" hidden="false" customHeight="false" outlineLevel="0" collapsed="false">
      <c r="A170" s="16"/>
      <c r="D170" s="12" t="str">
        <f aca="false">IF(C170="","",IFERROR(INDEX(Recipes!$B:$B,MATCH(C170,Recipes!$A:$A,0)),"⚠ unknown recipe_id"))</f>
        <v/>
      </c>
      <c r="K170" s="12" t="str">
        <f aca="false">IF(C170="","",IFERROR(INDEX(Recipes!$C:$C,MATCH(C170,Recipes!$A:$A,0)),""))</f>
        <v/>
      </c>
      <c r="L170" s="12" t="str">
        <f aca="false">IF(AND(A170='Grocery List'!$B$3,E170="Yes"),COUNTIFS($A$4:A170,'Grocery List'!$B$3,$E$4:E170,"Yes"),"")</f>
        <v/>
      </c>
    </row>
    <row r="171" customFormat="false" ht="15" hidden="false" customHeight="false" outlineLevel="0" collapsed="false">
      <c r="A171" s="16"/>
      <c r="D171" s="12" t="str">
        <f aca="false">IF(C171="","",IFERROR(INDEX(Recipes!$B:$B,MATCH(C171,Recipes!$A:$A,0)),"⚠ unknown recipe_id"))</f>
        <v/>
      </c>
      <c r="K171" s="12" t="str">
        <f aca="false">IF(C171="","",IFERROR(INDEX(Recipes!$C:$C,MATCH(C171,Recipes!$A:$A,0)),""))</f>
        <v/>
      </c>
      <c r="L171" s="12" t="str">
        <f aca="false">IF(AND(A171='Grocery List'!$B$3,E171="Yes"),COUNTIFS($A$4:A171,'Grocery List'!$B$3,$E$4:E171,"Yes"),"")</f>
        <v/>
      </c>
    </row>
    <row r="172" customFormat="false" ht="15" hidden="false" customHeight="false" outlineLevel="0" collapsed="false">
      <c r="A172" s="16"/>
      <c r="D172" s="12" t="str">
        <f aca="false">IF(C172="","",IFERROR(INDEX(Recipes!$B:$B,MATCH(C172,Recipes!$A:$A,0)),"⚠ unknown recipe_id"))</f>
        <v/>
      </c>
      <c r="K172" s="12" t="str">
        <f aca="false">IF(C172="","",IFERROR(INDEX(Recipes!$C:$C,MATCH(C172,Recipes!$A:$A,0)),""))</f>
        <v/>
      </c>
      <c r="L172" s="12" t="str">
        <f aca="false">IF(AND(A172='Grocery List'!$B$3,E172="Yes"),COUNTIFS($A$4:A172,'Grocery List'!$B$3,$E$4:E172,"Yes"),"")</f>
        <v/>
      </c>
    </row>
    <row r="173" customFormat="false" ht="15" hidden="false" customHeight="false" outlineLevel="0" collapsed="false">
      <c r="A173" s="16"/>
      <c r="D173" s="12" t="str">
        <f aca="false">IF(C173="","",IFERROR(INDEX(Recipes!$B:$B,MATCH(C173,Recipes!$A:$A,0)),"⚠ unknown recipe_id"))</f>
        <v/>
      </c>
      <c r="K173" s="12" t="str">
        <f aca="false">IF(C173="","",IFERROR(INDEX(Recipes!$C:$C,MATCH(C173,Recipes!$A:$A,0)),""))</f>
        <v/>
      </c>
      <c r="L173" s="12" t="str">
        <f aca="false">IF(AND(A173='Grocery List'!$B$3,E173="Yes"),COUNTIFS($A$4:A173,'Grocery List'!$B$3,$E$4:E173,"Yes"),"")</f>
        <v/>
      </c>
    </row>
    <row r="174" customFormat="false" ht="15" hidden="false" customHeight="false" outlineLevel="0" collapsed="false">
      <c r="A174" s="16"/>
      <c r="D174" s="12" t="str">
        <f aca="false">IF(C174="","",IFERROR(INDEX(Recipes!$B:$B,MATCH(C174,Recipes!$A:$A,0)),"⚠ unknown recipe_id"))</f>
        <v/>
      </c>
      <c r="K174" s="12" t="str">
        <f aca="false">IF(C174="","",IFERROR(INDEX(Recipes!$C:$C,MATCH(C174,Recipes!$A:$A,0)),""))</f>
        <v/>
      </c>
      <c r="L174" s="12" t="str">
        <f aca="false">IF(AND(A174='Grocery List'!$B$3,E174="Yes"),COUNTIFS($A$4:A174,'Grocery List'!$B$3,$E$4:E174,"Yes"),"")</f>
        <v/>
      </c>
    </row>
    <row r="175" customFormat="false" ht="15" hidden="false" customHeight="false" outlineLevel="0" collapsed="false">
      <c r="A175" s="16"/>
      <c r="D175" s="12" t="str">
        <f aca="false">IF(C175="","",IFERROR(INDEX(Recipes!$B:$B,MATCH(C175,Recipes!$A:$A,0)),"⚠ unknown recipe_id"))</f>
        <v/>
      </c>
      <c r="K175" s="12" t="str">
        <f aca="false">IF(C175="","",IFERROR(INDEX(Recipes!$C:$C,MATCH(C175,Recipes!$A:$A,0)),""))</f>
        <v/>
      </c>
      <c r="L175" s="12" t="str">
        <f aca="false">IF(AND(A175='Grocery List'!$B$3,E175="Yes"),COUNTIFS($A$4:A175,'Grocery List'!$B$3,$E$4:E175,"Yes"),"")</f>
        <v/>
      </c>
    </row>
    <row r="176" customFormat="false" ht="15" hidden="false" customHeight="false" outlineLevel="0" collapsed="false">
      <c r="A176" s="16"/>
      <c r="D176" s="12" t="str">
        <f aca="false">IF(C176="","",IFERROR(INDEX(Recipes!$B:$B,MATCH(C176,Recipes!$A:$A,0)),"⚠ unknown recipe_id"))</f>
        <v/>
      </c>
      <c r="K176" s="12" t="str">
        <f aca="false">IF(C176="","",IFERROR(INDEX(Recipes!$C:$C,MATCH(C176,Recipes!$A:$A,0)),""))</f>
        <v/>
      </c>
      <c r="L176" s="12" t="str">
        <f aca="false">IF(AND(A176='Grocery List'!$B$3,E176="Yes"),COUNTIFS($A$4:A176,'Grocery List'!$B$3,$E$4:E176,"Yes"),"")</f>
        <v/>
      </c>
    </row>
    <row r="177" customFormat="false" ht="15" hidden="false" customHeight="false" outlineLevel="0" collapsed="false">
      <c r="A177" s="16"/>
      <c r="D177" s="12" t="str">
        <f aca="false">IF(C177="","",IFERROR(INDEX(Recipes!$B:$B,MATCH(C177,Recipes!$A:$A,0)),"⚠ unknown recipe_id"))</f>
        <v/>
      </c>
      <c r="K177" s="12" t="str">
        <f aca="false">IF(C177="","",IFERROR(INDEX(Recipes!$C:$C,MATCH(C177,Recipes!$A:$A,0)),""))</f>
        <v/>
      </c>
      <c r="L177" s="12" t="str">
        <f aca="false">IF(AND(A177='Grocery List'!$B$3,E177="Yes"),COUNTIFS($A$4:A177,'Grocery List'!$B$3,$E$4:E177,"Yes"),"")</f>
        <v/>
      </c>
    </row>
    <row r="178" customFormat="false" ht="15" hidden="false" customHeight="false" outlineLevel="0" collapsed="false">
      <c r="A178" s="16"/>
      <c r="D178" s="12" t="str">
        <f aca="false">IF(C178="","",IFERROR(INDEX(Recipes!$B:$B,MATCH(C178,Recipes!$A:$A,0)),"⚠ unknown recipe_id"))</f>
        <v/>
      </c>
      <c r="K178" s="12" t="str">
        <f aca="false">IF(C178="","",IFERROR(INDEX(Recipes!$C:$C,MATCH(C178,Recipes!$A:$A,0)),""))</f>
        <v/>
      </c>
      <c r="L178" s="12" t="str">
        <f aca="false">IF(AND(A178='Grocery List'!$B$3,E178="Yes"),COUNTIFS($A$4:A178,'Grocery List'!$B$3,$E$4:E178,"Yes"),"")</f>
        <v/>
      </c>
    </row>
    <row r="179" customFormat="false" ht="15" hidden="false" customHeight="false" outlineLevel="0" collapsed="false">
      <c r="A179" s="16"/>
      <c r="D179" s="12" t="str">
        <f aca="false">IF(C179="","",IFERROR(INDEX(Recipes!$B:$B,MATCH(C179,Recipes!$A:$A,0)),"⚠ unknown recipe_id"))</f>
        <v/>
      </c>
      <c r="K179" s="12" t="str">
        <f aca="false">IF(C179="","",IFERROR(INDEX(Recipes!$C:$C,MATCH(C179,Recipes!$A:$A,0)),""))</f>
        <v/>
      </c>
      <c r="L179" s="12" t="str">
        <f aca="false">IF(AND(A179='Grocery List'!$B$3,E179="Yes"),COUNTIFS($A$4:A179,'Grocery List'!$B$3,$E$4:E179,"Yes"),"")</f>
        <v/>
      </c>
    </row>
    <row r="180" customFormat="false" ht="15" hidden="false" customHeight="false" outlineLevel="0" collapsed="false">
      <c r="A180" s="16"/>
      <c r="D180" s="12" t="str">
        <f aca="false">IF(C180="","",IFERROR(INDEX(Recipes!$B:$B,MATCH(C180,Recipes!$A:$A,0)),"⚠ unknown recipe_id"))</f>
        <v/>
      </c>
      <c r="K180" s="12" t="str">
        <f aca="false">IF(C180="","",IFERROR(INDEX(Recipes!$C:$C,MATCH(C180,Recipes!$A:$A,0)),""))</f>
        <v/>
      </c>
      <c r="L180" s="12" t="str">
        <f aca="false">IF(AND(A180='Grocery List'!$B$3,E180="Yes"),COUNTIFS($A$4:A180,'Grocery List'!$B$3,$E$4:E180,"Yes"),"")</f>
        <v/>
      </c>
    </row>
    <row r="181" customFormat="false" ht="15" hidden="false" customHeight="false" outlineLevel="0" collapsed="false">
      <c r="A181" s="16"/>
      <c r="D181" s="12" t="str">
        <f aca="false">IF(C181="","",IFERROR(INDEX(Recipes!$B:$B,MATCH(C181,Recipes!$A:$A,0)),"⚠ unknown recipe_id"))</f>
        <v/>
      </c>
      <c r="K181" s="12" t="str">
        <f aca="false">IF(C181="","",IFERROR(INDEX(Recipes!$C:$C,MATCH(C181,Recipes!$A:$A,0)),""))</f>
        <v/>
      </c>
      <c r="L181" s="12" t="str">
        <f aca="false">IF(AND(A181='Grocery List'!$B$3,E181="Yes"),COUNTIFS($A$4:A181,'Grocery List'!$B$3,$E$4:E181,"Yes"),"")</f>
        <v/>
      </c>
    </row>
    <row r="182" customFormat="false" ht="15" hidden="false" customHeight="false" outlineLevel="0" collapsed="false">
      <c r="A182" s="16"/>
      <c r="D182" s="12" t="str">
        <f aca="false">IF(C182="","",IFERROR(INDEX(Recipes!$B:$B,MATCH(C182,Recipes!$A:$A,0)),"⚠ unknown recipe_id"))</f>
        <v/>
      </c>
      <c r="K182" s="12" t="str">
        <f aca="false">IF(C182="","",IFERROR(INDEX(Recipes!$C:$C,MATCH(C182,Recipes!$A:$A,0)),""))</f>
        <v/>
      </c>
      <c r="L182" s="12" t="str">
        <f aca="false">IF(AND(A182='Grocery List'!$B$3,E182="Yes"),COUNTIFS($A$4:A182,'Grocery List'!$B$3,$E$4:E182,"Yes"),"")</f>
        <v/>
      </c>
    </row>
    <row r="183" customFormat="false" ht="15" hidden="false" customHeight="false" outlineLevel="0" collapsed="false">
      <c r="A183" s="16"/>
      <c r="D183" s="12" t="str">
        <f aca="false">IF(C183="","",IFERROR(INDEX(Recipes!$B:$B,MATCH(C183,Recipes!$A:$A,0)),"⚠ unknown recipe_id"))</f>
        <v/>
      </c>
      <c r="K183" s="12" t="str">
        <f aca="false">IF(C183="","",IFERROR(INDEX(Recipes!$C:$C,MATCH(C183,Recipes!$A:$A,0)),""))</f>
        <v/>
      </c>
      <c r="L183" s="12" t="str">
        <f aca="false">IF(AND(A183='Grocery List'!$B$3,E183="Yes"),COUNTIFS($A$4:A183,'Grocery List'!$B$3,$E$4:E183,"Yes"),"")</f>
        <v/>
      </c>
    </row>
    <row r="184" customFormat="false" ht="15" hidden="false" customHeight="false" outlineLevel="0" collapsed="false">
      <c r="A184" s="16"/>
      <c r="D184" s="12" t="str">
        <f aca="false">IF(C184="","",IFERROR(INDEX(Recipes!$B:$B,MATCH(C184,Recipes!$A:$A,0)),"⚠ unknown recipe_id"))</f>
        <v/>
      </c>
      <c r="K184" s="12" t="str">
        <f aca="false">IF(C184="","",IFERROR(INDEX(Recipes!$C:$C,MATCH(C184,Recipes!$A:$A,0)),""))</f>
        <v/>
      </c>
      <c r="L184" s="12" t="str">
        <f aca="false">IF(AND(A184='Grocery List'!$B$3,E184="Yes"),COUNTIFS($A$4:A184,'Grocery List'!$B$3,$E$4:E184,"Yes"),"")</f>
        <v/>
      </c>
    </row>
    <row r="185" customFormat="false" ht="15" hidden="false" customHeight="false" outlineLevel="0" collapsed="false">
      <c r="A185" s="16"/>
      <c r="D185" s="12" t="str">
        <f aca="false">IF(C185="","",IFERROR(INDEX(Recipes!$B:$B,MATCH(C185,Recipes!$A:$A,0)),"⚠ unknown recipe_id"))</f>
        <v/>
      </c>
      <c r="K185" s="12" t="str">
        <f aca="false">IF(C185="","",IFERROR(INDEX(Recipes!$C:$C,MATCH(C185,Recipes!$A:$A,0)),""))</f>
        <v/>
      </c>
      <c r="L185" s="12" t="str">
        <f aca="false">IF(AND(A185='Grocery List'!$B$3,E185="Yes"),COUNTIFS($A$4:A185,'Grocery List'!$B$3,$E$4:E185,"Yes"),"")</f>
        <v/>
      </c>
    </row>
    <row r="186" customFormat="false" ht="15" hidden="false" customHeight="false" outlineLevel="0" collapsed="false">
      <c r="A186" s="16"/>
      <c r="D186" s="12" t="str">
        <f aca="false">IF(C186="","",IFERROR(INDEX(Recipes!$B:$B,MATCH(C186,Recipes!$A:$A,0)),"⚠ unknown recipe_id"))</f>
        <v/>
      </c>
      <c r="K186" s="12" t="str">
        <f aca="false">IF(C186="","",IFERROR(INDEX(Recipes!$C:$C,MATCH(C186,Recipes!$A:$A,0)),""))</f>
        <v/>
      </c>
      <c r="L186" s="12" t="str">
        <f aca="false">IF(AND(A186='Grocery List'!$B$3,E186="Yes"),COUNTIFS($A$4:A186,'Grocery List'!$B$3,$E$4:E186,"Yes"),"")</f>
        <v/>
      </c>
    </row>
    <row r="187" customFormat="false" ht="15" hidden="false" customHeight="false" outlineLevel="0" collapsed="false">
      <c r="A187" s="16"/>
      <c r="D187" s="12" t="str">
        <f aca="false">IF(C187="","",IFERROR(INDEX(Recipes!$B:$B,MATCH(C187,Recipes!$A:$A,0)),"⚠ unknown recipe_id"))</f>
        <v/>
      </c>
      <c r="K187" s="12" t="str">
        <f aca="false">IF(C187="","",IFERROR(INDEX(Recipes!$C:$C,MATCH(C187,Recipes!$A:$A,0)),""))</f>
        <v/>
      </c>
      <c r="L187" s="12" t="str">
        <f aca="false">IF(AND(A187='Grocery List'!$B$3,E187="Yes"),COUNTIFS($A$4:A187,'Grocery List'!$B$3,$E$4:E187,"Yes"),"")</f>
        <v/>
      </c>
    </row>
    <row r="188" customFormat="false" ht="15" hidden="false" customHeight="false" outlineLevel="0" collapsed="false">
      <c r="A188" s="16"/>
      <c r="D188" s="12" t="str">
        <f aca="false">IF(C188="","",IFERROR(INDEX(Recipes!$B:$B,MATCH(C188,Recipes!$A:$A,0)),"⚠ unknown recipe_id"))</f>
        <v/>
      </c>
      <c r="K188" s="12" t="str">
        <f aca="false">IF(C188="","",IFERROR(INDEX(Recipes!$C:$C,MATCH(C188,Recipes!$A:$A,0)),""))</f>
        <v/>
      </c>
      <c r="L188" s="12" t="str">
        <f aca="false">IF(AND(A188='Grocery List'!$B$3,E188="Yes"),COUNTIFS($A$4:A188,'Grocery List'!$B$3,$E$4:E188,"Yes"),"")</f>
        <v/>
      </c>
    </row>
    <row r="189" customFormat="false" ht="15" hidden="false" customHeight="false" outlineLevel="0" collapsed="false">
      <c r="A189" s="16"/>
      <c r="D189" s="12" t="str">
        <f aca="false">IF(C189="","",IFERROR(INDEX(Recipes!$B:$B,MATCH(C189,Recipes!$A:$A,0)),"⚠ unknown recipe_id"))</f>
        <v/>
      </c>
      <c r="K189" s="12" t="str">
        <f aca="false">IF(C189="","",IFERROR(INDEX(Recipes!$C:$C,MATCH(C189,Recipes!$A:$A,0)),""))</f>
        <v/>
      </c>
      <c r="L189" s="12" t="str">
        <f aca="false">IF(AND(A189='Grocery List'!$B$3,E189="Yes"),COUNTIFS($A$4:A189,'Grocery List'!$B$3,$E$4:E189,"Yes"),"")</f>
        <v/>
      </c>
    </row>
    <row r="190" customFormat="false" ht="15" hidden="false" customHeight="false" outlineLevel="0" collapsed="false">
      <c r="A190" s="16"/>
      <c r="D190" s="12" t="str">
        <f aca="false">IF(C190="","",IFERROR(INDEX(Recipes!$B:$B,MATCH(C190,Recipes!$A:$A,0)),"⚠ unknown recipe_id"))</f>
        <v/>
      </c>
      <c r="K190" s="12" t="str">
        <f aca="false">IF(C190="","",IFERROR(INDEX(Recipes!$C:$C,MATCH(C190,Recipes!$A:$A,0)),""))</f>
        <v/>
      </c>
      <c r="L190" s="12" t="str">
        <f aca="false">IF(AND(A190='Grocery List'!$B$3,E190="Yes"),COUNTIFS($A$4:A190,'Grocery List'!$B$3,$E$4:E190,"Yes"),"")</f>
        <v/>
      </c>
    </row>
    <row r="191" customFormat="false" ht="15" hidden="false" customHeight="false" outlineLevel="0" collapsed="false">
      <c r="A191" s="16"/>
      <c r="D191" s="12" t="str">
        <f aca="false">IF(C191="","",IFERROR(INDEX(Recipes!$B:$B,MATCH(C191,Recipes!$A:$A,0)),"⚠ unknown recipe_id"))</f>
        <v/>
      </c>
      <c r="K191" s="12" t="str">
        <f aca="false">IF(C191="","",IFERROR(INDEX(Recipes!$C:$C,MATCH(C191,Recipes!$A:$A,0)),""))</f>
        <v/>
      </c>
      <c r="L191" s="12" t="str">
        <f aca="false">IF(AND(A191='Grocery List'!$B$3,E191="Yes"),COUNTIFS($A$4:A191,'Grocery List'!$B$3,$E$4:E191,"Yes"),"")</f>
        <v/>
      </c>
    </row>
    <row r="192" customFormat="false" ht="15" hidden="false" customHeight="false" outlineLevel="0" collapsed="false">
      <c r="A192" s="16"/>
      <c r="D192" s="12" t="str">
        <f aca="false">IF(C192="","",IFERROR(INDEX(Recipes!$B:$B,MATCH(C192,Recipes!$A:$A,0)),"⚠ unknown recipe_id"))</f>
        <v/>
      </c>
      <c r="K192" s="12" t="str">
        <f aca="false">IF(C192="","",IFERROR(INDEX(Recipes!$C:$C,MATCH(C192,Recipes!$A:$A,0)),""))</f>
        <v/>
      </c>
      <c r="L192" s="12" t="str">
        <f aca="false">IF(AND(A192='Grocery List'!$B$3,E192="Yes"),COUNTIFS($A$4:A192,'Grocery List'!$B$3,$E$4:E192,"Yes"),"")</f>
        <v/>
      </c>
    </row>
    <row r="193" customFormat="false" ht="15" hidden="false" customHeight="false" outlineLevel="0" collapsed="false">
      <c r="A193" s="16"/>
      <c r="D193" s="12" t="str">
        <f aca="false">IF(C193="","",IFERROR(INDEX(Recipes!$B:$B,MATCH(C193,Recipes!$A:$A,0)),"⚠ unknown recipe_id"))</f>
        <v/>
      </c>
      <c r="K193" s="12" t="str">
        <f aca="false">IF(C193="","",IFERROR(INDEX(Recipes!$C:$C,MATCH(C193,Recipes!$A:$A,0)),""))</f>
        <v/>
      </c>
      <c r="L193" s="12" t="str">
        <f aca="false">IF(AND(A193='Grocery List'!$B$3,E193="Yes"),COUNTIFS($A$4:A193,'Grocery List'!$B$3,$E$4:E193,"Yes"),"")</f>
        <v/>
      </c>
    </row>
    <row r="194" customFormat="false" ht="15" hidden="false" customHeight="false" outlineLevel="0" collapsed="false">
      <c r="A194" s="16"/>
      <c r="D194" s="12" t="str">
        <f aca="false">IF(C194="","",IFERROR(INDEX(Recipes!$B:$B,MATCH(C194,Recipes!$A:$A,0)),"⚠ unknown recipe_id"))</f>
        <v/>
      </c>
      <c r="K194" s="12" t="str">
        <f aca="false">IF(C194="","",IFERROR(INDEX(Recipes!$C:$C,MATCH(C194,Recipes!$A:$A,0)),""))</f>
        <v/>
      </c>
      <c r="L194" s="12" t="str">
        <f aca="false">IF(AND(A194='Grocery List'!$B$3,E194="Yes"),COUNTIFS($A$4:A194,'Grocery List'!$B$3,$E$4:E194,"Yes"),"")</f>
        <v/>
      </c>
    </row>
    <row r="195" customFormat="false" ht="15" hidden="false" customHeight="false" outlineLevel="0" collapsed="false">
      <c r="A195" s="16"/>
      <c r="D195" s="12" t="str">
        <f aca="false">IF(C195="","",IFERROR(INDEX(Recipes!$B:$B,MATCH(C195,Recipes!$A:$A,0)),"⚠ unknown recipe_id"))</f>
        <v/>
      </c>
      <c r="K195" s="12" t="str">
        <f aca="false">IF(C195="","",IFERROR(INDEX(Recipes!$C:$C,MATCH(C195,Recipes!$A:$A,0)),""))</f>
        <v/>
      </c>
      <c r="L195" s="12" t="str">
        <f aca="false">IF(AND(A195='Grocery List'!$B$3,E195="Yes"),COUNTIFS($A$4:A195,'Grocery List'!$B$3,$E$4:E195,"Yes"),"")</f>
        <v/>
      </c>
    </row>
    <row r="196" customFormat="false" ht="15" hidden="false" customHeight="false" outlineLevel="0" collapsed="false">
      <c r="A196" s="16"/>
      <c r="D196" s="12" t="str">
        <f aca="false">IF(C196="","",IFERROR(INDEX(Recipes!$B:$B,MATCH(C196,Recipes!$A:$A,0)),"⚠ unknown recipe_id"))</f>
        <v/>
      </c>
      <c r="K196" s="12" t="str">
        <f aca="false">IF(C196="","",IFERROR(INDEX(Recipes!$C:$C,MATCH(C196,Recipes!$A:$A,0)),""))</f>
        <v/>
      </c>
      <c r="L196" s="12" t="str">
        <f aca="false">IF(AND(A196='Grocery List'!$B$3,E196="Yes"),COUNTIFS($A$4:A196,'Grocery List'!$B$3,$E$4:E196,"Yes"),"")</f>
        <v/>
      </c>
    </row>
    <row r="197" customFormat="false" ht="15" hidden="false" customHeight="false" outlineLevel="0" collapsed="false">
      <c r="A197" s="16"/>
      <c r="D197" s="12" t="str">
        <f aca="false">IF(C197="","",IFERROR(INDEX(Recipes!$B:$B,MATCH(C197,Recipes!$A:$A,0)),"⚠ unknown recipe_id"))</f>
        <v/>
      </c>
      <c r="K197" s="12" t="str">
        <f aca="false">IF(C197="","",IFERROR(INDEX(Recipes!$C:$C,MATCH(C197,Recipes!$A:$A,0)),""))</f>
        <v/>
      </c>
      <c r="L197" s="12" t="str">
        <f aca="false">IF(AND(A197='Grocery List'!$B$3,E197="Yes"),COUNTIFS($A$4:A197,'Grocery List'!$B$3,$E$4:E197,"Yes"),"")</f>
        <v/>
      </c>
    </row>
    <row r="198" customFormat="false" ht="15" hidden="false" customHeight="false" outlineLevel="0" collapsed="false">
      <c r="A198" s="16"/>
      <c r="D198" s="12" t="str">
        <f aca="false">IF(C198="","",IFERROR(INDEX(Recipes!$B:$B,MATCH(C198,Recipes!$A:$A,0)),"⚠ unknown recipe_id"))</f>
        <v/>
      </c>
      <c r="K198" s="12" t="str">
        <f aca="false">IF(C198="","",IFERROR(INDEX(Recipes!$C:$C,MATCH(C198,Recipes!$A:$A,0)),""))</f>
        <v/>
      </c>
      <c r="L198" s="12" t="str">
        <f aca="false">IF(AND(A198='Grocery List'!$B$3,E198="Yes"),COUNTIFS($A$4:A198,'Grocery List'!$B$3,$E$4:E198,"Yes"),"")</f>
        <v/>
      </c>
    </row>
    <row r="199" customFormat="false" ht="15" hidden="false" customHeight="false" outlineLevel="0" collapsed="false">
      <c r="A199" s="16"/>
      <c r="D199" s="12" t="str">
        <f aca="false">IF(C199="","",IFERROR(INDEX(Recipes!$B:$B,MATCH(C199,Recipes!$A:$A,0)),"⚠ unknown recipe_id"))</f>
        <v/>
      </c>
      <c r="K199" s="12" t="str">
        <f aca="false">IF(C199="","",IFERROR(INDEX(Recipes!$C:$C,MATCH(C199,Recipes!$A:$A,0)),""))</f>
        <v/>
      </c>
      <c r="L199" s="12" t="str">
        <f aca="false">IF(AND(A199='Grocery List'!$B$3,E199="Yes"),COUNTIFS($A$4:A199,'Grocery List'!$B$3,$E$4:E199,"Yes"),"")</f>
        <v/>
      </c>
    </row>
    <row r="200" customFormat="false" ht="15" hidden="false" customHeight="false" outlineLevel="0" collapsed="false">
      <c r="A200" s="16"/>
      <c r="D200" s="12" t="str">
        <f aca="false">IF(C200="","",IFERROR(INDEX(Recipes!$B:$B,MATCH(C200,Recipes!$A:$A,0)),"⚠ unknown recipe_id"))</f>
        <v/>
      </c>
      <c r="K200" s="12" t="str">
        <f aca="false">IF(C200="","",IFERROR(INDEX(Recipes!$C:$C,MATCH(C200,Recipes!$A:$A,0)),""))</f>
        <v/>
      </c>
      <c r="L200" s="12" t="str">
        <f aca="false">IF(AND(A200='Grocery List'!$B$3,E200="Yes"),COUNTIFS($A$4:A200,'Grocery List'!$B$3,$E$4:E200,"Yes"),"")</f>
        <v/>
      </c>
    </row>
    <row r="201" customFormat="false" ht="15" hidden="false" customHeight="false" outlineLevel="0" collapsed="false">
      <c r="A201" s="16"/>
      <c r="D201" s="12" t="str">
        <f aca="false">IF(C201="","",IFERROR(INDEX(Recipes!$B:$B,MATCH(C201,Recipes!$A:$A,0)),"⚠ unknown recipe_id"))</f>
        <v/>
      </c>
      <c r="K201" s="12" t="str">
        <f aca="false">IF(C201="","",IFERROR(INDEX(Recipes!$C:$C,MATCH(C201,Recipes!$A:$A,0)),""))</f>
        <v/>
      </c>
      <c r="L201" s="12" t="str">
        <f aca="false">IF(AND(A201='Grocery List'!$B$3,E201="Yes"),COUNTIFS($A$4:A201,'Grocery List'!$B$3,$E$4:E201,"Yes"),"")</f>
        <v/>
      </c>
    </row>
    <row r="202" customFormat="false" ht="15" hidden="false" customHeight="false" outlineLevel="0" collapsed="false">
      <c r="A202" s="16"/>
      <c r="D202" s="12" t="str">
        <f aca="false">IF(C202="","",IFERROR(INDEX(Recipes!$B:$B,MATCH(C202,Recipes!$A:$A,0)),"⚠ unknown recipe_id"))</f>
        <v/>
      </c>
      <c r="K202" s="12" t="str">
        <f aca="false">IF(C202="","",IFERROR(INDEX(Recipes!$C:$C,MATCH(C202,Recipes!$A:$A,0)),""))</f>
        <v/>
      </c>
      <c r="L202" s="12" t="str">
        <f aca="false">IF(AND(A202='Grocery List'!$B$3,E202="Yes"),COUNTIFS($A$4:A202,'Grocery List'!$B$3,$E$4:E202,"Yes"),"")</f>
        <v/>
      </c>
    </row>
    <row r="203" customFormat="false" ht="15" hidden="false" customHeight="false" outlineLevel="0" collapsed="false">
      <c r="A203" s="16"/>
      <c r="D203" s="12" t="str">
        <f aca="false">IF(C203="","",IFERROR(INDEX(Recipes!$B:$B,MATCH(C203,Recipes!$A:$A,0)),"⚠ unknown recipe_id"))</f>
        <v/>
      </c>
      <c r="K203" s="12" t="str">
        <f aca="false">IF(C203="","",IFERROR(INDEX(Recipes!$C:$C,MATCH(C203,Recipes!$A:$A,0)),""))</f>
        <v/>
      </c>
      <c r="L203" s="12" t="str">
        <f aca="false">IF(AND(A203='Grocery List'!$B$3,E203="Yes"),COUNTIFS($A$4:A203,'Grocery List'!$B$3,$E$4:E203,"Yes"),"")</f>
        <v/>
      </c>
    </row>
    <row r="204" customFormat="false" ht="15" hidden="false" customHeight="false" outlineLevel="0" collapsed="false">
      <c r="A204" s="16"/>
      <c r="D204" s="12" t="str">
        <f aca="false">IF(C204="","",IFERROR(INDEX(Recipes!$B:$B,MATCH(C204,Recipes!$A:$A,0)),"⚠ unknown recipe_id"))</f>
        <v/>
      </c>
      <c r="K204" s="12" t="str">
        <f aca="false">IF(C204="","",IFERROR(INDEX(Recipes!$C:$C,MATCH(C204,Recipes!$A:$A,0)),""))</f>
        <v/>
      </c>
      <c r="L204" s="12" t="str">
        <f aca="false">IF(AND(A204='Grocery List'!$B$3,E204="Yes"),COUNTIFS($A$4:A204,'Grocery List'!$B$3,$E$4:E204,"Yes"),"")</f>
        <v/>
      </c>
    </row>
    <row r="205" customFormat="false" ht="15" hidden="false" customHeight="false" outlineLevel="0" collapsed="false">
      <c r="A205" s="16"/>
      <c r="D205" s="12" t="str">
        <f aca="false">IF(C205="","",IFERROR(INDEX(Recipes!$B:$B,MATCH(C205,Recipes!$A:$A,0)),"⚠ unknown recipe_id"))</f>
        <v/>
      </c>
      <c r="K205" s="12" t="str">
        <f aca="false">IF(C205="","",IFERROR(INDEX(Recipes!$C:$C,MATCH(C205,Recipes!$A:$A,0)),""))</f>
        <v/>
      </c>
      <c r="L205" s="12" t="str">
        <f aca="false">IF(AND(A205='Grocery List'!$B$3,E205="Yes"),COUNTIFS($A$4:A205,'Grocery List'!$B$3,$E$4:E205,"Yes"),"")</f>
        <v/>
      </c>
    </row>
    <row r="206" customFormat="false" ht="15" hidden="false" customHeight="false" outlineLevel="0" collapsed="false">
      <c r="A206" s="16"/>
      <c r="D206" s="12" t="str">
        <f aca="false">IF(C206="","",IFERROR(INDEX(Recipes!$B:$B,MATCH(C206,Recipes!$A:$A,0)),"⚠ unknown recipe_id"))</f>
        <v/>
      </c>
      <c r="K206" s="12" t="str">
        <f aca="false">IF(C206="","",IFERROR(INDEX(Recipes!$C:$C,MATCH(C206,Recipes!$A:$A,0)),""))</f>
        <v/>
      </c>
      <c r="L206" s="12" t="str">
        <f aca="false">IF(AND(A206='Grocery List'!$B$3,E206="Yes"),COUNTIFS($A$4:A206,'Grocery List'!$B$3,$E$4:E206,"Yes"),"")</f>
        <v/>
      </c>
    </row>
    <row r="207" customFormat="false" ht="15" hidden="false" customHeight="false" outlineLevel="0" collapsed="false">
      <c r="A207" s="16"/>
      <c r="D207" s="12" t="str">
        <f aca="false">IF(C207="","",IFERROR(INDEX(Recipes!$B:$B,MATCH(C207,Recipes!$A:$A,0)),"⚠ unknown recipe_id"))</f>
        <v/>
      </c>
      <c r="K207" s="12" t="str">
        <f aca="false">IF(C207="","",IFERROR(INDEX(Recipes!$C:$C,MATCH(C207,Recipes!$A:$A,0)),""))</f>
        <v/>
      </c>
      <c r="L207" s="12" t="str">
        <f aca="false">IF(AND(A207='Grocery List'!$B$3,E207="Yes"),COUNTIFS($A$4:A207,'Grocery List'!$B$3,$E$4:E207,"Yes"),"")</f>
        <v/>
      </c>
    </row>
    <row r="208" customFormat="false" ht="15" hidden="false" customHeight="false" outlineLevel="0" collapsed="false">
      <c r="A208" s="16"/>
      <c r="D208" s="12" t="str">
        <f aca="false">IF(C208="","",IFERROR(INDEX(Recipes!$B:$B,MATCH(C208,Recipes!$A:$A,0)),"⚠ unknown recipe_id"))</f>
        <v/>
      </c>
      <c r="K208" s="12" t="str">
        <f aca="false">IF(C208="","",IFERROR(INDEX(Recipes!$C:$C,MATCH(C208,Recipes!$A:$A,0)),""))</f>
        <v/>
      </c>
      <c r="L208" s="12" t="str">
        <f aca="false">IF(AND(A208='Grocery List'!$B$3,E208="Yes"),COUNTIFS($A$4:A208,'Grocery List'!$B$3,$E$4:E208,"Yes"),"")</f>
        <v/>
      </c>
    </row>
    <row r="209" customFormat="false" ht="15" hidden="false" customHeight="false" outlineLevel="0" collapsed="false">
      <c r="A209" s="16"/>
      <c r="D209" s="12" t="str">
        <f aca="false">IF(C209="","",IFERROR(INDEX(Recipes!$B:$B,MATCH(C209,Recipes!$A:$A,0)),"⚠ unknown recipe_id"))</f>
        <v/>
      </c>
      <c r="K209" s="12" t="str">
        <f aca="false">IF(C209="","",IFERROR(INDEX(Recipes!$C:$C,MATCH(C209,Recipes!$A:$A,0)),""))</f>
        <v/>
      </c>
      <c r="L209" s="12" t="str">
        <f aca="false">IF(AND(A209='Grocery List'!$B$3,E209="Yes"),COUNTIFS($A$4:A209,'Grocery List'!$B$3,$E$4:E209,"Yes"),"")</f>
        <v/>
      </c>
    </row>
    <row r="210" customFormat="false" ht="15" hidden="false" customHeight="false" outlineLevel="0" collapsed="false">
      <c r="A210" s="16"/>
      <c r="D210" s="12" t="str">
        <f aca="false">IF(C210="","",IFERROR(INDEX(Recipes!$B:$B,MATCH(C210,Recipes!$A:$A,0)),"⚠ unknown recipe_id"))</f>
        <v/>
      </c>
      <c r="K210" s="12" t="str">
        <f aca="false">IF(C210="","",IFERROR(INDEX(Recipes!$C:$C,MATCH(C210,Recipes!$A:$A,0)),""))</f>
        <v/>
      </c>
      <c r="L210" s="12" t="str">
        <f aca="false">IF(AND(A210='Grocery List'!$B$3,E210="Yes"),COUNTIFS($A$4:A210,'Grocery List'!$B$3,$E$4:E210,"Yes"),"")</f>
        <v/>
      </c>
    </row>
    <row r="211" customFormat="false" ht="15" hidden="false" customHeight="false" outlineLevel="0" collapsed="false">
      <c r="A211" s="16"/>
      <c r="D211" s="12" t="str">
        <f aca="false">IF(C211="","",IFERROR(INDEX(Recipes!$B:$B,MATCH(C211,Recipes!$A:$A,0)),"⚠ unknown recipe_id"))</f>
        <v/>
      </c>
      <c r="K211" s="12" t="str">
        <f aca="false">IF(C211="","",IFERROR(INDEX(Recipes!$C:$C,MATCH(C211,Recipes!$A:$A,0)),""))</f>
        <v/>
      </c>
      <c r="L211" s="12" t="str">
        <f aca="false">IF(AND(A211='Grocery List'!$B$3,E211="Yes"),COUNTIFS($A$4:A211,'Grocery List'!$B$3,$E$4:E211,"Yes"),"")</f>
        <v/>
      </c>
    </row>
    <row r="212" customFormat="false" ht="15" hidden="false" customHeight="false" outlineLevel="0" collapsed="false">
      <c r="A212" s="16"/>
      <c r="D212" s="12" t="str">
        <f aca="false">IF(C212="","",IFERROR(INDEX(Recipes!$B:$B,MATCH(C212,Recipes!$A:$A,0)),"⚠ unknown recipe_id"))</f>
        <v/>
      </c>
      <c r="K212" s="12" t="str">
        <f aca="false">IF(C212="","",IFERROR(INDEX(Recipes!$C:$C,MATCH(C212,Recipes!$A:$A,0)),""))</f>
        <v/>
      </c>
      <c r="L212" s="12" t="str">
        <f aca="false">IF(AND(A212='Grocery List'!$B$3,E212="Yes"),COUNTIFS($A$4:A212,'Grocery List'!$B$3,$E$4:E212,"Yes"),"")</f>
        <v/>
      </c>
    </row>
    <row r="213" customFormat="false" ht="15" hidden="false" customHeight="false" outlineLevel="0" collapsed="false">
      <c r="A213" s="16"/>
      <c r="D213" s="12" t="str">
        <f aca="false">IF(C213="","",IFERROR(INDEX(Recipes!$B:$B,MATCH(C213,Recipes!$A:$A,0)),"⚠ unknown recipe_id"))</f>
        <v/>
      </c>
      <c r="K213" s="12" t="str">
        <f aca="false">IF(C213="","",IFERROR(INDEX(Recipes!$C:$C,MATCH(C213,Recipes!$A:$A,0)),""))</f>
        <v/>
      </c>
      <c r="L213" s="12" t="str">
        <f aca="false">IF(AND(A213='Grocery List'!$B$3,E213="Yes"),COUNTIFS($A$4:A213,'Grocery List'!$B$3,$E$4:E213,"Yes"),"")</f>
        <v/>
      </c>
    </row>
    <row r="214" customFormat="false" ht="15" hidden="false" customHeight="false" outlineLevel="0" collapsed="false">
      <c r="A214" s="16"/>
      <c r="D214" s="12" t="str">
        <f aca="false">IF(C214="","",IFERROR(INDEX(Recipes!$B:$B,MATCH(C214,Recipes!$A:$A,0)),"⚠ unknown recipe_id"))</f>
        <v/>
      </c>
      <c r="K214" s="12" t="str">
        <f aca="false">IF(C214="","",IFERROR(INDEX(Recipes!$C:$C,MATCH(C214,Recipes!$A:$A,0)),""))</f>
        <v/>
      </c>
      <c r="L214" s="12" t="str">
        <f aca="false">IF(AND(A214='Grocery List'!$B$3,E214="Yes"),COUNTIFS($A$4:A214,'Grocery List'!$B$3,$E$4:E214,"Yes"),"")</f>
        <v/>
      </c>
    </row>
    <row r="215" customFormat="false" ht="15" hidden="false" customHeight="false" outlineLevel="0" collapsed="false">
      <c r="A215" s="16"/>
      <c r="D215" s="12" t="str">
        <f aca="false">IF(C215="","",IFERROR(INDEX(Recipes!$B:$B,MATCH(C215,Recipes!$A:$A,0)),"⚠ unknown recipe_id"))</f>
        <v/>
      </c>
      <c r="K215" s="12" t="str">
        <f aca="false">IF(C215="","",IFERROR(INDEX(Recipes!$C:$C,MATCH(C215,Recipes!$A:$A,0)),""))</f>
        <v/>
      </c>
      <c r="L215" s="12" t="str">
        <f aca="false">IF(AND(A215='Grocery List'!$B$3,E215="Yes"),COUNTIFS($A$4:A215,'Grocery List'!$B$3,$E$4:E215,"Yes"),"")</f>
        <v/>
      </c>
    </row>
    <row r="216" customFormat="false" ht="15" hidden="false" customHeight="false" outlineLevel="0" collapsed="false">
      <c r="A216" s="16"/>
      <c r="D216" s="12" t="str">
        <f aca="false">IF(C216="","",IFERROR(INDEX(Recipes!$B:$B,MATCH(C216,Recipes!$A:$A,0)),"⚠ unknown recipe_id"))</f>
        <v/>
      </c>
      <c r="K216" s="12" t="str">
        <f aca="false">IF(C216="","",IFERROR(INDEX(Recipes!$C:$C,MATCH(C216,Recipes!$A:$A,0)),""))</f>
        <v/>
      </c>
      <c r="L216" s="12" t="str">
        <f aca="false">IF(AND(A216='Grocery List'!$B$3,E216="Yes"),COUNTIFS($A$4:A216,'Grocery List'!$B$3,$E$4:E216,"Yes"),"")</f>
        <v/>
      </c>
    </row>
    <row r="217" customFormat="false" ht="15" hidden="false" customHeight="false" outlineLevel="0" collapsed="false">
      <c r="A217" s="16"/>
      <c r="D217" s="12" t="str">
        <f aca="false">IF(C217="","",IFERROR(INDEX(Recipes!$B:$B,MATCH(C217,Recipes!$A:$A,0)),"⚠ unknown recipe_id"))</f>
        <v/>
      </c>
      <c r="K217" s="12" t="str">
        <f aca="false">IF(C217="","",IFERROR(INDEX(Recipes!$C:$C,MATCH(C217,Recipes!$A:$A,0)),""))</f>
        <v/>
      </c>
      <c r="L217" s="12" t="str">
        <f aca="false">IF(AND(A217='Grocery List'!$B$3,E217="Yes"),COUNTIFS($A$4:A217,'Grocery List'!$B$3,$E$4:E217,"Yes"),"")</f>
        <v/>
      </c>
    </row>
    <row r="218" customFormat="false" ht="15" hidden="false" customHeight="false" outlineLevel="0" collapsed="false">
      <c r="A218" s="16"/>
      <c r="D218" s="12" t="str">
        <f aca="false">IF(C218="","",IFERROR(INDEX(Recipes!$B:$B,MATCH(C218,Recipes!$A:$A,0)),"⚠ unknown recipe_id"))</f>
        <v/>
      </c>
      <c r="K218" s="12" t="str">
        <f aca="false">IF(C218="","",IFERROR(INDEX(Recipes!$C:$C,MATCH(C218,Recipes!$A:$A,0)),""))</f>
        <v/>
      </c>
      <c r="L218" s="12" t="str">
        <f aca="false">IF(AND(A218='Grocery List'!$B$3,E218="Yes"),COUNTIFS($A$4:A218,'Grocery List'!$B$3,$E$4:E218,"Yes"),"")</f>
        <v/>
      </c>
    </row>
    <row r="219" customFormat="false" ht="15" hidden="false" customHeight="false" outlineLevel="0" collapsed="false">
      <c r="A219" s="16"/>
      <c r="D219" s="12" t="str">
        <f aca="false">IF(C219="","",IFERROR(INDEX(Recipes!$B:$B,MATCH(C219,Recipes!$A:$A,0)),"⚠ unknown recipe_id"))</f>
        <v/>
      </c>
      <c r="K219" s="12" t="str">
        <f aca="false">IF(C219="","",IFERROR(INDEX(Recipes!$C:$C,MATCH(C219,Recipes!$A:$A,0)),""))</f>
        <v/>
      </c>
      <c r="L219" s="12" t="str">
        <f aca="false">IF(AND(A219='Grocery List'!$B$3,E219="Yes"),COUNTIFS($A$4:A219,'Grocery List'!$B$3,$E$4:E219,"Yes"),"")</f>
        <v/>
      </c>
    </row>
    <row r="220" customFormat="false" ht="15" hidden="false" customHeight="false" outlineLevel="0" collapsed="false">
      <c r="A220" s="16"/>
      <c r="D220" s="12" t="str">
        <f aca="false">IF(C220="","",IFERROR(INDEX(Recipes!$B:$B,MATCH(C220,Recipes!$A:$A,0)),"⚠ unknown recipe_id"))</f>
        <v/>
      </c>
      <c r="K220" s="12" t="str">
        <f aca="false">IF(C220="","",IFERROR(INDEX(Recipes!$C:$C,MATCH(C220,Recipes!$A:$A,0)),""))</f>
        <v/>
      </c>
      <c r="L220" s="12" t="str">
        <f aca="false">IF(AND(A220='Grocery List'!$B$3,E220="Yes"),COUNTIFS($A$4:A220,'Grocery List'!$B$3,$E$4:E220,"Yes"),"")</f>
        <v/>
      </c>
    </row>
    <row r="221" customFormat="false" ht="15" hidden="false" customHeight="false" outlineLevel="0" collapsed="false">
      <c r="A221" s="16"/>
      <c r="D221" s="12" t="str">
        <f aca="false">IF(C221="","",IFERROR(INDEX(Recipes!$B:$B,MATCH(C221,Recipes!$A:$A,0)),"⚠ unknown recipe_id"))</f>
        <v/>
      </c>
      <c r="K221" s="12" t="str">
        <f aca="false">IF(C221="","",IFERROR(INDEX(Recipes!$C:$C,MATCH(C221,Recipes!$A:$A,0)),""))</f>
        <v/>
      </c>
      <c r="L221" s="12" t="str">
        <f aca="false">IF(AND(A221='Grocery List'!$B$3,E221="Yes"),COUNTIFS($A$4:A221,'Grocery List'!$B$3,$E$4:E221,"Yes"),"")</f>
        <v/>
      </c>
    </row>
    <row r="222" customFormat="false" ht="15" hidden="false" customHeight="false" outlineLevel="0" collapsed="false">
      <c r="A222" s="16"/>
      <c r="D222" s="12" t="str">
        <f aca="false">IF(C222="","",IFERROR(INDEX(Recipes!$B:$B,MATCH(C222,Recipes!$A:$A,0)),"⚠ unknown recipe_id"))</f>
        <v/>
      </c>
      <c r="K222" s="12" t="str">
        <f aca="false">IF(C222="","",IFERROR(INDEX(Recipes!$C:$C,MATCH(C222,Recipes!$A:$A,0)),""))</f>
        <v/>
      </c>
      <c r="L222" s="12" t="str">
        <f aca="false">IF(AND(A222='Grocery List'!$B$3,E222="Yes"),COUNTIFS($A$4:A222,'Grocery List'!$B$3,$E$4:E222,"Yes"),"")</f>
        <v/>
      </c>
    </row>
    <row r="223" customFormat="false" ht="15" hidden="false" customHeight="false" outlineLevel="0" collapsed="false">
      <c r="A223" s="16"/>
      <c r="D223" s="12" t="str">
        <f aca="false">IF(C223="","",IFERROR(INDEX(Recipes!$B:$B,MATCH(C223,Recipes!$A:$A,0)),"⚠ unknown recipe_id"))</f>
        <v/>
      </c>
      <c r="K223" s="12" t="str">
        <f aca="false">IF(C223="","",IFERROR(INDEX(Recipes!$C:$C,MATCH(C223,Recipes!$A:$A,0)),""))</f>
        <v/>
      </c>
      <c r="L223" s="12" t="str">
        <f aca="false">IF(AND(A223='Grocery List'!$B$3,E223="Yes"),COUNTIFS($A$4:A223,'Grocery List'!$B$3,$E$4:E223,"Yes"),"")</f>
        <v/>
      </c>
    </row>
    <row r="224" customFormat="false" ht="15" hidden="false" customHeight="false" outlineLevel="0" collapsed="false">
      <c r="A224" s="16"/>
      <c r="D224" s="12" t="str">
        <f aca="false">IF(C224="","",IFERROR(INDEX(Recipes!$B:$B,MATCH(C224,Recipes!$A:$A,0)),"⚠ unknown recipe_id"))</f>
        <v/>
      </c>
      <c r="K224" s="12" t="str">
        <f aca="false">IF(C224="","",IFERROR(INDEX(Recipes!$C:$C,MATCH(C224,Recipes!$A:$A,0)),""))</f>
        <v/>
      </c>
      <c r="L224" s="12" t="str">
        <f aca="false">IF(AND(A224='Grocery List'!$B$3,E224="Yes"),COUNTIFS($A$4:A224,'Grocery List'!$B$3,$E$4:E224,"Yes"),"")</f>
        <v/>
      </c>
    </row>
    <row r="225" customFormat="false" ht="15" hidden="false" customHeight="false" outlineLevel="0" collapsed="false">
      <c r="A225" s="16"/>
      <c r="D225" s="12" t="str">
        <f aca="false">IF(C225="","",IFERROR(INDEX(Recipes!$B:$B,MATCH(C225,Recipes!$A:$A,0)),"⚠ unknown recipe_id"))</f>
        <v/>
      </c>
      <c r="K225" s="12" t="str">
        <f aca="false">IF(C225="","",IFERROR(INDEX(Recipes!$C:$C,MATCH(C225,Recipes!$A:$A,0)),""))</f>
        <v/>
      </c>
      <c r="L225" s="12" t="str">
        <f aca="false">IF(AND(A225='Grocery List'!$B$3,E225="Yes"),COUNTIFS($A$4:A225,'Grocery List'!$B$3,$E$4:E225,"Yes"),"")</f>
        <v/>
      </c>
    </row>
    <row r="226" customFormat="false" ht="15" hidden="false" customHeight="false" outlineLevel="0" collapsed="false">
      <c r="A226" s="16"/>
      <c r="D226" s="12" t="str">
        <f aca="false">IF(C226="","",IFERROR(INDEX(Recipes!$B:$B,MATCH(C226,Recipes!$A:$A,0)),"⚠ unknown recipe_id"))</f>
        <v/>
      </c>
      <c r="K226" s="12" t="str">
        <f aca="false">IF(C226="","",IFERROR(INDEX(Recipes!$C:$C,MATCH(C226,Recipes!$A:$A,0)),""))</f>
        <v/>
      </c>
      <c r="L226" s="12" t="str">
        <f aca="false">IF(AND(A226='Grocery List'!$B$3,E226="Yes"),COUNTIFS($A$4:A226,'Grocery List'!$B$3,$E$4:E226,"Yes"),"")</f>
        <v/>
      </c>
    </row>
    <row r="227" customFormat="false" ht="15" hidden="false" customHeight="false" outlineLevel="0" collapsed="false">
      <c r="A227" s="16"/>
      <c r="D227" s="12" t="str">
        <f aca="false">IF(C227="","",IFERROR(INDEX(Recipes!$B:$B,MATCH(C227,Recipes!$A:$A,0)),"⚠ unknown recipe_id"))</f>
        <v/>
      </c>
      <c r="K227" s="12" t="str">
        <f aca="false">IF(C227="","",IFERROR(INDEX(Recipes!$C:$C,MATCH(C227,Recipes!$A:$A,0)),""))</f>
        <v/>
      </c>
      <c r="L227" s="12" t="str">
        <f aca="false">IF(AND(A227='Grocery List'!$B$3,E227="Yes"),COUNTIFS($A$4:A227,'Grocery List'!$B$3,$E$4:E227,"Yes"),"")</f>
        <v/>
      </c>
    </row>
    <row r="228" customFormat="false" ht="15" hidden="false" customHeight="false" outlineLevel="0" collapsed="false">
      <c r="A228" s="16"/>
      <c r="D228" s="12" t="str">
        <f aca="false">IF(C228="","",IFERROR(INDEX(Recipes!$B:$B,MATCH(C228,Recipes!$A:$A,0)),"⚠ unknown recipe_id"))</f>
        <v/>
      </c>
      <c r="K228" s="12" t="str">
        <f aca="false">IF(C228="","",IFERROR(INDEX(Recipes!$C:$C,MATCH(C228,Recipes!$A:$A,0)),""))</f>
        <v/>
      </c>
      <c r="L228" s="12" t="str">
        <f aca="false">IF(AND(A228='Grocery List'!$B$3,E228="Yes"),COUNTIFS($A$4:A228,'Grocery List'!$B$3,$E$4:E228,"Yes"),"")</f>
        <v/>
      </c>
    </row>
    <row r="229" customFormat="false" ht="15" hidden="false" customHeight="false" outlineLevel="0" collapsed="false">
      <c r="A229" s="16"/>
      <c r="D229" s="12" t="str">
        <f aca="false">IF(C229="","",IFERROR(INDEX(Recipes!$B:$B,MATCH(C229,Recipes!$A:$A,0)),"⚠ unknown recipe_id"))</f>
        <v/>
      </c>
      <c r="K229" s="12" t="str">
        <f aca="false">IF(C229="","",IFERROR(INDEX(Recipes!$C:$C,MATCH(C229,Recipes!$A:$A,0)),""))</f>
        <v/>
      </c>
      <c r="L229" s="12" t="str">
        <f aca="false">IF(AND(A229='Grocery List'!$B$3,E229="Yes"),COUNTIFS($A$4:A229,'Grocery List'!$B$3,$E$4:E229,"Yes"),"")</f>
        <v/>
      </c>
    </row>
    <row r="230" customFormat="false" ht="15" hidden="false" customHeight="false" outlineLevel="0" collapsed="false">
      <c r="A230" s="16"/>
      <c r="D230" s="12" t="str">
        <f aca="false">IF(C230="","",IFERROR(INDEX(Recipes!$B:$B,MATCH(C230,Recipes!$A:$A,0)),"⚠ unknown recipe_id"))</f>
        <v/>
      </c>
      <c r="K230" s="12" t="str">
        <f aca="false">IF(C230="","",IFERROR(INDEX(Recipes!$C:$C,MATCH(C230,Recipes!$A:$A,0)),""))</f>
        <v/>
      </c>
      <c r="L230" s="12" t="str">
        <f aca="false">IF(AND(A230='Grocery List'!$B$3,E230="Yes"),COUNTIFS($A$4:A230,'Grocery List'!$B$3,$E$4:E230,"Yes"),"")</f>
        <v/>
      </c>
    </row>
    <row r="231" customFormat="false" ht="15" hidden="false" customHeight="false" outlineLevel="0" collapsed="false">
      <c r="A231" s="16"/>
      <c r="D231" s="12" t="str">
        <f aca="false">IF(C231="","",IFERROR(INDEX(Recipes!$B:$B,MATCH(C231,Recipes!$A:$A,0)),"⚠ unknown recipe_id"))</f>
        <v/>
      </c>
      <c r="K231" s="12" t="str">
        <f aca="false">IF(C231="","",IFERROR(INDEX(Recipes!$C:$C,MATCH(C231,Recipes!$A:$A,0)),""))</f>
        <v/>
      </c>
      <c r="L231" s="12" t="str">
        <f aca="false">IF(AND(A231='Grocery List'!$B$3,E231="Yes"),COUNTIFS($A$4:A231,'Grocery List'!$B$3,$E$4:E231,"Yes"),"")</f>
        <v/>
      </c>
    </row>
    <row r="232" customFormat="false" ht="15" hidden="false" customHeight="false" outlineLevel="0" collapsed="false">
      <c r="A232" s="16"/>
      <c r="D232" s="12" t="str">
        <f aca="false">IF(C232="","",IFERROR(INDEX(Recipes!$B:$B,MATCH(C232,Recipes!$A:$A,0)),"⚠ unknown recipe_id"))</f>
        <v/>
      </c>
      <c r="K232" s="12" t="str">
        <f aca="false">IF(C232="","",IFERROR(INDEX(Recipes!$C:$C,MATCH(C232,Recipes!$A:$A,0)),""))</f>
        <v/>
      </c>
      <c r="L232" s="12" t="str">
        <f aca="false">IF(AND(A232='Grocery List'!$B$3,E232="Yes"),COUNTIFS($A$4:A232,'Grocery List'!$B$3,$E$4:E232,"Yes"),"")</f>
        <v/>
      </c>
    </row>
    <row r="233" customFormat="false" ht="15" hidden="false" customHeight="false" outlineLevel="0" collapsed="false">
      <c r="A233" s="16"/>
      <c r="D233" s="12" t="str">
        <f aca="false">IF(C233="","",IFERROR(INDEX(Recipes!$B:$B,MATCH(C233,Recipes!$A:$A,0)),"⚠ unknown recipe_id"))</f>
        <v/>
      </c>
      <c r="K233" s="12" t="str">
        <f aca="false">IF(C233="","",IFERROR(INDEX(Recipes!$C:$C,MATCH(C233,Recipes!$A:$A,0)),""))</f>
        <v/>
      </c>
      <c r="L233" s="12" t="str">
        <f aca="false">IF(AND(A233='Grocery List'!$B$3,E233="Yes"),COUNTIFS($A$4:A233,'Grocery List'!$B$3,$E$4:E233,"Yes"),"")</f>
        <v/>
      </c>
    </row>
    <row r="234" customFormat="false" ht="15" hidden="false" customHeight="false" outlineLevel="0" collapsed="false">
      <c r="A234" s="16"/>
      <c r="D234" s="12" t="str">
        <f aca="false">IF(C234="","",IFERROR(INDEX(Recipes!$B:$B,MATCH(C234,Recipes!$A:$A,0)),"⚠ unknown recipe_id"))</f>
        <v/>
      </c>
      <c r="K234" s="12" t="str">
        <f aca="false">IF(C234="","",IFERROR(INDEX(Recipes!$C:$C,MATCH(C234,Recipes!$A:$A,0)),""))</f>
        <v/>
      </c>
      <c r="L234" s="12" t="str">
        <f aca="false">IF(AND(A234='Grocery List'!$B$3,E234="Yes"),COUNTIFS($A$4:A234,'Grocery List'!$B$3,$E$4:E234,"Yes"),"")</f>
        <v/>
      </c>
    </row>
    <row r="235" customFormat="false" ht="15" hidden="false" customHeight="false" outlineLevel="0" collapsed="false">
      <c r="A235" s="16"/>
      <c r="D235" s="12" t="str">
        <f aca="false">IF(C235="","",IFERROR(INDEX(Recipes!$B:$B,MATCH(C235,Recipes!$A:$A,0)),"⚠ unknown recipe_id"))</f>
        <v/>
      </c>
      <c r="K235" s="12" t="str">
        <f aca="false">IF(C235="","",IFERROR(INDEX(Recipes!$C:$C,MATCH(C235,Recipes!$A:$A,0)),""))</f>
        <v/>
      </c>
      <c r="L235" s="12" t="str">
        <f aca="false">IF(AND(A235='Grocery List'!$B$3,E235="Yes"),COUNTIFS($A$4:A235,'Grocery List'!$B$3,$E$4:E235,"Yes"),"")</f>
        <v/>
      </c>
    </row>
    <row r="236" customFormat="false" ht="15" hidden="false" customHeight="false" outlineLevel="0" collapsed="false">
      <c r="A236" s="16"/>
      <c r="D236" s="12" t="str">
        <f aca="false">IF(C236="","",IFERROR(INDEX(Recipes!$B:$B,MATCH(C236,Recipes!$A:$A,0)),"⚠ unknown recipe_id"))</f>
        <v/>
      </c>
      <c r="K236" s="12" t="str">
        <f aca="false">IF(C236="","",IFERROR(INDEX(Recipes!$C:$C,MATCH(C236,Recipes!$A:$A,0)),""))</f>
        <v/>
      </c>
      <c r="L236" s="12" t="str">
        <f aca="false">IF(AND(A236='Grocery List'!$B$3,E236="Yes"),COUNTIFS($A$4:A236,'Grocery List'!$B$3,$E$4:E236,"Yes"),"")</f>
        <v/>
      </c>
    </row>
    <row r="237" customFormat="false" ht="15" hidden="false" customHeight="false" outlineLevel="0" collapsed="false">
      <c r="A237" s="16"/>
      <c r="D237" s="12" t="str">
        <f aca="false">IF(C237="","",IFERROR(INDEX(Recipes!$B:$B,MATCH(C237,Recipes!$A:$A,0)),"⚠ unknown recipe_id"))</f>
        <v/>
      </c>
      <c r="K237" s="12" t="str">
        <f aca="false">IF(C237="","",IFERROR(INDEX(Recipes!$C:$C,MATCH(C237,Recipes!$A:$A,0)),""))</f>
        <v/>
      </c>
      <c r="L237" s="12" t="str">
        <f aca="false">IF(AND(A237='Grocery List'!$B$3,E237="Yes"),COUNTIFS($A$4:A237,'Grocery List'!$B$3,$E$4:E237,"Yes"),"")</f>
        <v/>
      </c>
    </row>
    <row r="238" customFormat="false" ht="15" hidden="false" customHeight="false" outlineLevel="0" collapsed="false">
      <c r="A238" s="16"/>
      <c r="D238" s="12" t="str">
        <f aca="false">IF(C238="","",IFERROR(INDEX(Recipes!$B:$B,MATCH(C238,Recipes!$A:$A,0)),"⚠ unknown recipe_id"))</f>
        <v/>
      </c>
      <c r="K238" s="12" t="str">
        <f aca="false">IF(C238="","",IFERROR(INDEX(Recipes!$C:$C,MATCH(C238,Recipes!$A:$A,0)),""))</f>
        <v/>
      </c>
      <c r="L238" s="12" t="str">
        <f aca="false">IF(AND(A238='Grocery List'!$B$3,E238="Yes"),COUNTIFS($A$4:A238,'Grocery List'!$B$3,$E$4:E238,"Yes"),"")</f>
        <v/>
      </c>
    </row>
    <row r="239" customFormat="false" ht="15" hidden="false" customHeight="false" outlineLevel="0" collapsed="false">
      <c r="A239" s="16"/>
      <c r="D239" s="12" t="str">
        <f aca="false">IF(C239="","",IFERROR(INDEX(Recipes!$B:$B,MATCH(C239,Recipes!$A:$A,0)),"⚠ unknown recipe_id"))</f>
        <v/>
      </c>
      <c r="K239" s="12" t="str">
        <f aca="false">IF(C239="","",IFERROR(INDEX(Recipes!$C:$C,MATCH(C239,Recipes!$A:$A,0)),""))</f>
        <v/>
      </c>
      <c r="L239" s="12" t="str">
        <f aca="false">IF(AND(A239='Grocery List'!$B$3,E239="Yes"),COUNTIFS($A$4:A239,'Grocery List'!$B$3,$E$4:E239,"Yes"),"")</f>
        <v/>
      </c>
    </row>
    <row r="240" customFormat="false" ht="15" hidden="false" customHeight="false" outlineLevel="0" collapsed="false">
      <c r="A240" s="16"/>
      <c r="D240" s="12" t="str">
        <f aca="false">IF(C240="","",IFERROR(INDEX(Recipes!$B:$B,MATCH(C240,Recipes!$A:$A,0)),"⚠ unknown recipe_id"))</f>
        <v/>
      </c>
      <c r="K240" s="12" t="str">
        <f aca="false">IF(C240="","",IFERROR(INDEX(Recipes!$C:$C,MATCH(C240,Recipes!$A:$A,0)),""))</f>
        <v/>
      </c>
      <c r="L240" s="12" t="str">
        <f aca="false">IF(AND(A240='Grocery List'!$B$3,E240="Yes"),COUNTIFS($A$4:A240,'Grocery List'!$B$3,$E$4:E240,"Yes"),"")</f>
        <v/>
      </c>
    </row>
    <row r="241" customFormat="false" ht="15" hidden="false" customHeight="false" outlineLevel="0" collapsed="false">
      <c r="A241" s="16"/>
      <c r="D241" s="12" t="str">
        <f aca="false">IF(C241="","",IFERROR(INDEX(Recipes!$B:$B,MATCH(C241,Recipes!$A:$A,0)),"⚠ unknown recipe_id"))</f>
        <v/>
      </c>
      <c r="K241" s="12" t="str">
        <f aca="false">IF(C241="","",IFERROR(INDEX(Recipes!$C:$C,MATCH(C241,Recipes!$A:$A,0)),""))</f>
        <v/>
      </c>
      <c r="L241" s="12" t="str">
        <f aca="false">IF(AND(A241='Grocery List'!$B$3,E241="Yes"),COUNTIFS($A$4:A241,'Grocery List'!$B$3,$E$4:E241,"Yes"),"")</f>
        <v/>
      </c>
    </row>
    <row r="242" customFormat="false" ht="15" hidden="false" customHeight="false" outlineLevel="0" collapsed="false">
      <c r="A242" s="16"/>
      <c r="D242" s="12" t="str">
        <f aca="false">IF(C242="","",IFERROR(INDEX(Recipes!$B:$B,MATCH(C242,Recipes!$A:$A,0)),"⚠ unknown recipe_id"))</f>
        <v/>
      </c>
      <c r="K242" s="12" t="str">
        <f aca="false">IF(C242="","",IFERROR(INDEX(Recipes!$C:$C,MATCH(C242,Recipes!$A:$A,0)),""))</f>
        <v/>
      </c>
      <c r="L242" s="12" t="str">
        <f aca="false">IF(AND(A242='Grocery List'!$B$3,E242="Yes"),COUNTIFS($A$4:A242,'Grocery List'!$B$3,$E$4:E242,"Yes"),"")</f>
        <v/>
      </c>
    </row>
    <row r="243" customFormat="false" ht="15" hidden="false" customHeight="false" outlineLevel="0" collapsed="false">
      <c r="A243" s="16"/>
      <c r="D243" s="12" t="str">
        <f aca="false">IF(C243="","",IFERROR(INDEX(Recipes!$B:$B,MATCH(C243,Recipes!$A:$A,0)),"⚠ unknown recipe_id"))</f>
        <v/>
      </c>
      <c r="K243" s="12" t="str">
        <f aca="false">IF(C243="","",IFERROR(INDEX(Recipes!$C:$C,MATCH(C243,Recipes!$A:$A,0)),""))</f>
        <v/>
      </c>
      <c r="L243" s="12" t="str">
        <f aca="false">IF(AND(A243='Grocery List'!$B$3,E243="Yes"),COUNTIFS($A$4:A243,'Grocery List'!$B$3,$E$4:E243,"Yes"),"")</f>
        <v/>
      </c>
    </row>
    <row r="244" customFormat="false" ht="15" hidden="false" customHeight="false" outlineLevel="0" collapsed="false">
      <c r="A244" s="16"/>
      <c r="D244" s="12" t="str">
        <f aca="false">IF(C244="","",IFERROR(INDEX(Recipes!$B:$B,MATCH(C244,Recipes!$A:$A,0)),"⚠ unknown recipe_id"))</f>
        <v/>
      </c>
      <c r="K244" s="12" t="str">
        <f aca="false">IF(C244="","",IFERROR(INDEX(Recipes!$C:$C,MATCH(C244,Recipes!$A:$A,0)),""))</f>
        <v/>
      </c>
      <c r="L244" s="12" t="str">
        <f aca="false">IF(AND(A244='Grocery List'!$B$3,E244="Yes"),COUNTIFS($A$4:A244,'Grocery List'!$B$3,$E$4:E244,"Yes"),"")</f>
        <v/>
      </c>
    </row>
    <row r="245" customFormat="false" ht="15" hidden="false" customHeight="false" outlineLevel="0" collapsed="false">
      <c r="A245" s="16"/>
      <c r="D245" s="12" t="str">
        <f aca="false">IF(C245="","",IFERROR(INDEX(Recipes!$B:$B,MATCH(C245,Recipes!$A:$A,0)),"⚠ unknown recipe_id"))</f>
        <v/>
      </c>
      <c r="K245" s="12" t="str">
        <f aca="false">IF(C245="","",IFERROR(INDEX(Recipes!$C:$C,MATCH(C245,Recipes!$A:$A,0)),""))</f>
        <v/>
      </c>
      <c r="L245" s="12" t="str">
        <f aca="false">IF(AND(A245='Grocery List'!$B$3,E245="Yes"),COUNTIFS($A$4:A245,'Grocery List'!$B$3,$E$4:E245,"Yes"),"")</f>
        <v/>
      </c>
    </row>
    <row r="246" customFormat="false" ht="15" hidden="false" customHeight="false" outlineLevel="0" collapsed="false">
      <c r="A246" s="16"/>
      <c r="D246" s="12" t="str">
        <f aca="false">IF(C246="","",IFERROR(INDEX(Recipes!$B:$B,MATCH(C246,Recipes!$A:$A,0)),"⚠ unknown recipe_id"))</f>
        <v/>
      </c>
      <c r="K246" s="12" t="str">
        <f aca="false">IF(C246="","",IFERROR(INDEX(Recipes!$C:$C,MATCH(C246,Recipes!$A:$A,0)),""))</f>
        <v/>
      </c>
      <c r="L246" s="12" t="str">
        <f aca="false">IF(AND(A246='Grocery List'!$B$3,E246="Yes"),COUNTIFS($A$4:A246,'Grocery List'!$B$3,$E$4:E246,"Yes"),"")</f>
        <v/>
      </c>
    </row>
    <row r="247" customFormat="false" ht="15" hidden="false" customHeight="false" outlineLevel="0" collapsed="false">
      <c r="A247" s="16"/>
      <c r="D247" s="12" t="str">
        <f aca="false">IF(C247="","",IFERROR(INDEX(Recipes!$B:$B,MATCH(C247,Recipes!$A:$A,0)),"⚠ unknown recipe_id"))</f>
        <v/>
      </c>
      <c r="K247" s="12" t="str">
        <f aca="false">IF(C247="","",IFERROR(INDEX(Recipes!$C:$C,MATCH(C247,Recipes!$A:$A,0)),""))</f>
        <v/>
      </c>
      <c r="L247" s="12" t="str">
        <f aca="false">IF(AND(A247='Grocery List'!$B$3,E247="Yes"),COUNTIFS($A$4:A247,'Grocery List'!$B$3,$E$4:E247,"Yes"),"")</f>
        <v/>
      </c>
    </row>
    <row r="248" customFormat="false" ht="15" hidden="false" customHeight="false" outlineLevel="0" collapsed="false">
      <c r="A248" s="16"/>
      <c r="D248" s="12" t="str">
        <f aca="false">IF(C248="","",IFERROR(INDEX(Recipes!$B:$B,MATCH(C248,Recipes!$A:$A,0)),"⚠ unknown recipe_id"))</f>
        <v/>
      </c>
      <c r="K248" s="12" t="str">
        <f aca="false">IF(C248="","",IFERROR(INDEX(Recipes!$C:$C,MATCH(C248,Recipes!$A:$A,0)),""))</f>
        <v/>
      </c>
      <c r="L248" s="12" t="str">
        <f aca="false">IF(AND(A248='Grocery List'!$B$3,E248="Yes"),COUNTIFS($A$4:A248,'Grocery List'!$B$3,$E$4:E248,"Yes"),"")</f>
        <v/>
      </c>
    </row>
    <row r="249" customFormat="false" ht="15" hidden="false" customHeight="false" outlineLevel="0" collapsed="false">
      <c r="A249" s="16"/>
      <c r="D249" s="12" t="str">
        <f aca="false">IF(C249="","",IFERROR(INDEX(Recipes!$B:$B,MATCH(C249,Recipes!$A:$A,0)),"⚠ unknown recipe_id"))</f>
        <v/>
      </c>
      <c r="K249" s="12" t="str">
        <f aca="false">IF(C249="","",IFERROR(INDEX(Recipes!$C:$C,MATCH(C249,Recipes!$A:$A,0)),""))</f>
        <v/>
      </c>
      <c r="L249" s="12" t="str">
        <f aca="false">IF(AND(A249='Grocery List'!$B$3,E249="Yes"),COUNTIFS($A$4:A249,'Grocery List'!$B$3,$E$4:E249,"Yes"),"")</f>
        <v/>
      </c>
    </row>
    <row r="250" customFormat="false" ht="15" hidden="false" customHeight="false" outlineLevel="0" collapsed="false">
      <c r="A250" s="16"/>
      <c r="D250" s="12" t="str">
        <f aca="false">IF(C250="","",IFERROR(INDEX(Recipes!$B:$B,MATCH(C250,Recipes!$A:$A,0)),"⚠ unknown recipe_id"))</f>
        <v/>
      </c>
      <c r="K250" s="12" t="str">
        <f aca="false">IF(C250="","",IFERROR(INDEX(Recipes!$C:$C,MATCH(C250,Recipes!$A:$A,0)),""))</f>
        <v/>
      </c>
      <c r="L250" s="12" t="str">
        <f aca="false">IF(AND(A250='Grocery List'!$B$3,E250="Yes"),COUNTIFS($A$4:A250,'Grocery List'!$B$3,$E$4:E250,"Yes"),"")</f>
        <v/>
      </c>
    </row>
    <row r="251" customFormat="false" ht="15" hidden="false" customHeight="false" outlineLevel="0" collapsed="false">
      <c r="A251" s="16"/>
      <c r="D251" s="12" t="str">
        <f aca="false">IF(C251="","",IFERROR(INDEX(Recipes!$B:$B,MATCH(C251,Recipes!$A:$A,0)),"⚠ unknown recipe_id"))</f>
        <v/>
      </c>
      <c r="K251" s="12" t="str">
        <f aca="false">IF(C251="","",IFERROR(INDEX(Recipes!$C:$C,MATCH(C251,Recipes!$A:$A,0)),""))</f>
        <v/>
      </c>
      <c r="L251" s="12" t="str">
        <f aca="false">IF(AND(A251='Grocery List'!$B$3,E251="Yes"),COUNTIFS($A$4:A251,'Grocery List'!$B$3,$E$4:E251,"Yes"),"")</f>
        <v/>
      </c>
    </row>
    <row r="252" customFormat="false" ht="15" hidden="false" customHeight="false" outlineLevel="0" collapsed="false">
      <c r="A252" s="16"/>
      <c r="D252" s="12" t="str">
        <f aca="false">IF(C252="","",IFERROR(INDEX(Recipes!$B:$B,MATCH(C252,Recipes!$A:$A,0)),"⚠ unknown recipe_id"))</f>
        <v/>
      </c>
      <c r="K252" s="12" t="str">
        <f aca="false">IF(C252="","",IFERROR(INDEX(Recipes!$C:$C,MATCH(C252,Recipes!$A:$A,0)),""))</f>
        <v/>
      </c>
      <c r="L252" s="12" t="str">
        <f aca="false">IF(AND(A252='Grocery List'!$B$3,E252="Yes"),COUNTIFS($A$4:A252,'Grocery List'!$B$3,$E$4:E252,"Yes"),"")</f>
        <v/>
      </c>
    </row>
    <row r="253" customFormat="false" ht="15" hidden="false" customHeight="false" outlineLevel="0" collapsed="false">
      <c r="A253" s="16"/>
      <c r="D253" s="12" t="str">
        <f aca="false">IF(C253="","",IFERROR(INDEX(Recipes!$B:$B,MATCH(C253,Recipes!$A:$A,0)),"⚠ unknown recipe_id"))</f>
        <v/>
      </c>
      <c r="K253" s="12" t="str">
        <f aca="false">IF(C253="","",IFERROR(INDEX(Recipes!$C:$C,MATCH(C253,Recipes!$A:$A,0)),""))</f>
        <v/>
      </c>
      <c r="L253" s="12" t="str">
        <f aca="false">IF(AND(A253='Grocery List'!$B$3,E253="Yes"),COUNTIFS($A$4:A253,'Grocery List'!$B$3,$E$4:E253,"Yes"),"")</f>
        <v/>
      </c>
    </row>
    <row r="254" customFormat="false" ht="15" hidden="false" customHeight="false" outlineLevel="0" collapsed="false">
      <c r="A254" s="16"/>
      <c r="D254" s="12" t="str">
        <f aca="false">IF(C254="","",IFERROR(INDEX(Recipes!$B:$B,MATCH(C254,Recipes!$A:$A,0)),"⚠ unknown recipe_id"))</f>
        <v/>
      </c>
      <c r="K254" s="12" t="str">
        <f aca="false">IF(C254="","",IFERROR(INDEX(Recipes!$C:$C,MATCH(C254,Recipes!$A:$A,0)),""))</f>
        <v/>
      </c>
      <c r="L254" s="12" t="str">
        <f aca="false">IF(AND(A254='Grocery List'!$B$3,E254="Yes"),COUNTIFS($A$4:A254,'Grocery List'!$B$3,$E$4:E254,"Yes"),"")</f>
        <v/>
      </c>
    </row>
    <row r="255" customFormat="false" ht="15" hidden="false" customHeight="false" outlineLevel="0" collapsed="false">
      <c r="A255" s="16"/>
      <c r="D255" s="12" t="str">
        <f aca="false">IF(C255="","",IFERROR(INDEX(Recipes!$B:$B,MATCH(C255,Recipes!$A:$A,0)),"⚠ unknown recipe_id"))</f>
        <v/>
      </c>
      <c r="K255" s="12" t="str">
        <f aca="false">IF(C255="","",IFERROR(INDEX(Recipes!$C:$C,MATCH(C255,Recipes!$A:$A,0)),""))</f>
        <v/>
      </c>
      <c r="L255" s="12" t="str">
        <f aca="false">IF(AND(A255='Grocery List'!$B$3,E255="Yes"),COUNTIFS($A$4:A255,'Grocery List'!$B$3,$E$4:E255,"Yes"),"")</f>
        <v/>
      </c>
    </row>
    <row r="256" customFormat="false" ht="15" hidden="false" customHeight="false" outlineLevel="0" collapsed="false">
      <c r="A256" s="16"/>
      <c r="D256" s="12" t="str">
        <f aca="false">IF(C256="","",IFERROR(INDEX(Recipes!$B:$B,MATCH(C256,Recipes!$A:$A,0)),"⚠ unknown recipe_id"))</f>
        <v/>
      </c>
      <c r="K256" s="12" t="str">
        <f aca="false">IF(C256="","",IFERROR(INDEX(Recipes!$C:$C,MATCH(C256,Recipes!$A:$A,0)),""))</f>
        <v/>
      </c>
      <c r="L256" s="12" t="str">
        <f aca="false">IF(AND(A256='Grocery List'!$B$3,E256="Yes"),COUNTIFS($A$4:A256,'Grocery List'!$B$3,$E$4:E256,"Yes"),"")</f>
        <v/>
      </c>
    </row>
    <row r="257" customFormat="false" ht="15" hidden="false" customHeight="false" outlineLevel="0" collapsed="false">
      <c r="A257" s="16"/>
      <c r="D257" s="12" t="str">
        <f aca="false">IF(C257="","",IFERROR(INDEX(Recipes!$B:$B,MATCH(C257,Recipes!$A:$A,0)),"⚠ unknown recipe_id"))</f>
        <v/>
      </c>
      <c r="K257" s="12" t="str">
        <f aca="false">IF(C257="","",IFERROR(INDEX(Recipes!$C:$C,MATCH(C257,Recipes!$A:$A,0)),""))</f>
        <v/>
      </c>
      <c r="L257" s="12" t="str">
        <f aca="false">IF(AND(A257='Grocery List'!$B$3,E257="Yes"),COUNTIFS($A$4:A257,'Grocery List'!$B$3,$E$4:E257,"Yes"),"")</f>
        <v/>
      </c>
    </row>
    <row r="258" customFormat="false" ht="15" hidden="false" customHeight="false" outlineLevel="0" collapsed="false">
      <c r="A258" s="16"/>
      <c r="D258" s="12" t="str">
        <f aca="false">IF(C258="","",IFERROR(INDEX(Recipes!$B:$B,MATCH(C258,Recipes!$A:$A,0)),"⚠ unknown recipe_id"))</f>
        <v/>
      </c>
      <c r="K258" s="12" t="str">
        <f aca="false">IF(C258="","",IFERROR(INDEX(Recipes!$C:$C,MATCH(C258,Recipes!$A:$A,0)),""))</f>
        <v/>
      </c>
      <c r="L258" s="12" t="str">
        <f aca="false">IF(AND(A258='Grocery List'!$B$3,E258="Yes"),COUNTIFS($A$4:A258,'Grocery List'!$B$3,$E$4:E258,"Yes"),"")</f>
        <v/>
      </c>
    </row>
    <row r="259" customFormat="false" ht="15" hidden="false" customHeight="false" outlineLevel="0" collapsed="false">
      <c r="A259" s="16"/>
      <c r="D259" s="12" t="str">
        <f aca="false">IF(C259="","",IFERROR(INDEX(Recipes!$B:$B,MATCH(C259,Recipes!$A:$A,0)),"⚠ unknown recipe_id"))</f>
        <v/>
      </c>
      <c r="K259" s="12" t="str">
        <f aca="false">IF(C259="","",IFERROR(INDEX(Recipes!$C:$C,MATCH(C259,Recipes!$A:$A,0)),""))</f>
        <v/>
      </c>
      <c r="L259" s="12" t="str">
        <f aca="false">IF(AND(A259='Grocery List'!$B$3,E259="Yes"),COUNTIFS($A$4:A259,'Grocery List'!$B$3,$E$4:E259,"Yes"),"")</f>
        <v/>
      </c>
    </row>
    <row r="260" customFormat="false" ht="15" hidden="false" customHeight="false" outlineLevel="0" collapsed="false">
      <c r="A260" s="16"/>
      <c r="D260" s="12" t="str">
        <f aca="false">IF(C260="","",IFERROR(INDEX(Recipes!$B:$B,MATCH(C260,Recipes!$A:$A,0)),"⚠ unknown recipe_id"))</f>
        <v/>
      </c>
      <c r="K260" s="12" t="str">
        <f aca="false">IF(C260="","",IFERROR(INDEX(Recipes!$C:$C,MATCH(C260,Recipes!$A:$A,0)),""))</f>
        <v/>
      </c>
      <c r="L260" s="12" t="str">
        <f aca="false">IF(AND(A260='Grocery List'!$B$3,E260="Yes"),COUNTIFS($A$4:A260,'Grocery List'!$B$3,$E$4:E260,"Yes"),"")</f>
        <v/>
      </c>
    </row>
    <row r="261" customFormat="false" ht="15" hidden="false" customHeight="false" outlineLevel="0" collapsed="false">
      <c r="A261" s="16"/>
      <c r="D261" s="12" t="str">
        <f aca="false">IF(C261="","",IFERROR(INDEX(Recipes!$B:$B,MATCH(C261,Recipes!$A:$A,0)),"⚠ unknown recipe_id"))</f>
        <v/>
      </c>
      <c r="K261" s="12" t="str">
        <f aca="false">IF(C261="","",IFERROR(INDEX(Recipes!$C:$C,MATCH(C261,Recipes!$A:$A,0)),""))</f>
        <v/>
      </c>
      <c r="L261" s="12" t="str">
        <f aca="false">IF(AND(A261='Grocery List'!$B$3,E261="Yes"),COUNTIFS($A$4:A261,'Grocery List'!$B$3,$E$4:E261,"Yes"),"")</f>
        <v/>
      </c>
    </row>
    <row r="262" customFormat="false" ht="15" hidden="false" customHeight="false" outlineLevel="0" collapsed="false">
      <c r="A262" s="16"/>
      <c r="D262" s="12" t="str">
        <f aca="false">IF(C262="","",IFERROR(INDEX(Recipes!$B:$B,MATCH(C262,Recipes!$A:$A,0)),"⚠ unknown recipe_id"))</f>
        <v/>
      </c>
      <c r="K262" s="12" t="str">
        <f aca="false">IF(C262="","",IFERROR(INDEX(Recipes!$C:$C,MATCH(C262,Recipes!$A:$A,0)),""))</f>
        <v/>
      </c>
      <c r="L262" s="12" t="str">
        <f aca="false">IF(AND(A262='Grocery List'!$B$3,E262="Yes"),COUNTIFS($A$4:A262,'Grocery List'!$B$3,$E$4:E262,"Yes"),"")</f>
        <v/>
      </c>
    </row>
    <row r="263" customFormat="false" ht="15" hidden="false" customHeight="false" outlineLevel="0" collapsed="false">
      <c r="A263" s="16"/>
      <c r="D263" s="12" t="str">
        <f aca="false">IF(C263="","",IFERROR(INDEX(Recipes!$B:$B,MATCH(C263,Recipes!$A:$A,0)),"⚠ unknown recipe_id"))</f>
        <v/>
      </c>
      <c r="K263" s="12" t="str">
        <f aca="false">IF(C263="","",IFERROR(INDEX(Recipes!$C:$C,MATCH(C263,Recipes!$A:$A,0)),""))</f>
        <v/>
      </c>
      <c r="L263" s="12" t="str">
        <f aca="false">IF(AND(A263='Grocery List'!$B$3,E263="Yes"),COUNTIFS($A$4:A263,'Grocery List'!$B$3,$E$4:E263,"Yes"),"")</f>
        <v/>
      </c>
    </row>
    <row r="264" customFormat="false" ht="15" hidden="false" customHeight="false" outlineLevel="0" collapsed="false">
      <c r="A264" s="16"/>
      <c r="D264" s="12" t="str">
        <f aca="false">IF(C264="","",IFERROR(INDEX(Recipes!$B:$B,MATCH(C264,Recipes!$A:$A,0)),"⚠ unknown recipe_id"))</f>
        <v/>
      </c>
      <c r="K264" s="12" t="str">
        <f aca="false">IF(C264="","",IFERROR(INDEX(Recipes!$C:$C,MATCH(C264,Recipes!$A:$A,0)),""))</f>
        <v/>
      </c>
      <c r="L264" s="12" t="str">
        <f aca="false">IF(AND(A264='Grocery List'!$B$3,E264="Yes"),COUNTIFS($A$4:A264,'Grocery List'!$B$3,$E$4:E264,"Yes"),"")</f>
        <v/>
      </c>
    </row>
    <row r="265" customFormat="false" ht="15" hidden="false" customHeight="false" outlineLevel="0" collapsed="false">
      <c r="A265" s="16"/>
      <c r="D265" s="12" t="str">
        <f aca="false">IF(C265="","",IFERROR(INDEX(Recipes!$B:$B,MATCH(C265,Recipes!$A:$A,0)),"⚠ unknown recipe_id"))</f>
        <v/>
      </c>
      <c r="K265" s="12" t="str">
        <f aca="false">IF(C265="","",IFERROR(INDEX(Recipes!$C:$C,MATCH(C265,Recipes!$A:$A,0)),""))</f>
        <v/>
      </c>
      <c r="L265" s="12" t="str">
        <f aca="false">IF(AND(A265='Grocery List'!$B$3,E265="Yes"),COUNTIFS($A$4:A265,'Grocery List'!$B$3,$E$4:E265,"Yes"),"")</f>
        <v/>
      </c>
    </row>
    <row r="266" customFormat="false" ht="15" hidden="false" customHeight="false" outlineLevel="0" collapsed="false">
      <c r="A266" s="16"/>
      <c r="D266" s="12" t="str">
        <f aca="false">IF(C266="","",IFERROR(INDEX(Recipes!$B:$B,MATCH(C266,Recipes!$A:$A,0)),"⚠ unknown recipe_id"))</f>
        <v/>
      </c>
      <c r="K266" s="12" t="str">
        <f aca="false">IF(C266="","",IFERROR(INDEX(Recipes!$C:$C,MATCH(C266,Recipes!$A:$A,0)),""))</f>
        <v/>
      </c>
      <c r="L266" s="12" t="str">
        <f aca="false">IF(AND(A266='Grocery List'!$B$3,E266="Yes"),COUNTIFS($A$4:A266,'Grocery List'!$B$3,$E$4:E266,"Yes"),"")</f>
        <v/>
      </c>
    </row>
    <row r="267" customFormat="false" ht="15" hidden="false" customHeight="false" outlineLevel="0" collapsed="false">
      <c r="A267" s="16"/>
      <c r="D267" s="12" t="str">
        <f aca="false">IF(C267="","",IFERROR(INDEX(Recipes!$B:$B,MATCH(C267,Recipes!$A:$A,0)),"⚠ unknown recipe_id"))</f>
        <v/>
      </c>
      <c r="K267" s="12" t="str">
        <f aca="false">IF(C267="","",IFERROR(INDEX(Recipes!$C:$C,MATCH(C267,Recipes!$A:$A,0)),""))</f>
        <v/>
      </c>
      <c r="L267" s="12" t="str">
        <f aca="false">IF(AND(A267='Grocery List'!$B$3,E267="Yes"),COUNTIFS($A$4:A267,'Grocery List'!$B$3,$E$4:E267,"Yes"),"")</f>
        <v/>
      </c>
    </row>
    <row r="268" customFormat="false" ht="15" hidden="false" customHeight="false" outlineLevel="0" collapsed="false">
      <c r="A268" s="16"/>
      <c r="D268" s="12" t="str">
        <f aca="false">IF(C268="","",IFERROR(INDEX(Recipes!$B:$B,MATCH(C268,Recipes!$A:$A,0)),"⚠ unknown recipe_id"))</f>
        <v/>
      </c>
      <c r="K268" s="12" t="str">
        <f aca="false">IF(C268="","",IFERROR(INDEX(Recipes!$C:$C,MATCH(C268,Recipes!$A:$A,0)),""))</f>
        <v/>
      </c>
      <c r="L268" s="12" t="str">
        <f aca="false">IF(AND(A268='Grocery List'!$B$3,E268="Yes"),COUNTIFS($A$4:A268,'Grocery List'!$B$3,$E$4:E268,"Yes"),"")</f>
        <v/>
      </c>
    </row>
    <row r="269" customFormat="false" ht="15" hidden="false" customHeight="false" outlineLevel="0" collapsed="false">
      <c r="A269" s="16"/>
      <c r="D269" s="12" t="str">
        <f aca="false">IF(C269="","",IFERROR(INDEX(Recipes!$B:$B,MATCH(C269,Recipes!$A:$A,0)),"⚠ unknown recipe_id"))</f>
        <v/>
      </c>
      <c r="K269" s="12" t="str">
        <f aca="false">IF(C269="","",IFERROR(INDEX(Recipes!$C:$C,MATCH(C269,Recipes!$A:$A,0)),""))</f>
        <v/>
      </c>
      <c r="L269" s="12" t="str">
        <f aca="false">IF(AND(A269='Grocery List'!$B$3,E269="Yes"),COUNTIFS($A$4:A269,'Grocery List'!$B$3,$E$4:E269,"Yes"),"")</f>
        <v/>
      </c>
    </row>
    <row r="270" customFormat="false" ht="15" hidden="false" customHeight="false" outlineLevel="0" collapsed="false">
      <c r="A270" s="16"/>
      <c r="D270" s="12" t="str">
        <f aca="false">IF(C270="","",IFERROR(INDEX(Recipes!$B:$B,MATCH(C270,Recipes!$A:$A,0)),"⚠ unknown recipe_id"))</f>
        <v/>
      </c>
      <c r="K270" s="12" t="str">
        <f aca="false">IF(C270="","",IFERROR(INDEX(Recipes!$C:$C,MATCH(C270,Recipes!$A:$A,0)),""))</f>
        <v/>
      </c>
      <c r="L270" s="12" t="str">
        <f aca="false">IF(AND(A270='Grocery List'!$B$3,E270="Yes"),COUNTIFS($A$4:A270,'Grocery List'!$B$3,$E$4:E270,"Yes"),"")</f>
        <v/>
      </c>
    </row>
    <row r="271" customFormat="false" ht="15" hidden="false" customHeight="false" outlineLevel="0" collapsed="false">
      <c r="A271" s="16"/>
      <c r="D271" s="12" t="str">
        <f aca="false">IF(C271="","",IFERROR(INDEX(Recipes!$B:$B,MATCH(C271,Recipes!$A:$A,0)),"⚠ unknown recipe_id"))</f>
        <v/>
      </c>
      <c r="K271" s="12" t="str">
        <f aca="false">IF(C271="","",IFERROR(INDEX(Recipes!$C:$C,MATCH(C271,Recipes!$A:$A,0)),""))</f>
        <v/>
      </c>
      <c r="L271" s="12" t="str">
        <f aca="false">IF(AND(A271='Grocery List'!$B$3,E271="Yes"),COUNTIFS($A$4:A271,'Grocery List'!$B$3,$E$4:E271,"Yes"),"")</f>
        <v/>
      </c>
    </row>
    <row r="272" customFormat="false" ht="15" hidden="false" customHeight="false" outlineLevel="0" collapsed="false">
      <c r="A272" s="16"/>
      <c r="D272" s="12" t="str">
        <f aca="false">IF(C272="","",IFERROR(INDEX(Recipes!$B:$B,MATCH(C272,Recipes!$A:$A,0)),"⚠ unknown recipe_id"))</f>
        <v/>
      </c>
      <c r="K272" s="12" t="str">
        <f aca="false">IF(C272="","",IFERROR(INDEX(Recipes!$C:$C,MATCH(C272,Recipes!$A:$A,0)),""))</f>
        <v/>
      </c>
      <c r="L272" s="12" t="str">
        <f aca="false">IF(AND(A272='Grocery List'!$B$3,E272="Yes"),COUNTIFS($A$4:A272,'Grocery List'!$B$3,$E$4:E272,"Yes"),"")</f>
        <v/>
      </c>
    </row>
    <row r="273" customFormat="false" ht="15" hidden="false" customHeight="false" outlineLevel="0" collapsed="false">
      <c r="A273" s="16"/>
      <c r="D273" s="12" t="str">
        <f aca="false">IF(C273="","",IFERROR(INDEX(Recipes!$B:$B,MATCH(C273,Recipes!$A:$A,0)),"⚠ unknown recipe_id"))</f>
        <v/>
      </c>
      <c r="K273" s="12" t="str">
        <f aca="false">IF(C273="","",IFERROR(INDEX(Recipes!$C:$C,MATCH(C273,Recipes!$A:$A,0)),""))</f>
        <v/>
      </c>
      <c r="L273" s="12" t="str">
        <f aca="false">IF(AND(A273='Grocery List'!$B$3,E273="Yes"),COUNTIFS($A$4:A273,'Grocery List'!$B$3,$E$4:E273,"Yes"),"")</f>
        <v/>
      </c>
    </row>
    <row r="274" customFormat="false" ht="15" hidden="false" customHeight="false" outlineLevel="0" collapsed="false">
      <c r="A274" s="16"/>
      <c r="D274" s="12" t="str">
        <f aca="false">IF(C274="","",IFERROR(INDEX(Recipes!$B:$B,MATCH(C274,Recipes!$A:$A,0)),"⚠ unknown recipe_id"))</f>
        <v/>
      </c>
      <c r="K274" s="12" t="str">
        <f aca="false">IF(C274="","",IFERROR(INDEX(Recipes!$C:$C,MATCH(C274,Recipes!$A:$A,0)),""))</f>
        <v/>
      </c>
      <c r="L274" s="12" t="str">
        <f aca="false">IF(AND(A274='Grocery List'!$B$3,E274="Yes"),COUNTIFS($A$4:A274,'Grocery List'!$B$3,$E$4:E274,"Yes"),"")</f>
        <v/>
      </c>
    </row>
    <row r="275" customFormat="false" ht="15" hidden="false" customHeight="false" outlineLevel="0" collapsed="false">
      <c r="A275" s="16"/>
      <c r="D275" s="12" t="str">
        <f aca="false">IF(C275="","",IFERROR(INDEX(Recipes!$B:$B,MATCH(C275,Recipes!$A:$A,0)),"⚠ unknown recipe_id"))</f>
        <v/>
      </c>
      <c r="K275" s="12" t="str">
        <f aca="false">IF(C275="","",IFERROR(INDEX(Recipes!$C:$C,MATCH(C275,Recipes!$A:$A,0)),""))</f>
        <v/>
      </c>
      <c r="L275" s="12" t="str">
        <f aca="false">IF(AND(A275='Grocery List'!$B$3,E275="Yes"),COUNTIFS($A$4:A275,'Grocery List'!$B$3,$E$4:E275,"Yes"),"")</f>
        <v/>
      </c>
    </row>
    <row r="276" customFormat="false" ht="15" hidden="false" customHeight="false" outlineLevel="0" collapsed="false">
      <c r="A276" s="16"/>
      <c r="D276" s="12" t="str">
        <f aca="false">IF(C276="","",IFERROR(INDEX(Recipes!$B:$B,MATCH(C276,Recipes!$A:$A,0)),"⚠ unknown recipe_id"))</f>
        <v/>
      </c>
      <c r="K276" s="12" t="str">
        <f aca="false">IF(C276="","",IFERROR(INDEX(Recipes!$C:$C,MATCH(C276,Recipes!$A:$A,0)),""))</f>
        <v/>
      </c>
      <c r="L276" s="12" t="str">
        <f aca="false">IF(AND(A276='Grocery List'!$B$3,E276="Yes"),COUNTIFS($A$4:A276,'Grocery List'!$B$3,$E$4:E276,"Yes"),"")</f>
        <v/>
      </c>
    </row>
    <row r="277" customFormat="false" ht="15" hidden="false" customHeight="false" outlineLevel="0" collapsed="false">
      <c r="A277" s="16"/>
      <c r="D277" s="12" t="str">
        <f aca="false">IF(C277="","",IFERROR(INDEX(Recipes!$B:$B,MATCH(C277,Recipes!$A:$A,0)),"⚠ unknown recipe_id"))</f>
        <v/>
      </c>
      <c r="K277" s="12" t="str">
        <f aca="false">IF(C277="","",IFERROR(INDEX(Recipes!$C:$C,MATCH(C277,Recipes!$A:$A,0)),""))</f>
        <v/>
      </c>
      <c r="L277" s="12" t="str">
        <f aca="false">IF(AND(A277='Grocery List'!$B$3,E277="Yes"),COUNTIFS($A$4:A277,'Grocery List'!$B$3,$E$4:E277,"Yes"),"")</f>
        <v/>
      </c>
    </row>
    <row r="278" customFormat="false" ht="15" hidden="false" customHeight="false" outlineLevel="0" collapsed="false">
      <c r="A278" s="16"/>
      <c r="D278" s="12" t="str">
        <f aca="false">IF(C278="","",IFERROR(INDEX(Recipes!$B:$B,MATCH(C278,Recipes!$A:$A,0)),"⚠ unknown recipe_id"))</f>
        <v/>
      </c>
      <c r="K278" s="12" t="str">
        <f aca="false">IF(C278="","",IFERROR(INDEX(Recipes!$C:$C,MATCH(C278,Recipes!$A:$A,0)),""))</f>
        <v/>
      </c>
      <c r="L278" s="12" t="str">
        <f aca="false">IF(AND(A278='Grocery List'!$B$3,E278="Yes"),COUNTIFS($A$4:A278,'Grocery List'!$B$3,$E$4:E278,"Yes"),"")</f>
        <v/>
      </c>
    </row>
    <row r="279" customFormat="false" ht="15" hidden="false" customHeight="false" outlineLevel="0" collapsed="false">
      <c r="A279" s="16"/>
      <c r="D279" s="12" t="str">
        <f aca="false">IF(C279="","",IFERROR(INDEX(Recipes!$B:$B,MATCH(C279,Recipes!$A:$A,0)),"⚠ unknown recipe_id"))</f>
        <v/>
      </c>
      <c r="K279" s="12" t="str">
        <f aca="false">IF(C279="","",IFERROR(INDEX(Recipes!$C:$C,MATCH(C279,Recipes!$A:$A,0)),""))</f>
        <v/>
      </c>
      <c r="L279" s="12" t="str">
        <f aca="false">IF(AND(A279='Grocery List'!$B$3,E279="Yes"),COUNTIFS($A$4:A279,'Grocery List'!$B$3,$E$4:E279,"Yes"),"")</f>
        <v/>
      </c>
    </row>
    <row r="280" customFormat="false" ht="15" hidden="false" customHeight="false" outlineLevel="0" collapsed="false">
      <c r="A280" s="16"/>
      <c r="D280" s="12" t="str">
        <f aca="false">IF(C280="","",IFERROR(INDEX(Recipes!$B:$B,MATCH(C280,Recipes!$A:$A,0)),"⚠ unknown recipe_id"))</f>
        <v/>
      </c>
      <c r="K280" s="12" t="str">
        <f aca="false">IF(C280="","",IFERROR(INDEX(Recipes!$C:$C,MATCH(C280,Recipes!$A:$A,0)),""))</f>
        <v/>
      </c>
      <c r="L280" s="12" t="str">
        <f aca="false">IF(AND(A280='Grocery List'!$B$3,E280="Yes"),COUNTIFS($A$4:A280,'Grocery List'!$B$3,$E$4:E280,"Yes"),"")</f>
        <v/>
      </c>
    </row>
    <row r="281" customFormat="false" ht="15" hidden="false" customHeight="false" outlineLevel="0" collapsed="false">
      <c r="A281" s="16"/>
      <c r="D281" s="12" t="str">
        <f aca="false">IF(C281="","",IFERROR(INDEX(Recipes!$B:$B,MATCH(C281,Recipes!$A:$A,0)),"⚠ unknown recipe_id"))</f>
        <v/>
      </c>
      <c r="K281" s="12" t="str">
        <f aca="false">IF(C281="","",IFERROR(INDEX(Recipes!$C:$C,MATCH(C281,Recipes!$A:$A,0)),""))</f>
        <v/>
      </c>
      <c r="L281" s="12" t="str">
        <f aca="false">IF(AND(A281='Grocery List'!$B$3,E281="Yes"),COUNTIFS($A$4:A281,'Grocery List'!$B$3,$E$4:E281,"Yes"),"")</f>
        <v/>
      </c>
    </row>
    <row r="282" customFormat="false" ht="15" hidden="false" customHeight="false" outlineLevel="0" collapsed="false">
      <c r="A282" s="16"/>
      <c r="D282" s="12" t="str">
        <f aca="false">IF(C282="","",IFERROR(INDEX(Recipes!$B:$B,MATCH(C282,Recipes!$A:$A,0)),"⚠ unknown recipe_id"))</f>
        <v/>
      </c>
      <c r="K282" s="12" t="str">
        <f aca="false">IF(C282="","",IFERROR(INDEX(Recipes!$C:$C,MATCH(C282,Recipes!$A:$A,0)),""))</f>
        <v/>
      </c>
      <c r="L282" s="12" t="str">
        <f aca="false">IF(AND(A282='Grocery List'!$B$3,E282="Yes"),COUNTIFS($A$4:A282,'Grocery List'!$B$3,$E$4:E282,"Yes"),"")</f>
        <v/>
      </c>
    </row>
    <row r="283" customFormat="false" ht="15" hidden="false" customHeight="false" outlineLevel="0" collapsed="false">
      <c r="A283" s="16"/>
      <c r="D283" s="12" t="str">
        <f aca="false">IF(C283="","",IFERROR(INDEX(Recipes!$B:$B,MATCH(C283,Recipes!$A:$A,0)),"⚠ unknown recipe_id"))</f>
        <v/>
      </c>
      <c r="K283" s="12" t="str">
        <f aca="false">IF(C283="","",IFERROR(INDEX(Recipes!$C:$C,MATCH(C283,Recipes!$A:$A,0)),""))</f>
        <v/>
      </c>
      <c r="L283" s="12" t="str">
        <f aca="false">IF(AND(A283='Grocery List'!$B$3,E283="Yes"),COUNTIFS($A$4:A283,'Grocery List'!$B$3,$E$4:E283,"Yes"),"")</f>
        <v/>
      </c>
    </row>
    <row r="284" customFormat="false" ht="15" hidden="false" customHeight="false" outlineLevel="0" collapsed="false">
      <c r="A284" s="16"/>
      <c r="D284" s="12" t="str">
        <f aca="false">IF(C284="","",IFERROR(INDEX(Recipes!$B:$B,MATCH(C284,Recipes!$A:$A,0)),"⚠ unknown recipe_id"))</f>
        <v/>
      </c>
      <c r="K284" s="12" t="str">
        <f aca="false">IF(C284="","",IFERROR(INDEX(Recipes!$C:$C,MATCH(C284,Recipes!$A:$A,0)),""))</f>
        <v/>
      </c>
      <c r="L284" s="12" t="str">
        <f aca="false">IF(AND(A284='Grocery List'!$B$3,E284="Yes"),COUNTIFS($A$4:A284,'Grocery List'!$B$3,$E$4:E284,"Yes"),"")</f>
        <v/>
      </c>
    </row>
    <row r="285" customFormat="false" ht="15" hidden="false" customHeight="false" outlineLevel="0" collapsed="false">
      <c r="A285" s="16"/>
      <c r="D285" s="12" t="str">
        <f aca="false">IF(C285="","",IFERROR(INDEX(Recipes!$B:$B,MATCH(C285,Recipes!$A:$A,0)),"⚠ unknown recipe_id"))</f>
        <v/>
      </c>
      <c r="K285" s="12" t="str">
        <f aca="false">IF(C285="","",IFERROR(INDEX(Recipes!$C:$C,MATCH(C285,Recipes!$A:$A,0)),""))</f>
        <v/>
      </c>
      <c r="L285" s="12" t="str">
        <f aca="false">IF(AND(A285='Grocery List'!$B$3,E285="Yes"),COUNTIFS($A$4:A285,'Grocery List'!$B$3,$E$4:E285,"Yes"),"")</f>
        <v/>
      </c>
    </row>
    <row r="286" customFormat="false" ht="15" hidden="false" customHeight="false" outlineLevel="0" collapsed="false">
      <c r="A286" s="16"/>
      <c r="D286" s="12" t="str">
        <f aca="false">IF(C286="","",IFERROR(INDEX(Recipes!$B:$B,MATCH(C286,Recipes!$A:$A,0)),"⚠ unknown recipe_id"))</f>
        <v/>
      </c>
      <c r="K286" s="12" t="str">
        <f aca="false">IF(C286="","",IFERROR(INDEX(Recipes!$C:$C,MATCH(C286,Recipes!$A:$A,0)),""))</f>
        <v/>
      </c>
      <c r="L286" s="12" t="str">
        <f aca="false">IF(AND(A286='Grocery List'!$B$3,E286="Yes"),COUNTIFS($A$4:A286,'Grocery List'!$B$3,$E$4:E286,"Yes"),"")</f>
        <v/>
      </c>
    </row>
    <row r="287" customFormat="false" ht="15" hidden="false" customHeight="false" outlineLevel="0" collapsed="false">
      <c r="A287" s="16"/>
      <c r="D287" s="12" t="str">
        <f aca="false">IF(C287="","",IFERROR(INDEX(Recipes!$B:$B,MATCH(C287,Recipes!$A:$A,0)),"⚠ unknown recipe_id"))</f>
        <v/>
      </c>
      <c r="K287" s="12" t="str">
        <f aca="false">IF(C287="","",IFERROR(INDEX(Recipes!$C:$C,MATCH(C287,Recipes!$A:$A,0)),""))</f>
        <v/>
      </c>
      <c r="L287" s="12" t="str">
        <f aca="false">IF(AND(A287='Grocery List'!$B$3,E287="Yes"),COUNTIFS($A$4:A287,'Grocery List'!$B$3,$E$4:E287,"Yes"),"")</f>
        <v/>
      </c>
    </row>
    <row r="288" customFormat="false" ht="15" hidden="false" customHeight="false" outlineLevel="0" collapsed="false">
      <c r="A288" s="16"/>
      <c r="D288" s="12" t="str">
        <f aca="false">IF(C288="","",IFERROR(INDEX(Recipes!$B:$B,MATCH(C288,Recipes!$A:$A,0)),"⚠ unknown recipe_id"))</f>
        <v/>
      </c>
      <c r="K288" s="12" t="str">
        <f aca="false">IF(C288="","",IFERROR(INDEX(Recipes!$C:$C,MATCH(C288,Recipes!$A:$A,0)),""))</f>
        <v/>
      </c>
      <c r="L288" s="12" t="str">
        <f aca="false">IF(AND(A288='Grocery List'!$B$3,E288="Yes"),COUNTIFS($A$4:A288,'Grocery List'!$B$3,$E$4:E288,"Yes"),"")</f>
        <v/>
      </c>
    </row>
    <row r="289" customFormat="false" ht="15" hidden="false" customHeight="false" outlineLevel="0" collapsed="false">
      <c r="A289" s="16"/>
      <c r="D289" s="12" t="str">
        <f aca="false">IF(C289="","",IFERROR(INDEX(Recipes!$B:$B,MATCH(C289,Recipes!$A:$A,0)),"⚠ unknown recipe_id"))</f>
        <v/>
      </c>
      <c r="K289" s="12" t="str">
        <f aca="false">IF(C289="","",IFERROR(INDEX(Recipes!$C:$C,MATCH(C289,Recipes!$A:$A,0)),""))</f>
        <v/>
      </c>
      <c r="L289" s="12" t="str">
        <f aca="false">IF(AND(A289='Grocery List'!$B$3,E289="Yes"),COUNTIFS($A$4:A289,'Grocery List'!$B$3,$E$4:E289,"Yes"),"")</f>
        <v/>
      </c>
    </row>
    <row r="290" customFormat="false" ht="15" hidden="false" customHeight="false" outlineLevel="0" collapsed="false">
      <c r="A290" s="16"/>
      <c r="D290" s="12" t="str">
        <f aca="false">IF(C290="","",IFERROR(INDEX(Recipes!$B:$B,MATCH(C290,Recipes!$A:$A,0)),"⚠ unknown recipe_id"))</f>
        <v/>
      </c>
      <c r="K290" s="12" t="str">
        <f aca="false">IF(C290="","",IFERROR(INDEX(Recipes!$C:$C,MATCH(C290,Recipes!$A:$A,0)),""))</f>
        <v/>
      </c>
      <c r="L290" s="12" t="str">
        <f aca="false">IF(AND(A290='Grocery List'!$B$3,E290="Yes"),COUNTIFS($A$4:A290,'Grocery List'!$B$3,$E$4:E290,"Yes"),"")</f>
        <v/>
      </c>
    </row>
    <row r="291" customFormat="false" ht="15" hidden="false" customHeight="false" outlineLevel="0" collapsed="false">
      <c r="A291" s="16"/>
      <c r="D291" s="12" t="str">
        <f aca="false">IF(C291="","",IFERROR(INDEX(Recipes!$B:$B,MATCH(C291,Recipes!$A:$A,0)),"⚠ unknown recipe_id"))</f>
        <v/>
      </c>
      <c r="K291" s="12" t="str">
        <f aca="false">IF(C291="","",IFERROR(INDEX(Recipes!$C:$C,MATCH(C291,Recipes!$A:$A,0)),""))</f>
        <v/>
      </c>
      <c r="L291" s="12" t="str">
        <f aca="false">IF(AND(A291='Grocery List'!$B$3,E291="Yes"),COUNTIFS($A$4:A291,'Grocery List'!$B$3,$E$4:E291,"Yes"),"")</f>
        <v/>
      </c>
    </row>
    <row r="292" customFormat="false" ht="15" hidden="false" customHeight="false" outlineLevel="0" collapsed="false">
      <c r="A292" s="16"/>
      <c r="D292" s="12" t="str">
        <f aca="false">IF(C292="","",IFERROR(INDEX(Recipes!$B:$B,MATCH(C292,Recipes!$A:$A,0)),"⚠ unknown recipe_id"))</f>
        <v/>
      </c>
      <c r="K292" s="12" t="str">
        <f aca="false">IF(C292="","",IFERROR(INDEX(Recipes!$C:$C,MATCH(C292,Recipes!$A:$A,0)),""))</f>
        <v/>
      </c>
      <c r="L292" s="12" t="str">
        <f aca="false">IF(AND(A292='Grocery List'!$B$3,E292="Yes"),COUNTIFS($A$4:A292,'Grocery List'!$B$3,$E$4:E292,"Yes"),"")</f>
        <v/>
      </c>
    </row>
    <row r="293" customFormat="false" ht="15" hidden="false" customHeight="false" outlineLevel="0" collapsed="false">
      <c r="A293" s="16"/>
      <c r="D293" s="12" t="str">
        <f aca="false">IF(C293="","",IFERROR(INDEX(Recipes!$B:$B,MATCH(C293,Recipes!$A:$A,0)),"⚠ unknown recipe_id"))</f>
        <v/>
      </c>
      <c r="K293" s="12" t="str">
        <f aca="false">IF(C293="","",IFERROR(INDEX(Recipes!$C:$C,MATCH(C293,Recipes!$A:$A,0)),""))</f>
        <v/>
      </c>
      <c r="L293" s="12" t="str">
        <f aca="false">IF(AND(A293='Grocery List'!$B$3,E293="Yes"),COUNTIFS($A$4:A293,'Grocery List'!$B$3,$E$4:E293,"Yes"),"")</f>
        <v/>
      </c>
    </row>
    <row r="294" customFormat="false" ht="15" hidden="false" customHeight="false" outlineLevel="0" collapsed="false">
      <c r="A294" s="16"/>
      <c r="D294" s="12" t="str">
        <f aca="false">IF(C294="","",IFERROR(INDEX(Recipes!$B:$B,MATCH(C294,Recipes!$A:$A,0)),"⚠ unknown recipe_id"))</f>
        <v/>
      </c>
      <c r="K294" s="12" t="str">
        <f aca="false">IF(C294="","",IFERROR(INDEX(Recipes!$C:$C,MATCH(C294,Recipes!$A:$A,0)),""))</f>
        <v/>
      </c>
      <c r="L294" s="12" t="str">
        <f aca="false">IF(AND(A294='Grocery List'!$B$3,E294="Yes"),COUNTIFS($A$4:A294,'Grocery List'!$B$3,$E$4:E294,"Yes"),"")</f>
        <v/>
      </c>
    </row>
    <row r="295" customFormat="false" ht="15" hidden="false" customHeight="false" outlineLevel="0" collapsed="false">
      <c r="A295" s="16"/>
      <c r="D295" s="12" t="str">
        <f aca="false">IF(C295="","",IFERROR(INDEX(Recipes!$B:$B,MATCH(C295,Recipes!$A:$A,0)),"⚠ unknown recipe_id"))</f>
        <v/>
      </c>
      <c r="K295" s="12" t="str">
        <f aca="false">IF(C295="","",IFERROR(INDEX(Recipes!$C:$C,MATCH(C295,Recipes!$A:$A,0)),""))</f>
        <v/>
      </c>
      <c r="L295" s="12" t="str">
        <f aca="false">IF(AND(A295='Grocery List'!$B$3,E295="Yes"),COUNTIFS($A$4:A295,'Grocery List'!$B$3,$E$4:E295,"Yes"),"")</f>
        <v/>
      </c>
    </row>
    <row r="296" customFormat="false" ht="15" hidden="false" customHeight="false" outlineLevel="0" collapsed="false">
      <c r="A296" s="16"/>
      <c r="D296" s="12" t="str">
        <f aca="false">IF(C296="","",IFERROR(INDEX(Recipes!$B:$B,MATCH(C296,Recipes!$A:$A,0)),"⚠ unknown recipe_id"))</f>
        <v/>
      </c>
      <c r="K296" s="12" t="str">
        <f aca="false">IF(C296="","",IFERROR(INDEX(Recipes!$C:$C,MATCH(C296,Recipes!$A:$A,0)),""))</f>
        <v/>
      </c>
      <c r="L296" s="12" t="str">
        <f aca="false">IF(AND(A296='Grocery List'!$B$3,E296="Yes"),COUNTIFS($A$4:A296,'Grocery List'!$B$3,$E$4:E296,"Yes"),"")</f>
        <v/>
      </c>
    </row>
    <row r="297" customFormat="false" ht="15" hidden="false" customHeight="false" outlineLevel="0" collapsed="false">
      <c r="A297" s="16"/>
      <c r="D297" s="12" t="str">
        <f aca="false">IF(C297="","",IFERROR(INDEX(Recipes!$B:$B,MATCH(C297,Recipes!$A:$A,0)),"⚠ unknown recipe_id"))</f>
        <v/>
      </c>
      <c r="K297" s="12" t="str">
        <f aca="false">IF(C297="","",IFERROR(INDEX(Recipes!$C:$C,MATCH(C297,Recipes!$A:$A,0)),""))</f>
        <v/>
      </c>
      <c r="L297" s="12" t="str">
        <f aca="false">IF(AND(A297='Grocery List'!$B$3,E297="Yes"),COUNTIFS($A$4:A297,'Grocery List'!$B$3,$E$4:E297,"Yes"),"")</f>
        <v/>
      </c>
    </row>
    <row r="298" customFormat="false" ht="15" hidden="false" customHeight="false" outlineLevel="0" collapsed="false">
      <c r="A298" s="16"/>
      <c r="D298" s="12" t="str">
        <f aca="false">IF(C298="","",IFERROR(INDEX(Recipes!$B:$B,MATCH(C298,Recipes!$A:$A,0)),"⚠ unknown recipe_id"))</f>
        <v/>
      </c>
      <c r="K298" s="12" t="str">
        <f aca="false">IF(C298="","",IFERROR(INDEX(Recipes!$C:$C,MATCH(C298,Recipes!$A:$A,0)),""))</f>
        <v/>
      </c>
      <c r="L298" s="12" t="str">
        <f aca="false">IF(AND(A298='Grocery List'!$B$3,E298="Yes"),COUNTIFS($A$4:A298,'Grocery List'!$B$3,$E$4:E298,"Yes"),"")</f>
        <v/>
      </c>
    </row>
    <row r="299" customFormat="false" ht="15" hidden="false" customHeight="false" outlineLevel="0" collapsed="false">
      <c r="A299" s="16"/>
      <c r="D299" s="12" t="str">
        <f aca="false">IF(C299="","",IFERROR(INDEX(Recipes!$B:$B,MATCH(C299,Recipes!$A:$A,0)),"⚠ unknown recipe_id"))</f>
        <v/>
      </c>
      <c r="K299" s="12" t="str">
        <f aca="false">IF(C299="","",IFERROR(INDEX(Recipes!$C:$C,MATCH(C299,Recipes!$A:$A,0)),""))</f>
        <v/>
      </c>
      <c r="L299" s="12" t="str">
        <f aca="false">IF(AND(A299='Grocery List'!$B$3,E299="Yes"),COUNTIFS($A$4:A299,'Grocery List'!$B$3,$E$4:E299,"Yes"),"")</f>
        <v/>
      </c>
    </row>
    <row r="300" customFormat="false" ht="15" hidden="false" customHeight="false" outlineLevel="0" collapsed="false">
      <c r="A300" s="16"/>
      <c r="D300" s="12" t="str">
        <f aca="false">IF(C300="","",IFERROR(INDEX(Recipes!$B:$B,MATCH(C300,Recipes!$A:$A,0)),"⚠ unknown recipe_id"))</f>
        <v/>
      </c>
      <c r="K300" s="12" t="str">
        <f aca="false">IF(C300="","",IFERROR(INDEX(Recipes!$C:$C,MATCH(C300,Recipes!$A:$A,0)),""))</f>
        <v/>
      </c>
      <c r="L300" s="12" t="str">
        <f aca="false">IF(AND(A300='Grocery List'!$B$3,E300="Yes"),COUNTIFS($A$4:A300,'Grocery List'!$B$3,$E$4:E300,"Yes"),"")</f>
        <v/>
      </c>
    </row>
    <row r="301" customFormat="false" ht="15" hidden="false" customHeight="false" outlineLevel="0" collapsed="false">
      <c r="A301" s="16"/>
      <c r="D301" s="12" t="str">
        <f aca="false">IF(C301="","",IFERROR(INDEX(Recipes!$B:$B,MATCH(C301,Recipes!$A:$A,0)),"⚠ unknown recipe_id"))</f>
        <v/>
      </c>
      <c r="K301" s="12" t="str">
        <f aca="false">IF(C301="","",IFERROR(INDEX(Recipes!$C:$C,MATCH(C301,Recipes!$A:$A,0)),""))</f>
        <v/>
      </c>
      <c r="L301" s="12" t="str">
        <f aca="false">IF(AND(A301='Grocery List'!$B$3,E301="Yes"),COUNTIFS($A$4:A301,'Grocery List'!$B$3,$E$4:E301,"Yes"),"")</f>
        <v/>
      </c>
    </row>
    <row r="302" customFormat="false" ht="15" hidden="false" customHeight="false" outlineLevel="0" collapsed="false">
      <c r="A302" s="16"/>
      <c r="D302" s="12" t="str">
        <f aca="false">IF(C302="","",IFERROR(INDEX(Recipes!$B:$B,MATCH(C302,Recipes!$A:$A,0)),"⚠ unknown recipe_id"))</f>
        <v/>
      </c>
      <c r="K302" s="12" t="str">
        <f aca="false">IF(C302="","",IFERROR(INDEX(Recipes!$C:$C,MATCH(C302,Recipes!$A:$A,0)),""))</f>
        <v/>
      </c>
      <c r="L302" s="12" t="str">
        <f aca="false">IF(AND(A302='Grocery List'!$B$3,E302="Yes"),COUNTIFS($A$4:A302,'Grocery List'!$B$3,$E$4:E302,"Yes"),"")</f>
        <v/>
      </c>
    </row>
    <row r="303" customFormat="false" ht="15" hidden="false" customHeight="false" outlineLevel="0" collapsed="false">
      <c r="A303" s="16"/>
      <c r="D303" s="12" t="str">
        <f aca="false">IF(C303="","",IFERROR(INDEX(Recipes!$B:$B,MATCH(C303,Recipes!$A:$A,0)),"⚠ unknown recipe_id"))</f>
        <v/>
      </c>
      <c r="K303" s="12" t="str">
        <f aca="false">IF(C303="","",IFERROR(INDEX(Recipes!$C:$C,MATCH(C303,Recipes!$A:$A,0)),""))</f>
        <v/>
      </c>
      <c r="L303" s="12" t="str">
        <f aca="false">IF(AND(A303='Grocery List'!$B$3,E303="Yes"),COUNTIFS($A$4:A303,'Grocery List'!$B$3,$E$4:E303,"Yes"),"")</f>
        <v/>
      </c>
    </row>
    <row r="304" customFormat="false" ht="15" hidden="false" customHeight="false" outlineLevel="0" collapsed="false">
      <c r="A304" s="16"/>
      <c r="D304" s="12" t="str">
        <f aca="false">IF(C304="","",IFERROR(INDEX(Recipes!$B:$B,MATCH(C304,Recipes!$A:$A,0)),"⚠ unknown recipe_id"))</f>
        <v/>
      </c>
      <c r="K304" s="12" t="str">
        <f aca="false">IF(C304="","",IFERROR(INDEX(Recipes!$C:$C,MATCH(C304,Recipes!$A:$A,0)),""))</f>
        <v/>
      </c>
      <c r="L304" s="12" t="str">
        <f aca="false">IF(AND(A304='Grocery List'!$B$3,E304="Yes"),COUNTIFS($A$4:A304,'Grocery List'!$B$3,$E$4:E304,"Yes"),"")</f>
        <v/>
      </c>
    </row>
    <row r="305" customFormat="false" ht="15" hidden="false" customHeight="false" outlineLevel="0" collapsed="false">
      <c r="A305" s="16"/>
      <c r="D305" s="12" t="str">
        <f aca="false">IF(C305="","",IFERROR(INDEX(Recipes!$B:$B,MATCH(C305,Recipes!$A:$A,0)),"⚠ unknown recipe_id"))</f>
        <v/>
      </c>
      <c r="K305" s="12" t="str">
        <f aca="false">IF(C305="","",IFERROR(INDEX(Recipes!$C:$C,MATCH(C305,Recipes!$A:$A,0)),""))</f>
        <v/>
      </c>
      <c r="L305" s="12" t="str">
        <f aca="false">IF(AND(A305='Grocery List'!$B$3,E305="Yes"),COUNTIFS($A$4:A305,'Grocery List'!$B$3,$E$4:E305,"Yes"),"")</f>
        <v/>
      </c>
    </row>
    <row r="306" customFormat="false" ht="15" hidden="false" customHeight="false" outlineLevel="0" collapsed="false">
      <c r="A306" s="16"/>
      <c r="D306" s="12" t="str">
        <f aca="false">IF(C306="","",IFERROR(INDEX(Recipes!$B:$B,MATCH(C306,Recipes!$A:$A,0)),"⚠ unknown recipe_id"))</f>
        <v/>
      </c>
      <c r="K306" s="12" t="str">
        <f aca="false">IF(C306="","",IFERROR(INDEX(Recipes!$C:$C,MATCH(C306,Recipes!$A:$A,0)),""))</f>
        <v/>
      </c>
      <c r="L306" s="12" t="str">
        <f aca="false">IF(AND(A306='Grocery List'!$B$3,E306="Yes"),COUNTIFS($A$4:A306,'Grocery List'!$B$3,$E$4:E306,"Yes"),"")</f>
        <v/>
      </c>
    </row>
    <row r="307" customFormat="false" ht="15" hidden="false" customHeight="false" outlineLevel="0" collapsed="false">
      <c r="A307" s="16"/>
      <c r="D307" s="12" t="str">
        <f aca="false">IF(C307="","",IFERROR(INDEX(Recipes!$B:$B,MATCH(C307,Recipes!$A:$A,0)),"⚠ unknown recipe_id"))</f>
        <v/>
      </c>
      <c r="K307" s="12" t="str">
        <f aca="false">IF(C307="","",IFERROR(INDEX(Recipes!$C:$C,MATCH(C307,Recipes!$A:$A,0)),""))</f>
        <v/>
      </c>
      <c r="L307" s="12" t="str">
        <f aca="false">IF(AND(A307='Grocery List'!$B$3,E307="Yes"),COUNTIFS($A$4:A307,'Grocery List'!$B$3,$E$4:E307,"Yes"),"")</f>
        <v/>
      </c>
    </row>
    <row r="308" customFormat="false" ht="15" hidden="false" customHeight="false" outlineLevel="0" collapsed="false">
      <c r="A308" s="16"/>
      <c r="D308" s="12" t="str">
        <f aca="false">IF(C308="","",IFERROR(INDEX(Recipes!$B:$B,MATCH(C308,Recipes!$A:$A,0)),"⚠ unknown recipe_id"))</f>
        <v/>
      </c>
      <c r="K308" s="12" t="str">
        <f aca="false">IF(C308="","",IFERROR(INDEX(Recipes!$C:$C,MATCH(C308,Recipes!$A:$A,0)),""))</f>
        <v/>
      </c>
      <c r="L308" s="12" t="str">
        <f aca="false">IF(AND(A308='Grocery List'!$B$3,E308="Yes"),COUNTIFS($A$4:A308,'Grocery List'!$B$3,$E$4:E308,"Yes"),"")</f>
        <v/>
      </c>
    </row>
    <row r="309" customFormat="false" ht="15" hidden="false" customHeight="false" outlineLevel="0" collapsed="false">
      <c r="A309" s="16"/>
      <c r="D309" s="12" t="str">
        <f aca="false">IF(C309="","",IFERROR(INDEX(Recipes!$B:$B,MATCH(C309,Recipes!$A:$A,0)),"⚠ unknown recipe_id"))</f>
        <v/>
      </c>
      <c r="K309" s="12" t="str">
        <f aca="false">IF(C309="","",IFERROR(INDEX(Recipes!$C:$C,MATCH(C309,Recipes!$A:$A,0)),""))</f>
        <v/>
      </c>
      <c r="L309" s="12" t="str">
        <f aca="false">IF(AND(A309='Grocery List'!$B$3,E309="Yes"),COUNTIFS($A$4:A309,'Grocery List'!$B$3,$E$4:E309,"Yes"),"")</f>
        <v/>
      </c>
    </row>
    <row r="310" customFormat="false" ht="15" hidden="false" customHeight="false" outlineLevel="0" collapsed="false">
      <c r="A310" s="16"/>
      <c r="D310" s="12" t="str">
        <f aca="false">IF(C310="","",IFERROR(INDEX(Recipes!$B:$B,MATCH(C310,Recipes!$A:$A,0)),"⚠ unknown recipe_id"))</f>
        <v/>
      </c>
      <c r="K310" s="12" t="str">
        <f aca="false">IF(C310="","",IFERROR(INDEX(Recipes!$C:$C,MATCH(C310,Recipes!$A:$A,0)),""))</f>
        <v/>
      </c>
      <c r="L310" s="12" t="str">
        <f aca="false">IF(AND(A310='Grocery List'!$B$3,E310="Yes"),COUNTIFS($A$4:A310,'Grocery List'!$B$3,$E$4:E310,"Yes"),"")</f>
        <v/>
      </c>
    </row>
    <row r="311" customFormat="false" ht="15" hidden="false" customHeight="false" outlineLevel="0" collapsed="false">
      <c r="A311" s="16"/>
      <c r="D311" s="12" t="str">
        <f aca="false">IF(C311="","",IFERROR(INDEX(Recipes!$B:$B,MATCH(C311,Recipes!$A:$A,0)),"⚠ unknown recipe_id"))</f>
        <v/>
      </c>
      <c r="K311" s="12" t="str">
        <f aca="false">IF(C311="","",IFERROR(INDEX(Recipes!$C:$C,MATCH(C311,Recipes!$A:$A,0)),""))</f>
        <v/>
      </c>
      <c r="L311" s="12" t="str">
        <f aca="false">IF(AND(A311='Grocery List'!$B$3,E311="Yes"),COUNTIFS($A$4:A311,'Grocery List'!$B$3,$E$4:E311,"Yes"),"")</f>
        <v/>
      </c>
    </row>
    <row r="312" customFormat="false" ht="15" hidden="false" customHeight="false" outlineLevel="0" collapsed="false">
      <c r="A312" s="16"/>
      <c r="D312" s="12" t="str">
        <f aca="false">IF(C312="","",IFERROR(INDEX(Recipes!$B:$B,MATCH(C312,Recipes!$A:$A,0)),"⚠ unknown recipe_id"))</f>
        <v/>
      </c>
      <c r="K312" s="12" t="str">
        <f aca="false">IF(C312="","",IFERROR(INDEX(Recipes!$C:$C,MATCH(C312,Recipes!$A:$A,0)),""))</f>
        <v/>
      </c>
      <c r="L312" s="12" t="str">
        <f aca="false">IF(AND(A312='Grocery List'!$B$3,E312="Yes"),COUNTIFS($A$4:A312,'Grocery List'!$B$3,$E$4:E312,"Yes"),"")</f>
        <v/>
      </c>
    </row>
    <row r="313" customFormat="false" ht="15" hidden="false" customHeight="false" outlineLevel="0" collapsed="false">
      <c r="A313" s="16"/>
      <c r="D313" s="12" t="str">
        <f aca="false">IF(C313="","",IFERROR(INDEX(Recipes!$B:$B,MATCH(C313,Recipes!$A:$A,0)),"⚠ unknown recipe_id"))</f>
        <v/>
      </c>
      <c r="K313" s="12" t="str">
        <f aca="false">IF(C313="","",IFERROR(INDEX(Recipes!$C:$C,MATCH(C313,Recipes!$A:$A,0)),""))</f>
        <v/>
      </c>
      <c r="L313" s="12" t="str">
        <f aca="false">IF(AND(A313='Grocery List'!$B$3,E313="Yes"),COUNTIFS($A$4:A313,'Grocery List'!$B$3,$E$4:E313,"Yes"),"")</f>
        <v/>
      </c>
    </row>
    <row r="314" customFormat="false" ht="15" hidden="false" customHeight="false" outlineLevel="0" collapsed="false">
      <c r="A314" s="16"/>
      <c r="D314" s="12" t="str">
        <f aca="false">IF(C314="","",IFERROR(INDEX(Recipes!$B:$B,MATCH(C314,Recipes!$A:$A,0)),"⚠ unknown recipe_id"))</f>
        <v/>
      </c>
      <c r="K314" s="12" t="str">
        <f aca="false">IF(C314="","",IFERROR(INDEX(Recipes!$C:$C,MATCH(C314,Recipes!$A:$A,0)),""))</f>
        <v/>
      </c>
      <c r="L314" s="12" t="str">
        <f aca="false">IF(AND(A314='Grocery List'!$B$3,E314="Yes"),COUNTIFS($A$4:A314,'Grocery List'!$B$3,$E$4:E314,"Yes"),"")</f>
        <v/>
      </c>
    </row>
    <row r="315" customFormat="false" ht="15" hidden="false" customHeight="false" outlineLevel="0" collapsed="false">
      <c r="A315" s="16"/>
      <c r="D315" s="12" t="str">
        <f aca="false">IF(C315="","",IFERROR(INDEX(Recipes!$B:$B,MATCH(C315,Recipes!$A:$A,0)),"⚠ unknown recipe_id"))</f>
        <v/>
      </c>
      <c r="K315" s="12" t="str">
        <f aca="false">IF(C315="","",IFERROR(INDEX(Recipes!$C:$C,MATCH(C315,Recipes!$A:$A,0)),""))</f>
        <v/>
      </c>
      <c r="L315" s="12" t="str">
        <f aca="false">IF(AND(A315='Grocery List'!$B$3,E315="Yes"),COUNTIFS($A$4:A315,'Grocery List'!$B$3,$E$4:E315,"Yes"),"")</f>
        <v/>
      </c>
    </row>
    <row r="316" customFormat="false" ht="15" hidden="false" customHeight="false" outlineLevel="0" collapsed="false">
      <c r="A316" s="16"/>
      <c r="D316" s="12" t="str">
        <f aca="false">IF(C316="","",IFERROR(INDEX(Recipes!$B:$B,MATCH(C316,Recipes!$A:$A,0)),"⚠ unknown recipe_id"))</f>
        <v/>
      </c>
      <c r="K316" s="12" t="str">
        <f aca="false">IF(C316="","",IFERROR(INDEX(Recipes!$C:$C,MATCH(C316,Recipes!$A:$A,0)),""))</f>
        <v/>
      </c>
      <c r="L316" s="12" t="str">
        <f aca="false">IF(AND(A316='Grocery List'!$B$3,E316="Yes"),COUNTIFS($A$4:A316,'Grocery List'!$B$3,$E$4:E316,"Yes"),"")</f>
        <v/>
      </c>
    </row>
    <row r="317" customFormat="false" ht="15" hidden="false" customHeight="false" outlineLevel="0" collapsed="false">
      <c r="A317" s="16"/>
      <c r="D317" s="12" t="str">
        <f aca="false">IF(C317="","",IFERROR(INDEX(Recipes!$B:$B,MATCH(C317,Recipes!$A:$A,0)),"⚠ unknown recipe_id"))</f>
        <v/>
      </c>
      <c r="K317" s="12" t="str">
        <f aca="false">IF(C317="","",IFERROR(INDEX(Recipes!$C:$C,MATCH(C317,Recipes!$A:$A,0)),""))</f>
        <v/>
      </c>
      <c r="L317" s="12" t="str">
        <f aca="false">IF(AND(A317='Grocery List'!$B$3,E317="Yes"),COUNTIFS($A$4:A317,'Grocery List'!$B$3,$E$4:E317,"Yes"),"")</f>
        <v/>
      </c>
    </row>
    <row r="318" customFormat="false" ht="15" hidden="false" customHeight="false" outlineLevel="0" collapsed="false">
      <c r="A318" s="16"/>
      <c r="D318" s="12" t="str">
        <f aca="false">IF(C318="","",IFERROR(INDEX(Recipes!$B:$B,MATCH(C318,Recipes!$A:$A,0)),"⚠ unknown recipe_id"))</f>
        <v/>
      </c>
      <c r="K318" s="12" t="str">
        <f aca="false">IF(C318="","",IFERROR(INDEX(Recipes!$C:$C,MATCH(C318,Recipes!$A:$A,0)),""))</f>
        <v/>
      </c>
      <c r="L318" s="12" t="str">
        <f aca="false">IF(AND(A318='Grocery List'!$B$3,E318="Yes"),COUNTIFS($A$4:A318,'Grocery List'!$B$3,$E$4:E318,"Yes"),"")</f>
        <v/>
      </c>
    </row>
    <row r="319" customFormat="false" ht="15" hidden="false" customHeight="false" outlineLevel="0" collapsed="false">
      <c r="A319" s="16"/>
      <c r="D319" s="12" t="str">
        <f aca="false">IF(C319="","",IFERROR(INDEX(Recipes!$B:$B,MATCH(C319,Recipes!$A:$A,0)),"⚠ unknown recipe_id"))</f>
        <v/>
      </c>
      <c r="K319" s="12" t="str">
        <f aca="false">IF(C319="","",IFERROR(INDEX(Recipes!$C:$C,MATCH(C319,Recipes!$A:$A,0)),""))</f>
        <v/>
      </c>
      <c r="L319" s="12" t="str">
        <f aca="false">IF(AND(A319='Grocery List'!$B$3,E319="Yes"),COUNTIFS($A$4:A319,'Grocery List'!$B$3,$E$4:E319,"Yes"),"")</f>
        <v/>
      </c>
    </row>
    <row r="320" customFormat="false" ht="15" hidden="false" customHeight="false" outlineLevel="0" collapsed="false">
      <c r="A320" s="16"/>
      <c r="D320" s="12" t="str">
        <f aca="false">IF(C320="","",IFERROR(INDEX(Recipes!$B:$B,MATCH(C320,Recipes!$A:$A,0)),"⚠ unknown recipe_id"))</f>
        <v/>
      </c>
      <c r="K320" s="12" t="str">
        <f aca="false">IF(C320="","",IFERROR(INDEX(Recipes!$C:$C,MATCH(C320,Recipes!$A:$A,0)),""))</f>
        <v/>
      </c>
      <c r="L320" s="12" t="str">
        <f aca="false">IF(AND(A320='Grocery List'!$B$3,E320="Yes"),COUNTIFS($A$4:A320,'Grocery List'!$B$3,$E$4:E320,"Yes"),"")</f>
        <v/>
      </c>
    </row>
    <row r="321" customFormat="false" ht="15" hidden="false" customHeight="false" outlineLevel="0" collapsed="false">
      <c r="A321" s="16"/>
      <c r="D321" s="12" t="str">
        <f aca="false">IF(C321="","",IFERROR(INDEX(Recipes!$B:$B,MATCH(C321,Recipes!$A:$A,0)),"⚠ unknown recipe_id"))</f>
        <v/>
      </c>
      <c r="K321" s="12" t="str">
        <f aca="false">IF(C321="","",IFERROR(INDEX(Recipes!$C:$C,MATCH(C321,Recipes!$A:$A,0)),""))</f>
        <v/>
      </c>
      <c r="L321" s="12" t="str">
        <f aca="false">IF(AND(A321='Grocery List'!$B$3,E321="Yes"),COUNTIFS($A$4:A321,'Grocery List'!$B$3,$E$4:E321,"Yes"),"")</f>
        <v/>
      </c>
    </row>
    <row r="322" customFormat="false" ht="15" hidden="false" customHeight="false" outlineLevel="0" collapsed="false">
      <c r="A322" s="16"/>
      <c r="D322" s="12" t="str">
        <f aca="false">IF(C322="","",IFERROR(INDEX(Recipes!$B:$B,MATCH(C322,Recipes!$A:$A,0)),"⚠ unknown recipe_id"))</f>
        <v/>
      </c>
      <c r="K322" s="12" t="str">
        <f aca="false">IF(C322="","",IFERROR(INDEX(Recipes!$C:$C,MATCH(C322,Recipes!$A:$A,0)),""))</f>
        <v/>
      </c>
      <c r="L322" s="12" t="str">
        <f aca="false">IF(AND(A322='Grocery List'!$B$3,E322="Yes"),COUNTIFS($A$4:A322,'Grocery List'!$B$3,$E$4:E322,"Yes"),"")</f>
        <v/>
      </c>
    </row>
    <row r="323" customFormat="false" ht="15" hidden="false" customHeight="false" outlineLevel="0" collapsed="false">
      <c r="A323" s="16"/>
      <c r="D323" s="12" t="str">
        <f aca="false">IF(C323="","",IFERROR(INDEX(Recipes!$B:$B,MATCH(C323,Recipes!$A:$A,0)),"⚠ unknown recipe_id"))</f>
        <v/>
      </c>
      <c r="K323" s="12" t="str">
        <f aca="false">IF(C323="","",IFERROR(INDEX(Recipes!$C:$C,MATCH(C323,Recipes!$A:$A,0)),""))</f>
        <v/>
      </c>
      <c r="L323" s="12" t="str">
        <f aca="false">IF(AND(A323='Grocery List'!$B$3,E323="Yes"),COUNTIFS($A$4:A323,'Grocery List'!$B$3,$E$4:E323,"Yes"),"")</f>
        <v/>
      </c>
    </row>
    <row r="324" customFormat="false" ht="15" hidden="false" customHeight="false" outlineLevel="0" collapsed="false">
      <c r="A324" s="16"/>
      <c r="D324" s="12" t="str">
        <f aca="false">IF(C324="","",IFERROR(INDEX(Recipes!$B:$B,MATCH(C324,Recipes!$A:$A,0)),"⚠ unknown recipe_id"))</f>
        <v/>
      </c>
      <c r="K324" s="12" t="str">
        <f aca="false">IF(C324="","",IFERROR(INDEX(Recipes!$C:$C,MATCH(C324,Recipes!$A:$A,0)),""))</f>
        <v/>
      </c>
      <c r="L324" s="12" t="str">
        <f aca="false">IF(AND(A324='Grocery List'!$B$3,E324="Yes"),COUNTIFS($A$4:A324,'Grocery List'!$B$3,$E$4:E324,"Yes"),"")</f>
        <v/>
      </c>
    </row>
    <row r="325" customFormat="false" ht="15" hidden="false" customHeight="false" outlineLevel="0" collapsed="false">
      <c r="A325" s="16"/>
      <c r="D325" s="12" t="str">
        <f aca="false">IF(C325="","",IFERROR(INDEX(Recipes!$B:$B,MATCH(C325,Recipes!$A:$A,0)),"⚠ unknown recipe_id"))</f>
        <v/>
      </c>
      <c r="K325" s="12" t="str">
        <f aca="false">IF(C325="","",IFERROR(INDEX(Recipes!$C:$C,MATCH(C325,Recipes!$A:$A,0)),""))</f>
        <v/>
      </c>
      <c r="L325" s="12" t="str">
        <f aca="false">IF(AND(A325='Grocery List'!$B$3,E325="Yes"),COUNTIFS($A$4:A325,'Grocery List'!$B$3,$E$4:E325,"Yes"),"")</f>
        <v/>
      </c>
    </row>
    <row r="326" customFormat="false" ht="15" hidden="false" customHeight="false" outlineLevel="0" collapsed="false">
      <c r="A326" s="16"/>
      <c r="D326" s="12" t="str">
        <f aca="false">IF(C326="","",IFERROR(INDEX(Recipes!$B:$B,MATCH(C326,Recipes!$A:$A,0)),"⚠ unknown recipe_id"))</f>
        <v/>
      </c>
      <c r="K326" s="12" t="str">
        <f aca="false">IF(C326="","",IFERROR(INDEX(Recipes!$C:$C,MATCH(C326,Recipes!$A:$A,0)),""))</f>
        <v/>
      </c>
      <c r="L326" s="12" t="str">
        <f aca="false">IF(AND(A326='Grocery List'!$B$3,E326="Yes"),COUNTIFS($A$4:A326,'Grocery List'!$B$3,$E$4:E326,"Yes"),"")</f>
        <v/>
      </c>
    </row>
    <row r="327" customFormat="false" ht="15" hidden="false" customHeight="false" outlineLevel="0" collapsed="false">
      <c r="A327" s="16"/>
      <c r="D327" s="12" t="str">
        <f aca="false">IF(C327="","",IFERROR(INDEX(Recipes!$B:$B,MATCH(C327,Recipes!$A:$A,0)),"⚠ unknown recipe_id"))</f>
        <v/>
      </c>
      <c r="K327" s="12" t="str">
        <f aca="false">IF(C327="","",IFERROR(INDEX(Recipes!$C:$C,MATCH(C327,Recipes!$A:$A,0)),""))</f>
        <v/>
      </c>
      <c r="L327" s="12" t="str">
        <f aca="false">IF(AND(A327='Grocery List'!$B$3,E327="Yes"),COUNTIFS($A$4:A327,'Grocery List'!$B$3,$E$4:E327,"Yes"),"")</f>
        <v/>
      </c>
    </row>
    <row r="328" customFormat="false" ht="15" hidden="false" customHeight="false" outlineLevel="0" collapsed="false">
      <c r="A328" s="16"/>
      <c r="D328" s="12" t="str">
        <f aca="false">IF(C328="","",IFERROR(INDEX(Recipes!$B:$B,MATCH(C328,Recipes!$A:$A,0)),"⚠ unknown recipe_id"))</f>
        <v/>
      </c>
      <c r="K328" s="12" t="str">
        <f aca="false">IF(C328="","",IFERROR(INDEX(Recipes!$C:$C,MATCH(C328,Recipes!$A:$A,0)),""))</f>
        <v/>
      </c>
      <c r="L328" s="12" t="str">
        <f aca="false">IF(AND(A328='Grocery List'!$B$3,E328="Yes"),COUNTIFS($A$4:A328,'Grocery List'!$B$3,$E$4:E328,"Yes"),"")</f>
        <v/>
      </c>
    </row>
    <row r="329" customFormat="false" ht="15" hidden="false" customHeight="false" outlineLevel="0" collapsed="false">
      <c r="A329" s="16"/>
      <c r="D329" s="12" t="str">
        <f aca="false">IF(C329="","",IFERROR(INDEX(Recipes!$B:$B,MATCH(C329,Recipes!$A:$A,0)),"⚠ unknown recipe_id"))</f>
        <v/>
      </c>
      <c r="K329" s="12" t="str">
        <f aca="false">IF(C329="","",IFERROR(INDEX(Recipes!$C:$C,MATCH(C329,Recipes!$A:$A,0)),""))</f>
        <v/>
      </c>
      <c r="L329" s="12" t="str">
        <f aca="false">IF(AND(A329='Grocery List'!$B$3,E329="Yes"),COUNTIFS($A$4:A329,'Grocery List'!$B$3,$E$4:E329,"Yes"),"")</f>
        <v/>
      </c>
    </row>
    <row r="330" customFormat="false" ht="15" hidden="false" customHeight="false" outlineLevel="0" collapsed="false">
      <c r="A330" s="16"/>
      <c r="D330" s="12" t="str">
        <f aca="false">IF(C330="","",IFERROR(INDEX(Recipes!$B:$B,MATCH(C330,Recipes!$A:$A,0)),"⚠ unknown recipe_id"))</f>
        <v/>
      </c>
      <c r="K330" s="12" t="str">
        <f aca="false">IF(C330="","",IFERROR(INDEX(Recipes!$C:$C,MATCH(C330,Recipes!$A:$A,0)),""))</f>
        <v/>
      </c>
      <c r="L330" s="12" t="str">
        <f aca="false">IF(AND(A330='Grocery List'!$B$3,E330="Yes"),COUNTIFS($A$4:A330,'Grocery List'!$B$3,$E$4:E330,"Yes"),"")</f>
        <v/>
      </c>
    </row>
    <row r="331" customFormat="false" ht="15" hidden="false" customHeight="false" outlineLevel="0" collapsed="false">
      <c r="A331" s="16"/>
      <c r="D331" s="12" t="str">
        <f aca="false">IF(C331="","",IFERROR(INDEX(Recipes!$B:$B,MATCH(C331,Recipes!$A:$A,0)),"⚠ unknown recipe_id"))</f>
        <v/>
      </c>
      <c r="K331" s="12" t="str">
        <f aca="false">IF(C331="","",IFERROR(INDEX(Recipes!$C:$C,MATCH(C331,Recipes!$A:$A,0)),""))</f>
        <v/>
      </c>
      <c r="L331" s="12" t="str">
        <f aca="false">IF(AND(A331='Grocery List'!$B$3,E331="Yes"),COUNTIFS($A$4:A331,'Grocery List'!$B$3,$E$4:E331,"Yes"),"")</f>
        <v/>
      </c>
    </row>
    <row r="332" customFormat="false" ht="15" hidden="false" customHeight="false" outlineLevel="0" collapsed="false">
      <c r="A332" s="16"/>
      <c r="D332" s="12" t="str">
        <f aca="false">IF(C332="","",IFERROR(INDEX(Recipes!$B:$B,MATCH(C332,Recipes!$A:$A,0)),"⚠ unknown recipe_id"))</f>
        <v/>
      </c>
      <c r="K332" s="12" t="str">
        <f aca="false">IF(C332="","",IFERROR(INDEX(Recipes!$C:$C,MATCH(C332,Recipes!$A:$A,0)),""))</f>
        <v/>
      </c>
      <c r="L332" s="12" t="str">
        <f aca="false">IF(AND(A332='Grocery List'!$B$3,E332="Yes"),COUNTIFS($A$4:A332,'Grocery List'!$B$3,$E$4:E332,"Yes"),"")</f>
        <v/>
      </c>
    </row>
    <row r="333" customFormat="false" ht="15" hidden="false" customHeight="false" outlineLevel="0" collapsed="false">
      <c r="A333" s="16"/>
      <c r="D333" s="12" t="str">
        <f aca="false">IF(C333="","",IFERROR(INDEX(Recipes!$B:$B,MATCH(C333,Recipes!$A:$A,0)),"⚠ unknown recipe_id"))</f>
        <v/>
      </c>
      <c r="K333" s="12" t="str">
        <f aca="false">IF(C333="","",IFERROR(INDEX(Recipes!$C:$C,MATCH(C333,Recipes!$A:$A,0)),""))</f>
        <v/>
      </c>
      <c r="L333" s="12" t="str">
        <f aca="false">IF(AND(A333='Grocery List'!$B$3,E333="Yes"),COUNTIFS($A$4:A333,'Grocery List'!$B$3,$E$4:E333,"Yes"),"")</f>
        <v/>
      </c>
    </row>
    <row r="334" customFormat="false" ht="15" hidden="false" customHeight="false" outlineLevel="0" collapsed="false">
      <c r="A334" s="16"/>
      <c r="D334" s="12" t="str">
        <f aca="false">IF(C334="","",IFERROR(INDEX(Recipes!$B:$B,MATCH(C334,Recipes!$A:$A,0)),"⚠ unknown recipe_id"))</f>
        <v/>
      </c>
      <c r="K334" s="12" t="str">
        <f aca="false">IF(C334="","",IFERROR(INDEX(Recipes!$C:$C,MATCH(C334,Recipes!$A:$A,0)),""))</f>
        <v/>
      </c>
      <c r="L334" s="12" t="str">
        <f aca="false">IF(AND(A334='Grocery List'!$B$3,E334="Yes"),COUNTIFS($A$4:A334,'Grocery List'!$B$3,$E$4:E334,"Yes"),"")</f>
        <v/>
      </c>
    </row>
    <row r="335" customFormat="false" ht="15" hidden="false" customHeight="false" outlineLevel="0" collapsed="false">
      <c r="A335" s="16"/>
      <c r="D335" s="12" t="str">
        <f aca="false">IF(C335="","",IFERROR(INDEX(Recipes!$B:$B,MATCH(C335,Recipes!$A:$A,0)),"⚠ unknown recipe_id"))</f>
        <v/>
      </c>
      <c r="K335" s="12" t="str">
        <f aca="false">IF(C335="","",IFERROR(INDEX(Recipes!$C:$C,MATCH(C335,Recipes!$A:$A,0)),""))</f>
        <v/>
      </c>
      <c r="L335" s="12" t="str">
        <f aca="false">IF(AND(A335='Grocery List'!$B$3,E335="Yes"),COUNTIFS($A$4:A335,'Grocery List'!$B$3,$E$4:E335,"Yes"),"")</f>
        <v/>
      </c>
    </row>
    <row r="336" customFormat="false" ht="15" hidden="false" customHeight="false" outlineLevel="0" collapsed="false">
      <c r="A336" s="16"/>
      <c r="D336" s="12" t="str">
        <f aca="false">IF(C336="","",IFERROR(INDEX(Recipes!$B:$B,MATCH(C336,Recipes!$A:$A,0)),"⚠ unknown recipe_id"))</f>
        <v/>
      </c>
      <c r="K336" s="12" t="str">
        <f aca="false">IF(C336="","",IFERROR(INDEX(Recipes!$C:$C,MATCH(C336,Recipes!$A:$A,0)),""))</f>
        <v/>
      </c>
      <c r="L336" s="12" t="str">
        <f aca="false">IF(AND(A336='Grocery List'!$B$3,E336="Yes"),COUNTIFS($A$4:A336,'Grocery List'!$B$3,$E$4:E336,"Yes"),"")</f>
        <v/>
      </c>
    </row>
    <row r="337" customFormat="false" ht="15" hidden="false" customHeight="false" outlineLevel="0" collapsed="false">
      <c r="A337" s="16"/>
      <c r="D337" s="12" t="str">
        <f aca="false">IF(C337="","",IFERROR(INDEX(Recipes!$B:$B,MATCH(C337,Recipes!$A:$A,0)),"⚠ unknown recipe_id"))</f>
        <v/>
      </c>
      <c r="K337" s="12" t="str">
        <f aca="false">IF(C337="","",IFERROR(INDEX(Recipes!$C:$C,MATCH(C337,Recipes!$A:$A,0)),""))</f>
        <v/>
      </c>
      <c r="L337" s="12" t="str">
        <f aca="false">IF(AND(A337='Grocery List'!$B$3,E337="Yes"),COUNTIFS($A$4:A337,'Grocery List'!$B$3,$E$4:E337,"Yes"),"")</f>
        <v/>
      </c>
    </row>
    <row r="338" customFormat="false" ht="15" hidden="false" customHeight="false" outlineLevel="0" collapsed="false">
      <c r="A338" s="16"/>
      <c r="D338" s="12" t="str">
        <f aca="false">IF(C338="","",IFERROR(INDEX(Recipes!$B:$B,MATCH(C338,Recipes!$A:$A,0)),"⚠ unknown recipe_id"))</f>
        <v/>
      </c>
      <c r="K338" s="12" t="str">
        <f aca="false">IF(C338="","",IFERROR(INDEX(Recipes!$C:$C,MATCH(C338,Recipes!$A:$A,0)),""))</f>
        <v/>
      </c>
      <c r="L338" s="12" t="str">
        <f aca="false">IF(AND(A338='Grocery List'!$B$3,E338="Yes"),COUNTIFS($A$4:A338,'Grocery List'!$B$3,$E$4:E338,"Yes"),"")</f>
        <v/>
      </c>
    </row>
    <row r="339" customFormat="false" ht="15" hidden="false" customHeight="false" outlineLevel="0" collapsed="false">
      <c r="A339" s="16"/>
      <c r="D339" s="12" t="str">
        <f aca="false">IF(C339="","",IFERROR(INDEX(Recipes!$B:$B,MATCH(C339,Recipes!$A:$A,0)),"⚠ unknown recipe_id"))</f>
        <v/>
      </c>
      <c r="K339" s="12" t="str">
        <f aca="false">IF(C339="","",IFERROR(INDEX(Recipes!$C:$C,MATCH(C339,Recipes!$A:$A,0)),""))</f>
        <v/>
      </c>
      <c r="L339" s="12" t="str">
        <f aca="false">IF(AND(A339='Grocery List'!$B$3,E339="Yes"),COUNTIFS($A$4:A339,'Grocery List'!$B$3,$E$4:E339,"Yes"),"")</f>
        <v/>
      </c>
    </row>
    <row r="340" customFormat="false" ht="15" hidden="false" customHeight="false" outlineLevel="0" collapsed="false">
      <c r="A340" s="16"/>
      <c r="D340" s="12" t="str">
        <f aca="false">IF(C340="","",IFERROR(INDEX(Recipes!$B:$B,MATCH(C340,Recipes!$A:$A,0)),"⚠ unknown recipe_id"))</f>
        <v/>
      </c>
      <c r="K340" s="12" t="str">
        <f aca="false">IF(C340="","",IFERROR(INDEX(Recipes!$C:$C,MATCH(C340,Recipes!$A:$A,0)),""))</f>
        <v/>
      </c>
      <c r="L340" s="12" t="str">
        <f aca="false">IF(AND(A340='Grocery List'!$B$3,E340="Yes"),COUNTIFS($A$4:A340,'Grocery List'!$B$3,$E$4:E340,"Yes"),"")</f>
        <v/>
      </c>
    </row>
    <row r="341" customFormat="false" ht="15" hidden="false" customHeight="false" outlineLevel="0" collapsed="false">
      <c r="A341" s="16"/>
      <c r="D341" s="12" t="str">
        <f aca="false">IF(C341="","",IFERROR(INDEX(Recipes!$B:$B,MATCH(C341,Recipes!$A:$A,0)),"⚠ unknown recipe_id"))</f>
        <v/>
      </c>
      <c r="K341" s="12" t="str">
        <f aca="false">IF(C341="","",IFERROR(INDEX(Recipes!$C:$C,MATCH(C341,Recipes!$A:$A,0)),""))</f>
        <v/>
      </c>
      <c r="L341" s="12" t="str">
        <f aca="false">IF(AND(A341='Grocery List'!$B$3,E341="Yes"),COUNTIFS($A$4:A341,'Grocery List'!$B$3,$E$4:E341,"Yes"),"")</f>
        <v/>
      </c>
    </row>
    <row r="342" customFormat="false" ht="15" hidden="false" customHeight="false" outlineLevel="0" collapsed="false">
      <c r="A342" s="16"/>
      <c r="D342" s="12" t="str">
        <f aca="false">IF(C342="","",IFERROR(INDEX(Recipes!$B:$B,MATCH(C342,Recipes!$A:$A,0)),"⚠ unknown recipe_id"))</f>
        <v/>
      </c>
      <c r="K342" s="12" t="str">
        <f aca="false">IF(C342="","",IFERROR(INDEX(Recipes!$C:$C,MATCH(C342,Recipes!$A:$A,0)),""))</f>
        <v/>
      </c>
      <c r="L342" s="12" t="str">
        <f aca="false">IF(AND(A342='Grocery List'!$B$3,E342="Yes"),COUNTIFS($A$4:A342,'Grocery List'!$B$3,$E$4:E342,"Yes"),"")</f>
        <v/>
      </c>
    </row>
    <row r="343" customFormat="false" ht="15" hidden="false" customHeight="false" outlineLevel="0" collapsed="false">
      <c r="A343" s="16"/>
      <c r="D343" s="12" t="str">
        <f aca="false">IF(C343="","",IFERROR(INDEX(Recipes!$B:$B,MATCH(C343,Recipes!$A:$A,0)),"⚠ unknown recipe_id"))</f>
        <v/>
      </c>
      <c r="K343" s="12" t="str">
        <f aca="false">IF(C343="","",IFERROR(INDEX(Recipes!$C:$C,MATCH(C343,Recipes!$A:$A,0)),""))</f>
        <v/>
      </c>
      <c r="L343" s="12" t="str">
        <f aca="false">IF(AND(A343='Grocery List'!$B$3,E343="Yes"),COUNTIFS($A$4:A343,'Grocery List'!$B$3,$E$4:E343,"Yes"),"")</f>
        <v/>
      </c>
    </row>
    <row r="344" customFormat="false" ht="15" hidden="false" customHeight="false" outlineLevel="0" collapsed="false">
      <c r="A344" s="16"/>
      <c r="D344" s="12" t="str">
        <f aca="false">IF(C344="","",IFERROR(INDEX(Recipes!$B:$B,MATCH(C344,Recipes!$A:$A,0)),"⚠ unknown recipe_id"))</f>
        <v/>
      </c>
      <c r="K344" s="12" t="str">
        <f aca="false">IF(C344="","",IFERROR(INDEX(Recipes!$C:$C,MATCH(C344,Recipes!$A:$A,0)),""))</f>
        <v/>
      </c>
      <c r="L344" s="12" t="str">
        <f aca="false">IF(AND(A344='Grocery List'!$B$3,E344="Yes"),COUNTIFS($A$4:A344,'Grocery List'!$B$3,$E$4:E344,"Yes"),"")</f>
        <v/>
      </c>
    </row>
    <row r="345" customFormat="false" ht="15" hidden="false" customHeight="false" outlineLevel="0" collapsed="false">
      <c r="A345" s="16"/>
      <c r="D345" s="12" t="str">
        <f aca="false">IF(C345="","",IFERROR(INDEX(Recipes!$B:$B,MATCH(C345,Recipes!$A:$A,0)),"⚠ unknown recipe_id"))</f>
        <v/>
      </c>
      <c r="K345" s="12" t="str">
        <f aca="false">IF(C345="","",IFERROR(INDEX(Recipes!$C:$C,MATCH(C345,Recipes!$A:$A,0)),""))</f>
        <v/>
      </c>
      <c r="L345" s="12" t="str">
        <f aca="false">IF(AND(A345='Grocery List'!$B$3,E345="Yes"),COUNTIFS($A$4:A345,'Grocery List'!$B$3,$E$4:E345,"Yes"),"")</f>
        <v/>
      </c>
    </row>
    <row r="346" customFormat="false" ht="15" hidden="false" customHeight="false" outlineLevel="0" collapsed="false">
      <c r="A346" s="16"/>
      <c r="D346" s="12" t="str">
        <f aca="false">IF(C346="","",IFERROR(INDEX(Recipes!$B:$B,MATCH(C346,Recipes!$A:$A,0)),"⚠ unknown recipe_id"))</f>
        <v/>
      </c>
      <c r="K346" s="12" t="str">
        <f aca="false">IF(C346="","",IFERROR(INDEX(Recipes!$C:$C,MATCH(C346,Recipes!$A:$A,0)),""))</f>
        <v/>
      </c>
      <c r="L346" s="12" t="str">
        <f aca="false">IF(AND(A346='Grocery List'!$B$3,E346="Yes"),COUNTIFS($A$4:A346,'Grocery List'!$B$3,$E$4:E346,"Yes"),"")</f>
        <v/>
      </c>
    </row>
    <row r="347" customFormat="false" ht="15" hidden="false" customHeight="false" outlineLevel="0" collapsed="false">
      <c r="A347" s="16"/>
      <c r="D347" s="12" t="str">
        <f aca="false">IF(C347="","",IFERROR(INDEX(Recipes!$B:$B,MATCH(C347,Recipes!$A:$A,0)),"⚠ unknown recipe_id"))</f>
        <v/>
      </c>
      <c r="K347" s="12" t="str">
        <f aca="false">IF(C347="","",IFERROR(INDEX(Recipes!$C:$C,MATCH(C347,Recipes!$A:$A,0)),""))</f>
        <v/>
      </c>
      <c r="L347" s="12" t="str">
        <f aca="false">IF(AND(A347='Grocery List'!$B$3,E347="Yes"),COUNTIFS($A$4:A347,'Grocery List'!$B$3,$E$4:E347,"Yes"),"")</f>
        <v/>
      </c>
    </row>
    <row r="348" customFormat="false" ht="15" hidden="false" customHeight="false" outlineLevel="0" collapsed="false">
      <c r="A348" s="16"/>
      <c r="D348" s="12" t="str">
        <f aca="false">IF(C348="","",IFERROR(INDEX(Recipes!$B:$B,MATCH(C348,Recipes!$A:$A,0)),"⚠ unknown recipe_id"))</f>
        <v/>
      </c>
      <c r="K348" s="12" t="str">
        <f aca="false">IF(C348="","",IFERROR(INDEX(Recipes!$C:$C,MATCH(C348,Recipes!$A:$A,0)),""))</f>
        <v/>
      </c>
      <c r="L348" s="12" t="str">
        <f aca="false">IF(AND(A348='Grocery List'!$B$3,E348="Yes"),COUNTIFS($A$4:A348,'Grocery List'!$B$3,$E$4:E348,"Yes"),"")</f>
        <v/>
      </c>
    </row>
    <row r="349" customFormat="false" ht="15" hidden="false" customHeight="false" outlineLevel="0" collapsed="false">
      <c r="A349" s="16"/>
      <c r="D349" s="12" t="str">
        <f aca="false">IF(C349="","",IFERROR(INDEX(Recipes!$B:$B,MATCH(C349,Recipes!$A:$A,0)),"⚠ unknown recipe_id"))</f>
        <v/>
      </c>
      <c r="K349" s="12" t="str">
        <f aca="false">IF(C349="","",IFERROR(INDEX(Recipes!$C:$C,MATCH(C349,Recipes!$A:$A,0)),""))</f>
        <v/>
      </c>
      <c r="L349" s="12" t="str">
        <f aca="false">IF(AND(A349='Grocery List'!$B$3,E349="Yes"),COUNTIFS($A$4:A349,'Grocery List'!$B$3,$E$4:E349,"Yes"),"")</f>
        <v/>
      </c>
    </row>
    <row r="350" customFormat="false" ht="15" hidden="false" customHeight="false" outlineLevel="0" collapsed="false">
      <c r="A350" s="16"/>
      <c r="D350" s="12" t="str">
        <f aca="false">IF(C350="","",IFERROR(INDEX(Recipes!$B:$B,MATCH(C350,Recipes!$A:$A,0)),"⚠ unknown recipe_id"))</f>
        <v/>
      </c>
      <c r="K350" s="12" t="str">
        <f aca="false">IF(C350="","",IFERROR(INDEX(Recipes!$C:$C,MATCH(C350,Recipes!$A:$A,0)),""))</f>
        <v/>
      </c>
      <c r="L350" s="12" t="str">
        <f aca="false">IF(AND(A350='Grocery List'!$B$3,E350="Yes"),COUNTIFS($A$4:A350,'Grocery List'!$B$3,$E$4:E350,"Yes"),"")</f>
        <v/>
      </c>
    </row>
    <row r="351" customFormat="false" ht="15" hidden="false" customHeight="false" outlineLevel="0" collapsed="false">
      <c r="A351" s="16"/>
      <c r="D351" s="12" t="str">
        <f aca="false">IF(C351="","",IFERROR(INDEX(Recipes!$B:$B,MATCH(C351,Recipes!$A:$A,0)),"⚠ unknown recipe_id"))</f>
        <v/>
      </c>
      <c r="K351" s="12" t="str">
        <f aca="false">IF(C351="","",IFERROR(INDEX(Recipes!$C:$C,MATCH(C351,Recipes!$A:$A,0)),""))</f>
        <v/>
      </c>
      <c r="L351" s="12" t="str">
        <f aca="false">IF(AND(A351='Grocery List'!$B$3,E351="Yes"),COUNTIFS($A$4:A351,'Grocery List'!$B$3,$E$4:E351,"Yes"),"")</f>
        <v/>
      </c>
    </row>
    <row r="352" customFormat="false" ht="15" hidden="false" customHeight="false" outlineLevel="0" collapsed="false">
      <c r="A352" s="16"/>
      <c r="D352" s="12" t="str">
        <f aca="false">IF(C352="","",IFERROR(INDEX(Recipes!$B:$B,MATCH(C352,Recipes!$A:$A,0)),"⚠ unknown recipe_id"))</f>
        <v/>
      </c>
      <c r="K352" s="12" t="str">
        <f aca="false">IF(C352="","",IFERROR(INDEX(Recipes!$C:$C,MATCH(C352,Recipes!$A:$A,0)),""))</f>
        <v/>
      </c>
      <c r="L352" s="12" t="str">
        <f aca="false">IF(AND(A352='Grocery List'!$B$3,E352="Yes"),COUNTIFS($A$4:A352,'Grocery List'!$B$3,$E$4:E352,"Yes"),"")</f>
        <v/>
      </c>
    </row>
    <row r="353" customFormat="false" ht="15" hidden="false" customHeight="false" outlineLevel="0" collapsed="false">
      <c r="A353" s="16"/>
      <c r="D353" s="12" t="str">
        <f aca="false">IF(C353="","",IFERROR(INDEX(Recipes!$B:$B,MATCH(C353,Recipes!$A:$A,0)),"⚠ unknown recipe_id"))</f>
        <v/>
      </c>
      <c r="K353" s="12" t="str">
        <f aca="false">IF(C353="","",IFERROR(INDEX(Recipes!$C:$C,MATCH(C353,Recipes!$A:$A,0)),""))</f>
        <v/>
      </c>
      <c r="L353" s="12" t="str">
        <f aca="false">IF(AND(A353='Grocery List'!$B$3,E353="Yes"),COUNTIFS($A$4:A353,'Grocery List'!$B$3,$E$4:E353,"Yes"),"")</f>
        <v/>
      </c>
    </row>
    <row r="354" customFormat="false" ht="15" hidden="false" customHeight="false" outlineLevel="0" collapsed="false">
      <c r="A354" s="16"/>
      <c r="D354" s="12" t="str">
        <f aca="false">IF(C354="","",IFERROR(INDEX(Recipes!$B:$B,MATCH(C354,Recipes!$A:$A,0)),"⚠ unknown recipe_id"))</f>
        <v/>
      </c>
      <c r="K354" s="12" t="str">
        <f aca="false">IF(C354="","",IFERROR(INDEX(Recipes!$C:$C,MATCH(C354,Recipes!$A:$A,0)),""))</f>
        <v/>
      </c>
      <c r="L354" s="12" t="str">
        <f aca="false">IF(AND(A354='Grocery List'!$B$3,E354="Yes"),COUNTIFS($A$4:A354,'Grocery List'!$B$3,$E$4:E354,"Yes"),"")</f>
        <v/>
      </c>
    </row>
    <row r="355" customFormat="false" ht="15" hidden="false" customHeight="false" outlineLevel="0" collapsed="false">
      <c r="A355" s="16"/>
      <c r="D355" s="12" t="str">
        <f aca="false">IF(C355="","",IFERROR(INDEX(Recipes!$B:$B,MATCH(C355,Recipes!$A:$A,0)),"⚠ unknown recipe_id"))</f>
        <v/>
      </c>
      <c r="K355" s="12" t="str">
        <f aca="false">IF(C355="","",IFERROR(INDEX(Recipes!$C:$C,MATCH(C355,Recipes!$A:$A,0)),""))</f>
        <v/>
      </c>
      <c r="L355" s="12" t="str">
        <f aca="false">IF(AND(A355='Grocery List'!$B$3,E355="Yes"),COUNTIFS($A$4:A355,'Grocery List'!$B$3,$E$4:E355,"Yes"),"")</f>
        <v/>
      </c>
    </row>
    <row r="356" customFormat="false" ht="15" hidden="false" customHeight="false" outlineLevel="0" collapsed="false">
      <c r="A356" s="16"/>
      <c r="D356" s="12" t="str">
        <f aca="false">IF(C356="","",IFERROR(INDEX(Recipes!$B:$B,MATCH(C356,Recipes!$A:$A,0)),"⚠ unknown recipe_id"))</f>
        <v/>
      </c>
      <c r="K356" s="12" t="str">
        <f aca="false">IF(C356="","",IFERROR(INDEX(Recipes!$C:$C,MATCH(C356,Recipes!$A:$A,0)),""))</f>
        <v/>
      </c>
      <c r="L356" s="12" t="str">
        <f aca="false">IF(AND(A356='Grocery List'!$B$3,E356="Yes"),COUNTIFS($A$4:A356,'Grocery List'!$B$3,$E$4:E356,"Yes"),"")</f>
        <v/>
      </c>
    </row>
    <row r="357" customFormat="false" ht="15" hidden="false" customHeight="false" outlineLevel="0" collapsed="false">
      <c r="A357" s="16"/>
      <c r="D357" s="12" t="str">
        <f aca="false">IF(C357="","",IFERROR(INDEX(Recipes!$B:$B,MATCH(C357,Recipes!$A:$A,0)),"⚠ unknown recipe_id"))</f>
        <v/>
      </c>
      <c r="K357" s="12" t="str">
        <f aca="false">IF(C357="","",IFERROR(INDEX(Recipes!$C:$C,MATCH(C357,Recipes!$A:$A,0)),""))</f>
        <v/>
      </c>
      <c r="L357" s="12" t="str">
        <f aca="false">IF(AND(A357='Grocery List'!$B$3,E357="Yes"),COUNTIFS($A$4:A357,'Grocery List'!$B$3,$E$4:E357,"Yes"),"")</f>
        <v/>
      </c>
    </row>
    <row r="358" customFormat="false" ht="15" hidden="false" customHeight="false" outlineLevel="0" collapsed="false">
      <c r="A358" s="16"/>
      <c r="D358" s="12" t="str">
        <f aca="false">IF(C358="","",IFERROR(INDEX(Recipes!$B:$B,MATCH(C358,Recipes!$A:$A,0)),"⚠ unknown recipe_id"))</f>
        <v/>
      </c>
      <c r="K358" s="12" t="str">
        <f aca="false">IF(C358="","",IFERROR(INDEX(Recipes!$C:$C,MATCH(C358,Recipes!$A:$A,0)),""))</f>
        <v/>
      </c>
      <c r="L358" s="12" t="str">
        <f aca="false">IF(AND(A358='Grocery List'!$B$3,E358="Yes"),COUNTIFS($A$4:A358,'Grocery List'!$B$3,$E$4:E358,"Yes"),"")</f>
        <v/>
      </c>
    </row>
    <row r="359" customFormat="false" ht="15" hidden="false" customHeight="false" outlineLevel="0" collapsed="false">
      <c r="A359" s="16"/>
      <c r="D359" s="12" t="str">
        <f aca="false">IF(C359="","",IFERROR(INDEX(Recipes!$B:$B,MATCH(C359,Recipes!$A:$A,0)),"⚠ unknown recipe_id"))</f>
        <v/>
      </c>
      <c r="K359" s="12" t="str">
        <f aca="false">IF(C359="","",IFERROR(INDEX(Recipes!$C:$C,MATCH(C359,Recipes!$A:$A,0)),""))</f>
        <v/>
      </c>
      <c r="L359" s="12" t="str">
        <f aca="false">IF(AND(A359='Grocery List'!$B$3,E359="Yes"),COUNTIFS($A$4:A359,'Grocery List'!$B$3,$E$4:E359,"Yes"),"")</f>
        <v/>
      </c>
    </row>
    <row r="360" customFormat="false" ht="15" hidden="false" customHeight="false" outlineLevel="0" collapsed="false">
      <c r="A360" s="16"/>
      <c r="D360" s="12" t="str">
        <f aca="false">IF(C360="","",IFERROR(INDEX(Recipes!$B:$B,MATCH(C360,Recipes!$A:$A,0)),"⚠ unknown recipe_id"))</f>
        <v/>
      </c>
      <c r="K360" s="12" t="str">
        <f aca="false">IF(C360="","",IFERROR(INDEX(Recipes!$C:$C,MATCH(C360,Recipes!$A:$A,0)),""))</f>
        <v/>
      </c>
      <c r="L360" s="12" t="str">
        <f aca="false">IF(AND(A360='Grocery List'!$B$3,E360="Yes"),COUNTIFS($A$4:A360,'Grocery List'!$B$3,$E$4:E360,"Yes"),"")</f>
        <v/>
      </c>
    </row>
    <row r="361" customFormat="false" ht="15" hidden="false" customHeight="false" outlineLevel="0" collapsed="false">
      <c r="A361" s="16"/>
      <c r="D361" s="12" t="str">
        <f aca="false">IF(C361="","",IFERROR(INDEX(Recipes!$B:$B,MATCH(C361,Recipes!$A:$A,0)),"⚠ unknown recipe_id"))</f>
        <v/>
      </c>
      <c r="K361" s="12" t="str">
        <f aca="false">IF(C361="","",IFERROR(INDEX(Recipes!$C:$C,MATCH(C361,Recipes!$A:$A,0)),""))</f>
        <v/>
      </c>
      <c r="L361" s="12" t="str">
        <f aca="false">IF(AND(A361='Grocery List'!$B$3,E361="Yes"),COUNTIFS($A$4:A361,'Grocery List'!$B$3,$E$4:E361,"Yes"),"")</f>
        <v/>
      </c>
    </row>
    <row r="362" customFormat="false" ht="15" hidden="false" customHeight="false" outlineLevel="0" collapsed="false">
      <c r="A362" s="16"/>
      <c r="D362" s="12" t="str">
        <f aca="false">IF(C362="","",IFERROR(INDEX(Recipes!$B:$B,MATCH(C362,Recipes!$A:$A,0)),"⚠ unknown recipe_id"))</f>
        <v/>
      </c>
      <c r="K362" s="12" t="str">
        <f aca="false">IF(C362="","",IFERROR(INDEX(Recipes!$C:$C,MATCH(C362,Recipes!$A:$A,0)),""))</f>
        <v/>
      </c>
      <c r="L362" s="12" t="str">
        <f aca="false">IF(AND(A362='Grocery List'!$B$3,E362="Yes"),COUNTIFS($A$4:A362,'Grocery List'!$B$3,$E$4:E362,"Yes"),"")</f>
        <v/>
      </c>
    </row>
    <row r="363" customFormat="false" ht="15" hidden="false" customHeight="false" outlineLevel="0" collapsed="false">
      <c r="A363" s="16"/>
      <c r="D363" s="12" t="str">
        <f aca="false">IF(C363="","",IFERROR(INDEX(Recipes!$B:$B,MATCH(C363,Recipes!$A:$A,0)),"⚠ unknown recipe_id"))</f>
        <v/>
      </c>
      <c r="K363" s="12" t="str">
        <f aca="false">IF(C363="","",IFERROR(INDEX(Recipes!$C:$C,MATCH(C363,Recipes!$A:$A,0)),""))</f>
        <v/>
      </c>
      <c r="L363" s="12" t="str">
        <f aca="false">IF(AND(A363='Grocery List'!$B$3,E363="Yes"),COUNTIFS($A$4:A363,'Grocery List'!$B$3,$E$4:E363,"Yes"),"")</f>
        <v/>
      </c>
    </row>
    <row r="364" customFormat="false" ht="15" hidden="false" customHeight="false" outlineLevel="0" collapsed="false">
      <c r="A364" s="16"/>
      <c r="D364" s="12" t="str">
        <f aca="false">IF(C364="","",IFERROR(INDEX(Recipes!$B:$B,MATCH(C364,Recipes!$A:$A,0)),"⚠ unknown recipe_id"))</f>
        <v/>
      </c>
      <c r="K364" s="12" t="str">
        <f aca="false">IF(C364="","",IFERROR(INDEX(Recipes!$C:$C,MATCH(C364,Recipes!$A:$A,0)),""))</f>
        <v/>
      </c>
      <c r="L364" s="12" t="str">
        <f aca="false">IF(AND(A364='Grocery List'!$B$3,E364="Yes"),COUNTIFS($A$4:A364,'Grocery List'!$B$3,$E$4:E364,"Yes"),"")</f>
        <v/>
      </c>
    </row>
    <row r="365" customFormat="false" ht="15" hidden="false" customHeight="false" outlineLevel="0" collapsed="false">
      <c r="A365" s="16"/>
      <c r="D365" s="12" t="str">
        <f aca="false">IF(C365="","",IFERROR(INDEX(Recipes!$B:$B,MATCH(C365,Recipes!$A:$A,0)),"⚠ unknown recipe_id"))</f>
        <v/>
      </c>
      <c r="K365" s="12" t="str">
        <f aca="false">IF(C365="","",IFERROR(INDEX(Recipes!$C:$C,MATCH(C365,Recipes!$A:$A,0)),""))</f>
        <v/>
      </c>
      <c r="L365" s="12" t="str">
        <f aca="false">IF(AND(A365='Grocery List'!$B$3,E365="Yes"),COUNTIFS($A$4:A365,'Grocery List'!$B$3,$E$4:E365,"Yes"),"")</f>
        <v/>
      </c>
    </row>
    <row r="366" customFormat="false" ht="15" hidden="false" customHeight="false" outlineLevel="0" collapsed="false">
      <c r="A366" s="16"/>
      <c r="D366" s="12" t="str">
        <f aca="false">IF(C366="","",IFERROR(INDEX(Recipes!$B:$B,MATCH(C366,Recipes!$A:$A,0)),"⚠ unknown recipe_id"))</f>
        <v/>
      </c>
      <c r="K366" s="12" t="str">
        <f aca="false">IF(C366="","",IFERROR(INDEX(Recipes!$C:$C,MATCH(C366,Recipes!$A:$A,0)),""))</f>
        <v/>
      </c>
      <c r="L366" s="12" t="str">
        <f aca="false">IF(AND(A366='Grocery List'!$B$3,E366="Yes"),COUNTIFS($A$4:A366,'Grocery List'!$B$3,$E$4:E366,"Yes"),"")</f>
        <v/>
      </c>
    </row>
    <row r="367" customFormat="false" ht="15" hidden="false" customHeight="false" outlineLevel="0" collapsed="false">
      <c r="A367" s="16"/>
      <c r="D367" s="12" t="str">
        <f aca="false">IF(C367="","",IFERROR(INDEX(Recipes!$B:$B,MATCH(C367,Recipes!$A:$A,0)),"⚠ unknown recipe_id"))</f>
        <v/>
      </c>
      <c r="K367" s="12" t="str">
        <f aca="false">IF(C367="","",IFERROR(INDEX(Recipes!$C:$C,MATCH(C367,Recipes!$A:$A,0)),""))</f>
        <v/>
      </c>
      <c r="L367" s="12" t="str">
        <f aca="false">IF(AND(A367='Grocery List'!$B$3,E367="Yes"),COUNTIFS($A$4:A367,'Grocery List'!$B$3,$E$4:E367,"Yes"),"")</f>
        <v/>
      </c>
    </row>
    <row r="368" customFormat="false" ht="15" hidden="false" customHeight="false" outlineLevel="0" collapsed="false">
      <c r="A368" s="16"/>
      <c r="D368" s="12" t="str">
        <f aca="false">IF(C368="","",IFERROR(INDEX(Recipes!$B:$B,MATCH(C368,Recipes!$A:$A,0)),"⚠ unknown recipe_id"))</f>
        <v/>
      </c>
      <c r="K368" s="12" t="str">
        <f aca="false">IF(C368="","",IFERROR(INDEX(Recipes!$C:$C,MATCH(C368,Recipes!$A:$A,0)),""))</f>
        <v/>
      </c>
      <c r="L368" s="12" t="str">
        <f aca="false">IF(AND(A368='Grocery List'!$B$3,E368="Yes"),COUNTIFS($A$4:A368,'Grocery List'!$B$3,$E$4:E368,"Yes"),"")</f>
        <v/>
      </c>
    </row>
    <row r="369" customFormat="false" ht="15" hidden="false" customHeight="false" outlineLevel="0" collapsed="false">
      <c r="A369" s="16"/>
      <c r="D369" s="12" t="str">
        <f aca="false">IF(C369="","",IFERROR(INDEX(Recipes!$B:$B,MATCH(C369,Recipes!$A:$A,0)),"⚠ unknown recipe_id"))</f>
        <v/>
      </c>
      <c r="K369" s="12" t="str">
        <f aca="false">IF(C369="","",IFERROR(INDEX(Recipes!$C:$C,MATCH(C369,Recipes!$A:$A,0)),""))</f>
        <v/>
      </c>
      <c r="L369" s="12" t="str">
        <f aca="false">IF(AND(A369='Grocery List'!$B$3,E369="Yes"),COUNTIFS($A$4:A369,'Grocery List'!$B$3,$E$4:E369,"Yes"),"")</f>
        <v/>
      </c>
    </row>
    <row r="370" customFormat="false" ht="15" hidden="false" customHeight="false" outlineLevel="0" collapsed="false">
      <c r="A370" s="16"/>
      <c r="D370" s="12" t="str">
        <f aca="false">IF(C370="","",IFERROR(INDEX(Recipes!$B:$B,MATCH(C370,Recipes!$A:$A,0)),"⚠ unknown recipe_id"))</f>
        <v/>
      </c>
      <c r="K370" s="12" t="str">
        <f aca="false">IF(C370="","",IFERROR(INDEX(Recipes!$C:$C,MATCH(C370,Recipes!$A:$A,0)),""))</f>
        <v/>
      </c>
      <c r="L370" s="12" t="str">
        <f aca="false">IF(AND(A370='Grocery List'!$B$3,E370="Yes"),COUNTIFS($A$4:A370,'Grocery List'!$B$3,$E$4:E370,"Yes"),"")</f>
        <v/>
      </c>
    </row>
    <row r="371" customFormat="false" ht="15" hidden="false" customHeight="false" outlineLevel="0" collapsed="false">
      <c r="A371" s="16"/>
      <c r="D371" s="12" t="str">
        <f aca="false">IF(C371="","",IFERROR(INDEX(Recipes!$B:$B,MATCH(C371,Recipes!$A:$A,0)),"⚠ unknown recipe_id"))</f>
        <v/>
      </c>
      <c r="K371" s="12" t="str">
        <f aca="false">IF(C371="","",IFERROR(INDEX(Recipes!$C:$C,MATCH(C371,Recipes!$A:$A,0)),""))</f>
        <v/>
      </c>
      <c r="L371" s="12" t="str">
        <f aca="false">IF(AND(A371='Grocery List'!$B$3,E371="Yes"),COUNTIFS($A$4:A371,'Grocery List'!$B$3,$E$4:E371,"Yes"),"")</f>
        <v/>
      </c>
    </row>
    <row r="372" customFormat="false" ht="15" hidden="false" customHeight="false" outlineLevel="0" collapsed="false">
      <c r="A372" s="16"/>
      <c r="D372" s="12" t="str">
        <f aca="false">IF(C372="","",IFERROR(INDEX(Recipes!$B:$B,MATCH(C372,Recipes!$A:$A,0)),"⚠ unknown recipe_id"))</f>
        <v/>
      </c>
      <c r="K372" s="12" t="str">
        <f aca="false">IF(C372="","",IFERROR(INDEX(Recipes!$C:$C,MATCH(C372,Recipes!$A:$A,0)),""))</f>
        <v/>
      </c>
      <c r="L372" s="12" t="str">
        <f aca="false">IF(AND(A372='Grocery List'!$B$3,E372="Yes"),COUNTIFS($A$4:A372,'Grocery List'!$B$3,$E$4:E372,"Yes"),"")</f>
        <v/>
      </c>
    </row>
    <row r="373" customFormat="false" ht="15" hidden="false" customHeight="false" outlineLevel="0" collapsed="false">
      <c r="A373" s="16"/>
      <c r="D373" s="12" t="str">
        <f aca="false">IF(C373="","",IFERROR(INDEX(Recipes!$B:$B,MATCH(C373,Recipes!$A:$A,0)),"⚠ unknown recipe_id"))</f>
        <v/>
      </c>
      <c r="K373" s="12" t="str">
        <f aca="false">IF(C373="","",IFERROR(INDEX(Recipes!$C:$C,MATCH(C373,Recipes!$A:$A,0)),""))</f>
        <v/>
      </c>
      <c r="L373" s="12" t="str">
        <f aca="false">IF(AND(A373='Grocery List'!$B$3,E373="Yes"),COUNTIFS($A$4:A373,'Grocery List'!$B$3,$E$4:E373,"Yes"),"")</f>
        <v/>
      </c>
    </row>
    <row r="374" customFormat="false" ht="15" hidden="false" customHeight="false" outlineLevel="0" collapsed="false">
      <c r="A374" s="16"/>
      <c r="D374" s="12" t="str">
        <f aca="false">IF(C374="","",IFERROR(INDEX(Recipes!$B:$B,MATCH(C374,Recipes!$A:$A,0)),"⚠ unknown recipe_id"))</f>
        <v/>
      </c>
      <c r="K374" s="12" t="str">
        <f aca="false">IF(C374="","",IFERROR(INDEX(Recipes!$C:$C,MATCH(C374,Recipes!$A:$A,0)),""))</f>
        <v/>
      </c>
      <c r="L374" s="12" t="str">
        <f aca="false">IF(AND(A374='Grocery List'!$B$3,E374="Yes"),COUNTIFS($A$4:A374,'Grocery List'!$B$3,$E$4:E374,"Yes"),"")</f>
        <v/>
      </c>
    </row>
    <row r="375" customFormat="false" ht="15" hidden="false" customHeight="false" outlineLevel="0" collapsed="false">
      <c r="A375" s="16"/>
      <c r="D375" s="12" t="str">
        <f aca="false">IF(C375="","",IFERROR(INDEX(Recipes!$B:$B,MATCH(C375,Recipes!$A:$A,0)),"⚠ unknown recipe_id"))</f>
        <v/>
      </c>
      <c r="K375" s="12" t="str">
        <f aca="false">IF(C375="","",IFERROR(INDEX(Recipes!$C:$C,MATCH(C375,Recipes!$A:$A,0)),""))</f>
        <v/>
      </c>
      <c r="L375" s="12" t="str">
        <f aca="false">IF(AND(A375='Grocery List'!$B$3,E375="Yes"),COUNTIFS($A$4:A375,'Grocery List'!$B$3,$E$4:E375,"Yes"),"")</f>
        <v/>
      </c>
    </row>
    <row r="376" customFormat="false" ht="15" hidden="false" customHeight="false" outlineLevel="0" collapsed="false">
      <c r="A376" s="16"/>
      <c r="D376" s="12" t="str">
        <f aca="false">IF(C376="","",IFERROR(INDEX(Recipes!$B:$B,MATCH(C376,Recipes!$A:$A,0)),"⚠ unknown recipe_id"))</f>
        <v/>
      </c>
      <c r="K376" s="12" t="str">
        <f aca="false">IF(C376="","",IFERROR(INDEX(Recipes!$C:$C,MATCH(C376,Recipes!$A:$A,0)),""))</f>
        <v/>
      </c>
      <c r="L376" s="12" t="str">
        <f aca="false">IF(AND(A376='Grocery List'!$B$3,E376="Yes"),COUNTIFS($A$4:A376,'Grocery List'!$B$3,$E$4:E376,"Yes"),"")</f>
        <v/>
      </c>
    </row>
    <row r="377" customFormat="false" ht="15" hidden="false" customHeight="false" outlineLevel="0" collapsed="false">
      <c r="A377" s="16"/>
      <c r="D377" s="12" t="str">
        <f aca="false">IF(C377="","",IFERROR(INDEX(Recipes!$B:$B,MATCH(C377,Recipes!$A:$A,0)),"⚠ unknown recipe_id"))</f>
        <v/>
      </c>
      <c r="K377" s="12" t="str">
        <f aca="false">IF(C377="","",IFERROR(INDEX(Recipes!$C:$C,MATCH(C377,Recipes!$A:$A,0)),""))</f>
        <v/>
      </c>
      <c r="L377" s="12" t="str">
        <f aca="false">IF(AND(A377='Grocery List'!$B$3,E377="Yes"),COUNTIFS($A$4:A377,'Grocery List'!$B$3,$E$4:E377,"Yes"),"")</f>
        <v/>
      </c>
    </row>
    <row r="378" customFormat="false" ht="15" hidden="false" customHeight="false" outlineLevel="0" collapsed="false">
      <c r="A378" s="16"/>
      <c r="D378" s="12" t="str">
        <f aca="false">IF(C378="","",IFERROR(INDEX(Recipes!$B:$B,MATCH(C378,Recipes!$A:$A,0)),"⚠ unknown recipe_id"))</f>
        <v/>
      </c>
      <c r="K378" s="12" t="str">
        <f aca="false">IF(C378="","",IFERROR(INDEX(Recipes!$C:$C,MATCH(C378,Recipes!$A:$A,0)),""))</f>
        <v/>
      </c>
      <c r="L378" s="12" t="str">
        <f aca="false">IF(AND(A378='Grocery List'!$B$3,E378="Yes"),COUNTIFS($A$4:A378,'Grocery List'!$B$3,$E$4:E378,"Yes"),"")</f>
        <v/>
      </c>
    </row>
    <row r="379" customFormat="false" ht="15" hidden="false" customHeight="false" outlineLevel="0" collapsed="false">
      <c r="A379" s="16"/>
      <c r="D379" s="12" t="str">
        <f aca="false">IF(C379="","",IFERROR(INDEX(Recipes!$B:$B,MATCH(C379,Recipes!$A:$A,0)),"⚠ unknown recipe_id"))</f>
        <v/>
      </c>
      <c r="K379" s="12" t="str">
        <f aca="false">IF(C379="","",IFERROR(INDEX(Recipes!$C:$C,MATCH(C379,Recipes!$A:$A,0)),""))</f>
        <v/>
      </c>
      <c r="L379" s="12" t="str">
        <f aca="false">IF(AND(A379='Grocery List'!$B$3,E379="Yes"),COUNTIFS($A$4:A379,'Grocery List'!$B$3,$E$4:E379,"Yes"),"")</f>
        <v/>
      </c>
    </row>
    <row r="380" customFormat="false" ht="15" hidden="false" customHeight="false" outlineLevel="0" collapsed="false">
      <c r="A380" s="16"/>
      <c r="D380" s="12" t="str">
        <f aca="false">IF(C380="","",IFERROR(INDEX(Recipes!$B:$B,MATCH(C380,Recipes!$A:$A,0)),"⚠ unknown recipe_id"))</f>
        <v/>
      </c>
      <c r="K380" s="12" t="str">
        <f aca="false">IF(C380="","",IFERROR(INDEX(Recipes!$C:$C,MATCH(C380,Recipes!$A:$A,0)),""))</f>
        <v/>
      </c>
      <c r="L380" s="12" t="str">
        <f aca="false">IF(AND(A380='Grocery List'!$B$3,E380="Yes"),COUNTIFS($A$4:A380,'Grocery List'!$B$3,$E$4:E380,"Yes"),"")</f>
        <v/>
      </c>
    </row>
    <row r="381" customFormat="false" ht="15" hidden="false" customHeight="false" outlineLevel="0" collapsed="false">
      <c r="A381" s="16"/>
      <c r="D381" s="12" t="str">
        <f aca="false">IF(C381="","",IFERROR(INDEX(Recipes!$B:$B,MATCH(C381,Recipes!$A:$A,0)),"⚠ unknown recipe_id"))</f>
        <v/>
      </c>
      <c r="K381" s="12" t="str">
        <f aca="false">IF(C381="","",IFERROR(INDEX(Recipes!$C:$C,MATCH(C381,Recipes!$A:$A,0)),""))</f>
        <v/>
      </c>
      <c r="L381" s="12" t="str">
        <f aca="false">IF(AND(A381='Grocery List'!$B$3,E381="Yes"),COUNTIFS($A$4:A381,'Grocery List'!$B$3,$E$4:E381,"Yes"),"")</f>
        <v/>
      </c>
    </row>
    <row r="382" customFormat="false" ht="15" hidden="false" customHeight="false" outlineLevel="0" collapsed="false">
      <c r="A382" s="16"/>
      <c r="D382" s="12" t="str">
        <f aca="false">IF(C382="","",IFERROR(INDEX(Recipes!$B:$B,MATCH(C382,Recipes!$A:$A,0)),"⚠ unknown recipe_id"))</f>
        <v/>
      </c>
      <c r="K382" s="12" t="str">
        <f aca="false">IF(C382="","",IFERROR(INDEX(Recipes!$C:$C,MATCH(C382,Recipes!$A:$A,0)),""))</f>
        <v/>
      </c>
      <c r="L382" s="12" t="str">
        <f aca="false">IF(AND(A382='Grocery List'!$B$3,E382="Yes"),COUNTIFS($A$4:A382,'Grocery List'!$B$3,$E$4:E382,"Yes"),"")</f>
        <v/>
      </c>
    </row>
    <row r="383" customFormat="false" ht="15" hidden="false" customHeight="false" outlineLevel="0" collapsed="false">
      <c r="A383" s="16"/>
      <c r="D383" s="12" t="str">
        <f aca="false">IF(C383="","",IFERROR(INDEX(Recipes!$B:$B,MATCH(C383,Recipes!$A:$A,0)),"⚠ unknown recipe_id"))</f>
        <v/>
      </c>
      <c r="K383" s="12" t="str">
        <f aca="false">IF(C383="","",IFERROR(INDEX(Recipes!$C:$C,MATCH(C383,Recipes!$A:$A,0)),""))</f>
        <v/>
      </c>
      <c r="L383" s="12" t="str">
        <f aca="false">IF(AND(A383='Grocery List'!$B$3,E383="Yes"),COUNTIFS($A$4:A383,'Grocery List'!$B$3,$E$4:E383,"Yes"),"")</f>
        <v/>
      </c>
    </row>
    <row r="384" customFormat="false" ht="15" hidden="false" customHeight="false" outlineLevel="0" collapsed="false">
      <c r="A384" s="16"/>
      <c r="D384" s="12" t="str">
        <f aca="false">IF(C384="","",IFERROR(INDEX(Recipes!$B:$B,MATCH(C384,Recipes!$A:$A,0)),"⚠ unknown recipe_id"))</f>
        <v/>
      </c>
      <c r="K384" s="12" t="str">
        <f aca="false">IF(C384="","",IFERROR(INDEX(Recipes!$C:$C,MATCH(C384,Recipes!$A:$A,0)),""))</f>
        <v/>
      </c>
      <c r="L384" s="12" t="str">
        <f aca="false">IF(AND(A384='Grocery List'!$B$3,E384="Yes"),COUNTIFS($A$4:A384,'Grocery List'!$B$3,$E$4:E384,"Yes"),"")</f>
        <v/>
      </c>
    </row>
    <row r="385" customFormat="false" ht="15" hidden="false" customHeight="false" outlineLevel="0" collapsed="false">
      <c r="A385" s="16"/>
      <c r="D385" s="12" t="str">
        <f aca="false">IF(C385="","",IFERROR(INDEX(Recipes!$B:$B,MATCH(C385,Recipes!$A:$A,0)),"⚠ unknown recipe_id"))</f>
        <v/>
      </c>
      <c r="K385" s="12" t="str">
        <f aca="false">IF(C385="","",IFERROR(INDEX(Recipes!$C:$C,MATCH(C385,Recipes!$A:$A,0)),""))</f>
        <v/>
      </c>
      <c r="L385" s="12" t="str">
        <f aca="false">IF(AND(A385='Grocery List'!$B$3,E385="Yes"),COUNTIFS($A$4:A385,'Grocery List'!$B$3,$E$4:E385,"Yes"),"")</f>
        <v/>
      </c>
    </row>
    <row r="386" customFormat="false" ht="15" hidden="false" customHeight="false" outlineLevel="0" collapsed="false">
      <c r="A386" s="16"/>
      <c r="D386" s="12" t="str">
        <f aca="false">IF(C386="","",IFERROR(INDEX(Recipes!$B:$B,MATCH(C386,Recipes!$A:$A,0)),"⚠ unknown recipe_id"))</f>
        <v/>
      </c>
      <c r="K386" s="12" t="str">
        <f aca="false">IF(C386="","",IFERROR(INDEX(Recipes!$C:$C,MATCH(C386,Recipes!$A:$A,0)),""))</f>
        <v/>
      </c>
      <c r="L386" s="12" t="str">
        <f aca="false">IF(AND(A386='Grocery List'!$B$3,E386="Yes"),COUNTIFS($A$4:A386,'Grocery List'!$B$3,$E$4:E386,"Yes"),"")</f>
        <v/>
      </c>
    </row>
    <row r="387" customFormat="false" ht="15" hidden="false" customHeight="false" outlineLevel="0" collapsed="false">
      <c r="A387" s="16"/>
      <c r="D387" s="12" t="str">
        <f aca="false">IF(C387="","",IFERROR(INDEX(Recipes!$B:$B,MATCH(C387,Recipes!$A:$A,0)),"⚠ unknown recipe_id"))</f>
        <v/>
      </c>
      <c r="K387" s="12" t="str">
        <f aca="false">IF(C387="","",IFERROR(INDEX(Recipes!$C:$C,MATCH(C387,Recipes!$A:$A,0)),""))</f>
        <v/>
      </c>
      <c r="L387" s="12" t="str">
        <f aca="false">IF(AND(A387='Grocery List'!$B$3,E387="Yes"),COUNTIFS($A$4:A387,'Grocery List'!$B$3,$E$4:E387,"Yes"),"")</f>
        <v/>
      </c>
    </row>
    <row r="388" customFormat="false" ht="15" hidden="false" customHeight="false" outlineLevel="0" collapsed="false">
      <c r="A388" s="16"/>
      <c r="D388" s="12" t="str">
        <f aca="false">IF(C388="","",IFERROR(INDEX(Recipes!$B:$B,MATCH(C388,Recipes!$A:$A,0)),"⚠ unknown recipe_id"))</f>
        <v/>
      </c>
      <c r="K388" s="12" t="str">
        <f aca="false">IF(C388="","",IFERROR(INDEX(Recipes!$C:$C,MATCH(C388,Recipes!$A:$A,0)),""))</f>
        <v/>
      </c>
      <c r="L388" s="12" t="str">
        <f aca="false">IF(AND(A388='Grocery List'!$B$3,E388="Yes"),COUNTIFS($A$4:A388,'Grocery List'!$B$3,$E$4:E388,"Yes"),"")</f>
        <v/>
      </c>
    </row>
    <row r="389" customFormat="false" ht="15" hidden="false" customHeight="false" outlineLevel="0" collapsed="false">
      <c r="A389" s="16"/>
      <c r="D389" s="12" t="str">
        <f aca="false">IF(C389="","",IFERROR(INDEX(Recipes!$B:$B,MATCH(C389,Recipes!$A:$A,0)),"⚠ unknown recipe_id"))</f>
        <v/>
      </c>
      <c r="K389" s="12" t="str">
        <f aca="false">IF(C389="","",IFERROR(INDEX(Recipes!$C:$C,MATCH(C389,Recipes!$A:$A,0)),""))</f>
        <v/>
      </c>
      <c r="L389" s="12" t="str">
        <f aca="false">IF(AND(A389='Grocery List'!$B$3,E389="Yes"),COUNTIFS($A$4:A389,'Grocery List'!$B$3,$E$4:E389,"Yes"),"")</f>
        <v/>
      </c>
    </row>
    <row r="390" customFormat="false" ht="15" hidden="false" customHeight="false" outlineLevel="0" collapsed="false">
      <c r="A390" s="16"/>
      <c r="D390" s="12" t="str">
        <f aca="false">IF(C390="","",IFERROR(INDEX(Recipes!$B:$B,MATCH(C390,Recipes!$A:$A,0)),"⚠ unknown recipe_id"))</f>
        <v/>
      </c>
      <c r="K390" s="12" t="str">
        <f aca="false">IF(C390="","",IFERROR(INDEX(Recipes!$C:$C,MATCH(C390,Recipes!$A:$A,0)),""))</f>
        <v/>
      </c>
      <c r="L390" s="12" t="str">
        <f aca="false">IF(AND(A390='Grocery List'!$B$3,E390="Yes"),COUNTIFS($A$4:A390,'Grocery List'!$B$3,$E$4:E390,"Yes"),"")</f>
        <v/>
      </c>
    </row>
    <row r="391" customFormat="false" ht="15" hidden="false" customHeight="false" outlineLevel="0" collapsed="false">
      <c r="A391" s="16"/>
      <c r="D391" s="12" t="str">
        <f aca="false">IF(C391="","",IFERROR(INDEX(Recipes!$B:$B,MATCH(C391,Recipes!$A:$A,0)),"⚠ unknown recipe_id"))</f>
        <v/>
      </c>
      <c r="K391" s="12" t="str">
        <f aca="false">IF(C391="","",IFERROR(INDEX(Recipes!$C:$C,MATCH(C391,Recipes!$A:$A,0)),""))</f>
        <v/>
      </c>
      <c r="L391" s="12" t="str">
        <f aca="false">IF(AND(A391='Grocery List'!$B$3,E391="Yes"),COUNTIFS($A$4:A391,'Grocery List'!$B$3,$E$4:E391,"Yes"),"")</f>
        <v/>
      </c>
    </row>
    <row r="392" customFormat="false" ht="15" hidden="false" customHeight="false" outlineLevel="0" collapsed="false">
      <c r="A392" s="16"/>
      <c r="D392" s="12" t="str">
        <f aca="false">IF(C392="","",IFERROR(INDEX(Recipes!$B:$B,MATCH(C392,Recipes!$A:$A,0)),"⚠ unknown recipe_id"))</f>
        <v/>
      </c>
      <c r="K392" s="12" t="str">
        <f aca="false">IF(C392="","",IFERROR(INDEX(Recipes!$C:$C,MATCH(C392,Recipes!$A:$A,0)),""))</f>
        <v/>
      </c>
      <c r="L392" s="12" t="str">
        <f aca="false">IF(AND(A392='Grocery List'!$B$3,E392="Yes"),COUNTIFS($A$4:A392,'Grocery List'!$B$3,$E$4:E392,"Yes"),"")</f>
        <v/>
      </c>
    </row>
    <row r="393" customFormat="false" ht="15" hidden="false" customHeight="false" outlineLevel="0" collapsed="false">
      <c r="A393" s="16"/>
      <c r="D393" s="12" t="str">
        <f aca="false">IF(C393="","",IFERROR(INDEX(Recipes!$B:$B,MATCH(C393,Recipes!$A:$A,0)),"⚠ unknown recipe_id"))</f>
        <v/>
      </c>
      <c r="K393" s="12" t="str">
        <f aca="false">IF(C393="","",IFERROR(INDEX(Recipes!$C:$C,MATCH(C393,Recipes!$A:$A,0)),""))</f>
        <v/>
      </c>
      <c r="L393" s="12" t="str">
        <f aca="false">IF(AND(A393='Grocery List'!$B$3,E393="Yes"),COUNTIFS($A$4:A393,'Grocery List'!$B$3,$E$4:E393,"Yes"),"")</f>
        <v/>
      </c>
    </row>
    <row r="394" customFormat="false" ht="15" hidden="false" customHeight="false" outlineLevel="0" collapsed="false">
      <c r="A394" s="16"/>
      <c r="D394" s="12" t="str">
        <f aca="false">IF(C394="","",IFERROR(INDEX(Recipes!$B:$B,MATCH(C394,Recipes!$A:$A,0)),"⚠ unknown recipe_id"))</f>
        <v/>
      </c>
      <c r="K394" s="12" t="str">
        <f aca="false">IF(C394="","",IFERROR(INDEX(Recipes!$C:$C,MATCH(C394,Recipes!$A:$A,0)),""))</f>
        <v/>
      </c>
      <c r="L394" s="12" t="str">
        <f aca="false">IF(AND(A394='Grocery List'!$B$3,E394="Yes"),COUNTIFS($A$4:A394,'Grocery List'!$B$3,$E$4:E394,"Yes"),"")</f>
        <v/>
      </c>
    </row>
    <row r="395" customFormat="false" ht="15" hidden="false" customHeight="false" outlineLevel="0" collapsed="false">
      <c r="A395" s="16"/>
      <c r="D395" s="12" t="str">
        <f aca="false">IF(C395="","",IFERROR(INDEX(Recipes!$B:$B,MATCH(C395,Recipes!$A:$A,0)),"⚠ unknown recipe_id"))</f>
        <v/>
      </c>
      <c r="K395" s="12" t="str">
        <f aca="false">IF(C395="","",IFERROR(INDEX(Recipes!$C:$C,MATCH(C395,Recipes!$A:$A,0)),""))</f>
        <v/>
      </c>
      <c r="L395" s="12" t="str">
        <f aca="false">IF(AND(A395='Grocery List'!$B$3,E395="Yes"),COUNTIFS($A$4:A395,'Grocery List'!$B$3,$E$4:E395,"Yes"),"")</f>
        <v/>
      </c>
    </row>
    <row r="396" customFormat="false" ht="15" hidden="false" customHeight="false" outlineLevel="0" collapsed="false">
      <c r="A396" s="16"/>
      <c r="D396" s="12" t="str">
        <f aca="false">IF(C396="","",IFERROR(INDEX(Recipes!$B:$B,MATCH(C396,Recipes!$A:$A,0)),"⚠ unknown recipe_id"))</f>
        <v/>
      </c>
      <c r="K396" s="12" t="str">
        <f aca="false">IF(C396="","",IFERROR(INDEX(Recipes!$C:$C,MATCH(C396,Recipes!$A:$A,0)),""))</f>
        <v/>
      </c>
      <c r="L396" s="12" t="str">
        <f aca="false">IF(AND(A396='Grocery List'!$B$3,E396="Yes"),COUNTIFS($A$4:A396,'Grocery List'!$B$3,$E$4:E396,"Yes"),"")</f>
        <v/>
      </c>
    </row>
    <row r="397" customFormat="false" ht="15" hidden="false" customHeight="false" outlineLevel="0" collapsed="false">
      <c r="A397" s="16"/>
      <c r="D397" s="12" t="str">
        <f aca="false">IF(C397="","",IFERROR(INDEX(Recipes!$B:$B,MATCH(C397,Recipes!$A:$A,0)),"⚠ unknown recipe_id"))</f>
        <v/>
      </c>
      <c r="K397" s="12" t="str">
        <f aca="false">IF(C397="","",IFERROR(INDEX(Recipes!$C:$C,MATCH(C397,Recipes!$A:$A,0)),""))</f>
        <v/>
      </c>
      <c r="L397" s="12" t="str">
        <f aca="false">IF(AND(A397='Grocery List'!$B$3,E397="Yes"),COUNTIFS($A$4:A397,'Grocery List'!$B$3,$E$4:E397,"Yes"),"")</f>
        <v/>
      </c>
    </row>
    <row r="398" customFormat="false" ht="15" hidden="false" customHeight="false" outlineLevel="0" collapsed="false">
      <c r="A398" s="16"/>
      <c r="D398" s="12" t="str">
        <f aca="false">IF(C398="","",IFERROR(INDEX(Recipes!$B:$B,MATCH(C398,Recipes!$A:$A,0)),"⚠ unknown recipe_id"))</f>
        <v/>
      </c>
      <c r="K398" s="12" t="str">
        <f aca="false">IF(C398="","",IFERROR(INDEX(Recipes!$C:$C,MATCH(C398,Recipes!$A:$A,0)),""))</f>
        <v/>
      </c>
      <c r="L398" s="12" t="str">
        <f aca="false">IF(AND(A398='Grocery List'!$B$3,E398="Yes"),COUNTIFS($A$4:A398,'Grocery List'!$B$3,$E$4:E398,"Yes"),"")</f>
        <v/>
      </c>
    </row>
    <row r="399" customFormat="false" ht="15" hidden="false" customHeight="false" outlineLevel="0" collapsed="false">
      <c r="A399" s="16"/>
      <c r="D399" s="12" t="str">
        <f aca="false">IF(C399="","",IFERROR(INDEX(Recipes!$B:$B,MATCH(C399,Recipes!$A:$A,0)),"⚠ unknown recipe_id"))</f>
        <v/>
      </c>
      <c r="K399" s="12" t="str">
        <f aca="false">IF(C399="","",IFERROR(INDEX(Recipes!$C:$C,MATCH(C399,Recipes!$A:$A,0)),""))</f>
        <v/>
      </c>
      <c r="L399" s="12" t="str">
        <f aca="false">IF(AND(A399='Grocery List'!$B$3,E399="Yes"),COUNTIFS($A$4:A399,'Grocery List'!$B$3,$E$4:E399,"Yes"),"")</f>
        <v/>
      </c>
    </row>
    <row r="400" customFormat="false" ht="15" hidden="false" customHeight="false" outlineLevel="0" collapsed="false">
      <c r="A400" s="16"/>
      <c r="D400" s="12" t="str">
        <f aca="false">IF(C400="","",IFERROR(INDEX(Recipes!$B:$B,MATCH(C400,Recipes!$A:$A,0)),"⚠ unknown recipe_id"))</f>
        <v/>
      </c>
      <c r="K400" s="12" t="str">
        <f aca="false">IF(C400="","",IFERROR(INDEX(Recipes!$C:$C,MATCH(C400,Recipes!$A:$A,0)),""))</f>
        <v/>
      </c>
      <c r="L400" s="12" t="str">
        <f aca="false">IF(AND(A400='Grocery List'!$B$3,E400="Yes"),COUNTIFS($A$4:A400,'Grocery List'!$B$3,$E$4:E400,"Yes"),"")</f>
        <v/>
      </c>
    </row>
    <row r="401" customFormat="false" ht="15" hidden="false" customHeight="false" outlineLevel="0" collapsed="false">
      <c r="A401" s="16"/>
      <c r="D401" s="12" t="str">
        <f aca="false">IF(C401="","",IFERROR(INDEX(Recipes!$B:$B,MATCH(C401,Recipes!$A:$A,0)),"⚠ unknown recipe_id"))</f>
        <v/>
      </c>
      <c r="K401" s="12" t="str">
        <f aca="false">IF(C401="","",IFERROR(INDEX(Recipes!$C:$C,MATCH(C401,Recipes!$A:$A,0)),""))</f>
        <v/>
      </c>
      <c r="L401" s="12" t="str">
        <f aca="false">IF(AND(A401='Grocery List'!$B$3,E401="Yes"),COUNTIFS($A$4:A401,'Grocery List'!$B$3,$E$4:E401,"Yes"),"")</f>
        <v/>
      </c>
    </row>
    <row r="402" customFormat="false" ht="15" hidden="false" customHeight="false" outlineLevel="0" collapsed="false">
      <c r="A402" s="16"/>
      <c r="D402" s="12" t="str">
        <f aca="false">IF(C402="","",IFERROR(INDEX(Recipes!$B:$B,MATCH(C402,Recipes!$A:$A,0)),"⚠ unknown recipe_id"))</f>
        <v/>
      </c>
      <c r="K402" s="12" t="str">
        <f aca="false">IF(C402="","",IFERROR(INDEX(Recipes!$C:$C,MATCH(C402,Recipes!$A:$A,0)),""))</f>
        <v/>
      </c>
      <c r="L402" s="12" t="str">
        <f aca="false">IF(AND(A402='Grocery List'!$B$3,E402="Yes"),COUNTIFS($A$4:A402,'Grocery List'!$B$3,$E$4:E402,"Yes"),"")</f>
        <v/>
      </c>
    </row>
    <row r="403" customFormat="false" ht="15" hidden="false" customHeight="false" outlineLevel="0" collapsed="false">
      <c r="A403" s="16"/>
      <c r="D403" s="12" t="str">
        <f aca="false">IF(C403="","",IFERROR(INDEX(Recipes!$B:$B,MATCH(C403,Recipes!$A:$A,0)),"⚠ unknown recipe_id"))</f>
        <v/>
      </c>
      <c r="K403" s="12" t="str">
        <f aca="false">IF(C403="","",IFERROR(INDEX(Recipes!$C:$C,MATCH(C403,Recipes!$A:$A,0)),""))</f>
        <v/>
      </c>
      <c r="L403" s="12" t="str">
        <f aca="false">IF(AND(A403='Grocery List'!$B$3,E403="Yes"),COUNTIFS($A$4:A403,'Grocery List'!$B$3,$E$4:E403,"Yes"),"")</f>
        <v/>
      </c>
    </row>
    <row r="404" customFormat="false" ht="15" hidden="false" customHeight="false" outlineLevel="0" collapsed="false">
      <c r="A404" s="16"/>
      <c r="D404" s="12" t="str">
        <f aca="false">IF(C404="","",IFERROR(INDEX(Recipes!$B:$B,MATCH(C404,Recipes!$A:$A,0)),"⚠ unknown recipe_id"))</f>
        <v/>
      </c>
      <c r="K404" s="12" t="str">
        <f aca="false">IF(C404="","",IFERROR(INDEX(Recipes!$C:$C,MATCH(C404,Recipes!$A:$A,0)),""))</f>
        <v/>
      </c>
      <c r="L404" s="12" t="str">
        <f aca="false">IF(AND(A404='Grocery List'!$B$3,E404="Yes"),COUNTIFS($A$4:A404,'Grocery List'!$B$3,$E$4:E404,"Yes"),"")</f>
        <v/>
      </c>
    </row>
    <row r="405" customFormat="false" ht="15" hidden="false" customHeight="false" outlineLevel="0" collapsed="false">
      <c r="A405" s="16"/>
      <c r="D405" s="12" t="str">
        <f aca="false">IF(C405="","",IFERROR(INDEX(Recipes!$B:$B,MATCH(C405,Recipes!$A:$A,0)),"⚠ unknown recipe_id"))</f>
        <v/>
      </c>
      <c r="K405" s="12" t="str">
        <f aca="false">IF(C405="","",IFERROR(INDEX(Recipes!$C:$C,MATCH(C405,Recipes!$A:$A,0)),""))</f>
        <v/>
      </c>
      <c r="L405" s="12" t="str">
        <f aca="false">IF(AND(A405='Grocery List'!$B$3,E405="Yes"),COUNTIFS($A$4:A405,'Grocery List'!$B$3,$E$4:E405,"Yes"),"")</f>
        <v/>
      </c>
    </row>
    <row r="406" customFormat="false" ht="15" hidden="false" customHeight="false" outlineLevel="0" collapsed="false">
      <c r="A406" s="16"/>
      <c r="D406" s="12" t="str">
        <f aca="false">IF(C406="","",IFERROR(INDEX(Recipes!$B:$B,MATCH(C406,Recipes!$A:$A,0)),"⚠ unknown recipe_id"))</f>
        <v/>
      </c>
      <c r="K406" s="12" t="str">
        <f aca="false">IF(C406="","",IFERROR(INDEX(Recipes!$C:$C,MATCH(C406,Recipes!$A:$A,0)),""))</f>
        <v/>
      </c>
      <c r="L406" s="12" t="str">
        <f aca="false">IF(AND(A406='Grocery List'!$B$3,E406="Yes"),COUNTIFS($A$4:A406,'Grocery List'!$B$3,$E$4:E406,"Yes"),"")</f>
        <v/>
      </c>
    </row>
    <row r="407" customFormat="false" ht="15" hidden="false" customHeight="false" outlineLevel="0" collapsed="false">
      <c r="A407" s="16"/>
      <c r="D407" s="12" t="str">
        <f aca="false">IF(C407="","",IFERROR(INDEX(Recipes!$B:$B,MATCH(C407,Recipes!$A:$A,0)),"⚠ unknown recipe_id"))</f>
        <v/>
      </c>
      <c r="K407" s="12" t="str">
        <f aca="false">IF(C407="","",IFERROR(INDEX(Recipes!$C:$C,MATCH(C407,Recipes!$A:$A,0)),""))</f>
        <v/>
      </c>
      <c r="L407" s="12" t="str">
        <f aca="false">IF(AND(A407='Grocery List'!$B$3,E407="Yes"),COUNTIFS($A$4:A407,'Grocery List'!$B$3,$E$4:E407,"Yes"),"")</f>
        <v/>
      </c>
    </row>
    <row r="408" customFormat="false" ht="15" hidden="false" customHeight="false" outlineLevel="0" collapsed="false">
      <c r="A408" s="16"/>
      <c r="D408" s="12" t="str">
        <f aca="false">IF(C408="","",IFERROR(INDEX(Recipes!$B:$B,MATCH(C408,Recipes!$A:$A,0)),"⚠ unknown recipe_id"))</f>
        <v/>
      </c>
      <c r="K408" s="12" t="str">
        <f aca="false">IF(C408="","",IFERROR(INDEX(Recipes!$C:$C,MATCH(C408,Recipes!$A:$A,0)),""))</f>
        <v/>
      </c>
      <c r="L408" s="12" t="str">
        <f aca="false">IF(AND(A408='Grocery List'!$B$3,E408="Yes"),COUNTIFS($A$4:A408,'Grocery List'!$B$3,$E$4:E408,"Yes"),"")</f>
        <v/>
      </c>
    </row>
    <row r="409" customFormat="false" ht="15" hidden="false" customHeight="false" outlineLevel="0" collapsed="false">
      <c r="A409" s="16"/>
      <c r="D409" s="12" t="str">
        <f aca="false">IF(C409="","",IFERROR(INDEX(Recipes!$B:$B,MATCH(C409,Recipes!$A:$A,0)),"⚠ unknown recipe_id"))</f>
        <v/>
      </c>
      <c r="K409" s="12" t="str">
        <f aca="false">IF(C409="","",IFERROR(INDEX(Recipes!$C:$C,MATCH(C409,Recipes!$A:$A,0)),""))</f>
        <v/>
      </c>
      <c r="L409" s="12" t="str">
        <f aca="false">IF(AND(A409='Grocery List'!$B$3,E409="Yes"),COUNTIFS($A$4:A409,'Grocery List'!$B$3,$E$4:E409,"Yes"),"")</f>
        <v/>
      </c>
    </row>
    <row r="410" customFormat="false" ht="15" hidden="false" customHeight="false" outlineLevel="0" collapsed="false">
      <c r="A410" s="16"/>
      <c r="D410" s="12" t="str">
        <f aca="false">IF(C410="","",IFERROR(INDEX(Recipes!$B:$B,MATCH(C410,Recipes!$A:$A,0)),"⚠ unknown recipe_id"))</f>
        <v/>
      </c>
      <c r="K410" s="12" t="str">
        <f aca="false">IF(C410="","",IFERROR(INDEX(Recipes!$C:$C,MATCH(C410,Recipes!$A:$A,0)),""))</f>
        <v/>
      </c>
      <c r="L410" s="12" t="str">
        <f aca="false">IF(AND(A410='Grocery List'!$B$3,E410="Yes"),COUNTIFS($A$4:A410,'Grocery List'!$B$3,$E$4:E410,"Yes"),"")</f>
        <v/>
      </c>
    </row>
    <row r="411" customFormat="false" ht="15" hidden="false" customHeight="false" outlineLevel="0" collapsed="false">
      <c r="A411" s="16"/>
      <c r="D411" s="12" t="str">
        <f aca="false">IF(C411="","",IFERROR(INDEX(Recipes!$B:$B,MATCH(C411,Recipes!$A:$A,0)),"⚠ unknown recipe_id"))</f>
        <v/>
      </c>
      <c r="K411" s="12" t="str">
        <f aca="false">IF(C411="","",IFERROR(INDEX(Recipes!$C:$C,MATCH(C411,Recipes!$A:$A,0)),""))</f>
        <v/>
      </c>
      <c r="L411" s="12" t="str">
        <f aca="false">IF(AND(A411='Grocery List'!$B$3,E411="Yes"),COUNTIFS($A$4:A411,'Grocery List'!$B$3,$E$4:E411,"Yes"),"")</f>
        <v/>
      </c>
    </row>
    <row r="412" customFormat="false" ht="15" hidden="false" customHeight="false" outlineLevel="0" collapsed="false">
      <c r="A412" s="16"/>
      <c r="D412" s="12" t="str">
        <f aca="false">IF(C412="","",IFERROR(INDEX(Recipes!$B:$B,MATCH(C412,Recipes!$A:$A,0)),"⚠ unknown recipe_id"))</f>
        <v/>
      </c>
      <c r="K412" s="12" t="str">
        <f aca="false">IF(C412="","",IFERROR(INDEX(Recipes!$C:$C,MATCH(C412,Recipes!$A:$A,0)),""))</f>
        <v/>
      </c>
      <c r="L412" s="12" t="str">
        <f aca="false">IF(AND(A412='Grocery List'!$B$3,E412="Yes"),COUNTIFS($A$4:A412,'Grocery List'!$B$3,$E$4:E412,"Yes"),"")</f>
        <v/>
      </c>
    </row>
    <row r="413" customFormat="false" ht="15" hidden="false" customHeight="false" outlineLevel="0" collapsed="false">
      <c r="A413" s="16"/>
      <c r="D413" s="12" t="str">
        <f aca="false">IF(C413="","",IFERROR(INDEX(Recipes!$B:$B,MATCH(C413,Recipes!$A:$A,0)),"⚠ unknown recipe_id"))</f>
        <v/>
      </c>
      <c r="K413" s="12" t="str">
        <f aca="false">IF(C413="","",IFERROR(INDEX(Recipes!$C:$C,MATCH(C413,Recipes!$A:$A,0)),""))</f>
        <v/>
      </c>
      <c r="L413" s="12" t="str">
        <f aca="false">IF(AND(A413='Grocery List'!$B$3,E413="Yes"),COUNTIFS($A$4:A413,'Grocery List'!$B$3,$E$4:E413,"Yes"),"")</f>
        <v/>
      </c>
    </row>
    <row r="414" customFormat="false" ht="15" hidden="false" customHeight="false" outlineLevel="0" collapsed="false">
      <c r="A414" s="16"/>
      <c r="D414" s="12" t="str">
        <f aca="false">IF(C414="","",IFERROR(INDEX(Recipes!$B:$B,MATCH(C414,Recipes!$A:$A,0)),"⚠ unknown recipe_id"))</f>
        <v/>
      </c>
      <c r="K414" s="12" t="str">
        <f aca="false">IF(C414="","",IFERROR(INDEX(Recipes!$C:$C,MATCH(C414,Recipes!$A:$A,0)),""))</f>
        <v/>
      </c>
      <c r="L414" s="12" t="str">
        <f aca="false">IF(AND(A414='Grocery List'!$B$3,E414="Yes"),COUNTIFS($A$4:A414,'Grocery List'!$B$3,$E$4:E414,"Yes"),"")</f>
        <v/>
      </c>
    </row>
    <row r="415" customFormat="false" ht="15" hidden="false" customHeight="false" outlineLevel="0" collapsed="false">
      <c r="A415" s="16"/>
      <c r="D415" s="12" t="str">
        <f aca="false">IF(C415="","",IFERROR(INDEX(Recipes!$B:$B,MATCH(C415,Recipes!$A:$A,0)),"⚠ unknown recipe_id"))</f>
        <v/>
      </c>
      <c r="K415" s="12" t="str">
        <f aca="false">IF(C415="","",IFERROR(INDEX(Recipes!$C:$C,MATCH(C415,Recipes!$A:$A,0)),""))</f>
        <v/>
      </c>
      <c r="L415" s="12" t="str">
        <f aca="false">IF(AND(A415='Grocery List'!$B$3,E415="Yes"),COUNTIFS($A$4:A415,'Grocery List'!$B$3,$E$4:E415,"Yes"),"")</f>
        <v/>
      </c>
    </row>
    <row r="416" customFormat="false" ht="15" hidden="false" customHeight="false" outlineLevel="0" collapsed="false">
      <c r="A416" s="16"/>
      <c r="D416" s="12" t="str">
        <f aca="false">IF(C416="","",IFERROR(INDEX(Recipes!$B:$B,MATCH(C416,Recipes!$A:$A,0)),"⚠ unknown recipe_id"))</f>
        <v/>
      </c>
      <c r="K416" s="12" t="str">
        <f aca="false">IF(C416="","",IFERROR(INDEX(Recipes!$C:$C,MATCH(C416,Recipes!$A:$A,0)),""))</f>
        <v/>
      </c>
      <c r="L416" s="12" t="str">
        <f aca="false">IF(AND(A416='Grocery List'!$B$3,E416="Yes"),COUNTIFS($A$4:A416,'Grocery List'!$B$3,$E$4:E416,"Yes"),"")</f>
        <v/>
      </c>
    </row>
    <row r="417" customFormat="false" ht="15" hidden="false" customHeight="false" outlineLevel="0" collapsed="false">
      <c r="A417" s="16"/>
      <c r="D417" s="12" t="str">
        <f aca="false">IF(C417="","",IFERROR(INDEX(Recipes!$B:$B,MATCH(C417,Recipes!$A:$A,0)),"⚠ unknown recipe_id"))</f>
        <v/>
      </c>
      <c r="K417" s="12" t="str">
        <f aca="false">IF(C417="","",IFERROR(INDEX(Recipes!$C:$C,MATCH(C417,Recipes!$A:$A,0)),""))</f>
        <v/>
      </c>
      <c r="L417" s="12" t="str">
        <f aca="false">IF(AND(A417='Grocery List'!$B$3,E417="Yes"),COUNTIFS($A$4:A417,'Grocery List'!$B$3,$E$4:E417,"Yes"),"")</f>
        <v/>
      </c>
    </row>
    <row r="418" customFormat="false" ht="15" hidden="false" customHeight="false" outlineLevel="0" collapsed="false">
      <c r="A418" s="16"/>
      <c r="D418" s="12" t="str">
        <f aca="false">IF(C418="","",IFERROR(INDEX(Recipes!$B:$B,MATCH(C418,Recipes!$A:$A,0)),"⚠ unknown recipe_id"))</f>
        <v/>
      </c>
      <c r="K418" s="12" t="str">
        <f aca="false">IF(C418="","",IFERROR(INDEX(Recipes!$C:$C,MATCH(C418,Recipes!$A:$A,0)),""))</f>
        <v/>
      </c>
      <c r="L418" s="12" t="str">
        <f aca="false">IF(AND(A418='Grocery List'!$B$3,E418="Yes"),COUNTIFS($A$4:A418,'Grocery List'!$B$3,$E$4:E418,"Yes"),"")</f>
        <v/>
      </c>
    </row>
    <row r="419" customFormat="false" ht="15" hidden="false" customHeight="false" outlineLevel="0" collapsed="false">
      <c r="A419" s="16"/>
      <c r="D419" s="12" t="str">
        <f aca="false">IF(C419="","",IFERROR(INDEX(Recipes!$B:$B,MATCH(C419,Recipes!$A:$A,0)),"⚠ unknown recipe_id"))</f>
        <v/>
      </c>
      <c r="K419" s="12" t="str">
        <f aca="false">IF(C419="","",IFERROR(INDEX(Recipes!$C:$C,MATCH(C419,Recipes!$A:$A,0)),""))</f>
        <v/>
      </c>
      <c r="L419" s="12" t="str">
        <f aca="false">IF(AND(A419='Grocery List'!$B$3,E419="Yes"),COUNTIFS($A$4:A419,'Grocery List'!$B$3,$E$4:E419,"Yes"),"")</f>
        <v/>
      </c>
    </row>
    <row r="420" customFormat="false" ht="15" hidden="false" customHeight="false" outlineLevel="0" collapsed="false">
      <c r="A420" s="16"/>
      <c r="D420" s="12" t="str">
        <f aca="false">IF(C420="","",IFERROR(INDEX(Recipes!$B:$B,MATCH(C420,Recipes!$A:$A,0)),"⚠ unknown recipe_id"))</f>
        <v/>
      </c>
      <c r="K420" s="12" t="str">
        <f aca="false">IF(C420="","",IFERROR(INDEX(Recipes!$C:$C,MATCH(C420,Recipes!$A:$A,0)),""))</f>
        <v/>
      </c>
      <c r="L420" s="12" t="str">
        <f aca="false">IF(AND(A420='Grocery List'!$B$3,E420="Yes"),COUNTIFS($A$4:A420,'Grocery List'!$B$3,$E$4:E420,"Yes"),"")</f>
        <v/>
      </c>
    </row>
    <row r="421" customFormat="false" ht="15" hidden="false" customHeight="false" outlineLevel="0" collapsed="false">
      <c r="A421" s="16"/>
      <c r="D421" s="12" t="str">
        <f aca="false">IF(C421="","",IFERROR(INDEX(Recipes!$B:$B,MATCH(C421,Recipes!$A:$A,0)),"⚠ unknown recipe_id"))</f>
        <v/>
      </c>
      <c r="K421" s="12" t="str">
        <f aca="false">IF(C421="","",IFERROR(INDEX(Recipes!$C:$C,MATCH(C421,Recipes!$A:$A,0)),""))</f>
        <v/>
      </c>
      <c r="L421" s="12" t="str">
        <f aca="false">IF(AND(A421='Grocery List'!$B$3,E421="Yes"),COUNTIFS($A$4:A421,'Grocery List'!$B$3,$E$4:E421,"Yes"),"")</f>
        <v/>
      </c>
    </row>
    <row r="422" customFormat="false" ht="15" hidden="false" customHeight="false" outlineLevel="0" collapsed="false">
      <c r="A422" s="16"/>
      <c r="D422" s="12" t="str">
        <f aca="false">IF(C422="","",IFERROR(INDEX(Recipes!$B:$B,MATCH(C422,Recipes!$A:$A,0)),"⚠ unknown recipe_id"))</f>
        <v/>
      </c>
      <c r="K422" s="12" t="str">
        <f aca="false">IF(C422="","",IFERROR(INDEX(Recipes!$C:$C,MATCH(C422,Recipes!$A:$A,0)),""))</f>
        <v/>
      </c>
      <c r="L422" s="12" t="str">
        <f aca="false">IF(AND(A422='Grocery List'!$B$3,E422="Yes"),COUNTIFS($A$4:A422,'Grocery List'!$B$3,$E$4:E422,"Yes"),"")</f>
        <v/>
      </c>
    </row>
    <row r="423" customFormat="false" ht="15" hidden="false" customHeight="false" outlineLevel="0" collapsed="false">
      <c r="A423" s="16"/>
      <c r="D423" s="12" t="str">
        <f aca="false">IF(C423="","",IFERROR(INDEX(Recipes!$B:$B,MATCH(C423,Recipes!$A:$A,0)),"⚠ unknown recipe_id"))</f>
        <v/>
      </c>
      <c r="K423" s="12" t="str">
        <f aca="false">IF(C423="","",IFERROR(INDEX(Recipes!$C:$C,MATCH(C423,Recipes!$A:$A,0)),""))</f>
        <v/>
      </c>
      <c r="L423" s="12" t="str">
        <f aca="false">IF(AND(A423='Grocery List'!$B$3,E423="Yes"),COUNTIFS($A$4:A423,'Grocery List'!$B$3,$E$4:E423,"Yes"),"")</f>
        <v/>
      </c>
    </row>
    <row r="424" customFormat="false" ht="15" hidden="false" customHeight="false" outlineLevel="0" collapsed="false">
      <c r="A424" s="16"/>
      <c r="D424" s="12" t="str">
        <f aca="false">IF(C424="","",IFERROR(INDEX(Recipes!$B:$B,MATCH(C424,Recipes!$A:$A,0)),"⚠ unknown recipe_id"))</f>
        <v/>
      </c>
      <c r="K424" s="12" t="str">
        <f aca="false">IF(C424="","",IFERROR(INDEX(Recipes!$C:$C,MATCH(C424,Recipes!$A:$A,0)),""))</f>
        <v/>
      </c>
      <c r="L424" s="12" t="str">
        <f aca="false">IF(AND(A424='Grocery List'!$B$3,E424="Yes"),COUNTIFS($A$4:A424,'Grocery List'!$B$3,$E$4:E424,"Yes"),"")</f>
        <v/>
      </c>
    </row>
    <row r="425" customFormat="false" ht="15" hidden="false" customHeight="false" outlineLevel="0" collapsed="false">
      <c r="A425" s="16"/>
      <c r="D425" s="12" t="str">
        <f aca="false">IF(C425="","",IFERROR(INDEX(Recipes!$B:$B,MATCH(C425,Recipes!$A:$A,0)),"⚠ unknown recipe_id"))</f>
        <v/>
      </c>
      <c r="K425" s="12" t="str">
        <f aca="false">IF(C425="","",IFERROR(INDEX(Recipes!$C:$C,MATCH(C425,Recipes!$A:$A,0)),""))</f>
        <v/>
      </c>
      <c r="L425" s="12" t="str">
        <f aca="false">IF(AND(A425='Grocery List'!$B$3,E425="Yes"),COUNTIFS($A$4:A425,'Grocery List'!$B$3,$E$4:E425,"Yes"),"")</f>
        <v/>
      </c>
    </row>
    <row r="426" customFormat="false" ht="15" hidden="false" customHeight="false" outlineLevel="0" collapsed="false">
      <c r="A426" s="16"/>
      <c r="D426" s="12" t="str">
        <f aca="false">IF(C426="","",IFERROR(INDEX(Recipes!$B:$B,MATCH(C426,Recipes!$A:$A,0)),"⚠ unknown recipe_id"))</f>
        <v/>
      </c>
      <c r="K426" s="12" t="str">
        <f aca="false">IF(C426="","",IFERROR(INDEX(Recipes!$C:$C,MATCH(C426,Recipes!$A:$A,0)),""))</f>
        <v/>
      </c>
      <c r="L426" s="12" t="str">
        <f aca="false">IF(AND(A426='Grocery List'!$B$3,E426="Yes"),COUNTIFS($A$4:A426,'Grocery List'!$B$3,$E$4:E426,"Yes"),"")</f>
        <v/>
      </c>
    </row>
    <row r="427" customFormat="false" ht="15" hidden="false" customHeight="false" outlineLevel="0" collapsed="false">
      <c r="A427" s="16"/>
      <c r="D427" s="12" t="str">
        <f aca="false">IF(C427="","",IFERROR(INDEX(Recipes!$B:$B,MATCH(C427,Recipes!$A:$A,0)),"⚠ unknown recipe_id"))</f>
        <v/>
      </c>
      <c r="K427" s="12" t="str">
        <f aca="false">IF(C427="","",IFERROR(INDEX(Recipes!$C:$C,MATCH(C427,Recipes!$A:$A,0)),""))</f>
        <v/>
      </c>
      <c r="L427" s="12" t="str">
        <f aca="false">IF(AND(A427='Grocery List'!$B$3,E427="Yes"),COUNTIFS($A$4:A427,'Grocery List'!$B$3,$E$4:E427,"Yes"),"")</f>
        <v/>
      </c>
    </row>
    <row r="428" customFormat="false" ht="15" hidden="false" customHeight="false" outlineLevel="0" collapsed="false">
      <c r="A428" s="16"/>
      <c r="D428" s="12" t="str">
        <f aca="false">IF(C428="","",IFERROR(INDEX(Recipes!$B:$B,MATCH(C428,Recipes!$A:$A,0)),"⚠ unknown recipe_id"))</f>
        <v/>
      </c>
      <c r="K428" s="12" t="str">
        <f aca="false">IF(C428="","",IFERROR(INDEX(Recipes!$C:$C,MATCH(C428,Recipes!$A:$A,0)),""))</f>
        <v/>
      </c>
      <c r="L428" s="12" t="str">
        <f aca="false">IF(AND(A428='Grocery List'!$B$3,E428="Yes"),COUNTIFS($A$4:A428,'Grocery List'!$B$3,$E$4:E428,"Yes"),"")</f>
        <v/>
      </c>
    </row>
    <row r="429" customFormat="false" ht="15" hidden="false" customHeight="false" outlineLevel="0" collapsed="false">
      <c r="A429" s="16"/>
      <c r="D429" s="12" t="str">
        <f aca="false">IF(C429="","",IFERROR(INDEX(Recipes!$B:$B,MATCH(C429,Recipes!$A:$A,0)),"⚠ unknown recipe_id"))</f>
        <v/>
      </c>
      <c r="K429" s="12" t="str">
        <f aca="false">IF(C429="","",IFERROR(INDEX(Recipes!$C:$C,MATCH(C429,Recipes!$A:$A,0)),""))</f>
        <v/>
      </c>
      <c r="L429" s="12" t="str">
        <f aca="false">IF(AND(A429='Grocery List'!$B$3,E429="Yes"),COUNTIFS($A$4:A429,'Grocery List'!$B$3,$E$4:E429,"Yes"),"")</f>
        <v/>
      </c>
    </row>
    <row r="430" customFormat="false" ht="15" hidden="false" customHeight="false" outlineLevel="0" collapsed="false">
      <c r="A430" s="16"/>
      <c r="D430" s="12" t="str">
        <f aca="false">IF(C430="","",IFERROR(INDEX(Recipes!$B:$B,MATCH(C430,Recipes!$A:$A,0)),"⚠ unknown recipe_id"))</f>
        <v/>
      </c>
      <c r="K430" s="12" t="str">
        <f aca="false">IF(C430="","",IFERROR(INDEX(Recipes!$C:$C,MATCH(C430,Recipes!$A:$A,0)),""))</f>
        <v/>
      </c>
      <c r="L430" s="12" t="str">
        <f aca="false">IF(AND(A430='Grocery List'!$B$3,E430="Yes"),COUNTIFS($A$4:A430,'Grocery List'!$B$3,$E$4:E430,"Yes"),"")</f>
        <v/>
      </c>
    </row>
    <row r="431" customFormat="false" ht="15" hidden="false" customHeight="false" outlineLevel="0" collapsed="false">
      <c r="A431" s="16"/>
      <c r="D431" s="12" t="str">
        <f aca="false">IF(C431="","",IFERROR(INDEX(Recipes!$B:$B,MATCH(C431,Recipes!$A:$A,0)),"⚠ unknown recipe_id"))</f>
        <v/>
      </c>
      <c r="K431" s="12" t="str">
        <f aca="false">IF(C431="","",IFERROR(INDEX(Recipes!$C:$C,MATCH(C431,Recipes!$A:$A,0)),""))</f>
        <v/>
      </c>
      <c r="L431" s="12" t="str">
        <f aca="false">IF(AND(A431='Grocery List'!$B$3,E431="Yes"),COUNTIFS($A$4:A431,'Grocery List'!$B$3,$E$4:E431,"Yes"),"")</f>
        <v/>
      </c>
    </row>
    <row r="432" customFormat="false" ht="15" hidden="false" customHeight="false" outlineLevel="0" collapsed="false">
      <c r="A432" s="16"/>
      <c r="D432" s="12" t="str">
        <f aca="false">IF(C432="","",IFERROR(INDEX(Recipes!$B:$B,MATCH(C432,Recipes!$A:$A,0)),"⚠ unknown recipe_id"))</f>
        <v/>
      </c>
      <c r="K432" s="12" t="str">
        <f aca="false">IF(C432="","",IFERROR(INDEX(Recipes!$C:$C,MATCH(C432,Recipes!$A:$A,0)),""))</f>
        <v/>
      </c>
      <c r="L432" s="12" t="str">
        <f aca="false">IF(AND(A432='Grocery List'!$B$3,E432="Yes"),COUNTIFS($A$4:A432,'Grocery List'!$B$3,$E$4:E432,"Yes"),"")</f>
        <v/>
      </c>
    </row>
    <row r="433" customFormat="false" ht="15" hidden="false" customHeight="false" outlineLevel="0" collapsed="false">
      <c r="A433" s="16"/>
      <c r="D433" s="12" t="str">
        <f aca="false">IF(C433="","",IFERROR(INDEX(Recipes!$B:$B,MATCH(C433,Recipes!$A:$A,0)),"⚠ unknown recipe_id"))</f>
        <v/>
      </c>
      <c r="K433" s="12" t="str">
        <f aca="false">IF(C433="","",IFERROR(INDEX(Recipes!$C:$C,MATCH(C433,Recipes!$A:$A,0)),""))</f>
        <v/>
      </c>
      <c r="L433" s="12" t="str">
        <f aca="false">IF(AND(A433='Grocery List'!$B$3,E433="Yes"),COUNTIFS($A$4:A433,'Grocery List'!$B$3,$E$4:E433,"Yes"),"")</f>
        <v/>
      </c>
    </row>
    <row r="434" customFormat="false" ht="15" hidden="false" customHeight="false" outlineLevel="0" collapsed="false">
      <c r="A434" s="16"/>
      <c r="D434" s="12" t="str">
        <f aca="false">IF(C434="","",IFERROR(INDEX(Recipes!$B:$B,MATCH(C434,Recipes!$A:$A,0)),"⚠ unknown recipe_id"))</f>
        <v/>
      </c>
      <c r="K434" s="12" t="str">
        <f aca="false">IF(C434="","",IFERROR(INDEX(Recipes!$C:$C,MATCH(C434,Recipes!$A:$A,0)),""))</f>
        <v/>
      </c>
      <c r="L434" s="12" t="str">
        <f aca="false">IF(AND(A434='Grocery List'!$B$3,E434="Yes"),COUNTIFS($A$4:A434,'Grocery List'!$B$3,$E$4:E434,"Yes"),"")</f>
        <v/>
      </c>
    </row>
    <row r="435" customFormat="false" ht="15" hidden="false" customHeight="false" outlineLevel="0" collapsed="false">
      <c r="A435" s="16"/>
      <c r="D435" s="12" t="str">
        <f aca="false">IF(C435="","",IFERROR(INDEX(Recipes!$B:$B,MATCH(C435,Recipes!$A:$A,0)),"⚠ unknown recipe_id"))</f>
        <v/>
      </c>
      <c r="K435" s="12" t="str">
        <f aca="false">IF(C435="","",IFERROR(INDEX(Recipes!$C:$C,MATCH(C435,Recipes!$A:$A,0)),""))</f>
        <v/>
      </c>
      <c r="L435" s="12" t="str">
        <f aca="false">IF(AND(A435='Grocery List'!$B$3,E435="Yes"),COUNTIFS($A$4:A435,'Grocery List'!$B$3,$E$4:E435,"Yes"),"")</f>
        <v/>
      </c>
    </row>
    <row r="436" customFormat="false" ht="15" hidden="false" customHeight="false" outlineLevel="0" collapsed="false">
      <c r="A436" s="16"/>
      <c r="D436" s="12" t="str">
        <f aca="false">IF(C436="","",IFERROR(INDEX(Recipes!$B:$B,MATCH(C436,Recipes!$A:$A,0)),"⚠ unknown recipe_id"))</f>
        <v/>
      </c>
      <c r="K436" s="12" t="str">
        <f aca="false">IF(C436="","",IFERROR(INDEX(Recipes!$C:$C,MATCH(C436,Recipes!$A:$A,0)),""))</f>
        <v/>
      </c>
      <c r="L436" s="12" t="str">
        <f aca="false">IF(AND(A436='Grocery List'!$B$3,E436="Yes"),COUNTIFS($A$4:A436,'Grocery List'!$B$3,$E$4:E436,"Yes"),"")</f>
        <v/>
      </c>
    </row>
    <row r="437" customFormat="false" ht="15" hidden="false" customHeight="false" outlineLevel="0" collapsed="false">
      <c r="A437" s="16"/>
      <c r="D437" s="12" t="str">
        <f aca="false">IF(C437="","",IFERROR(INDEX(Recipes!$B:$B,MATCH(C437,Recipes!$A:$A,0)),"⚠ unknown recipe_id"))</f>
        <v/>
      </c>
      <c r="K437" s="12" t="str">
        <f aca="false">IF(C437="","",IFERROR(INDEX(Recipes!$C:$C,MATCH(C437,Recipes!$A:$A,0)),""))</f>
        <v/>
      </c>
      <c r="L437" s="12" t="str">
        <f aca="false">IF(AND(A437='Grocery List'!$B$3,E437="Yes"),COUNTIFS($A$4:A437,'Grocery List'!$B$3,$E$4:E437,"Yes"),"")</f>
        <v/>
      </c>
    </row>
    <row r="438" customFormat="false" ht="15" hidden="false" customHeight="false" outlineLevel="0" collapsed="false">
      <c r="A438" s="16"/>
      <c r="D438" s="12" t="str">
        <f aca="false">IF(C438="","",IFERROR(INDEX(Recipes!$B:$B,MATCH(C438,Recipes!$A:$A,0)),"⚠ unknown recipe_id"))</f>
        <v/>
      </c>
      <c r="K438" s="12" t="str">
        <f aca="false">IF(C438="","",IFERROR(INDEX(Recipes!$C:$C,MATCH(C438,Recipes!$A:$A,0)),""))</f>
        <v/>
      </c>
      <c r="L438" s="12" t="str">
        <f aca="false">IF(AND(A438='Grocery List'!$B$3,E438="Yes"),COUNTIFS($A$4:A438,'Grocery List'!$B$3,$E$4:E438,"Yes"),"")</f>
        <v/>
      </c>
    </row>
    <row r="439" customFormat="false" ht="15" hidden="false" customHeight="false" outlineLevel="0" collapsed="false">
      <c r="A439" s="16"/>
      <c r="D439" s="12" t="str">
        <f aca="false">IF(C439="","",IFERROR(INDEX(Recipes!$B:$B,MATCH(C439,Recipes!$A:$A,0)),"⚠ unknown recipe_id"))</f>
        <v/>
      </c>
      <c r="K439" s="12" t="str">
        <f aca="false">IF(C439="","",IFERROR(INDEX(Recipes!$C:$C,MATCH(C439,Recipes!$A:$A,0)),""))</f>
        <v/>
      </c>
      <c r="L439" s="12" t="str">
        <f aca="false">IF(AND(A439='Grocery List'!$B$3,E439="Yes"),COUNTIFS($A$4:A439,'Grocery List'!$B$3,$E$4:E439,"Yes"),"")</f>
        <v/>
      </c>
    </row>
    <row r="440" customFormat="false" ht="15" hidden="false" customHeight="false" outlineLevel="0" collapsed="false">
      <c r="A440" s="16"/>
      <c r="D440" s="12" t="str">
        <f aca="false">IF(C440="","",IFERROR(INDEX(Recipes!$B:$B,MATCH(C440,Recipes!$A:$A,0)),"⚠ unknown recipe_id"))</f>
        <v/>
      </c>
      <c r="K440" s="12" t="str">
        <f aca="false">IF(C440="","",IFERROR(INDEX(Recipes!$C:$C,MATCH(C440,Recipes!$A:$A,0)),""))</f>
        <v/>
      </c>
      <c r="L440" s="12" t="str">
        <f aca="false">IF(AND(A440='Grocery List'!$B$3,E440="Yes"),COUNTIFS($A$4:A440,'Grocery List'!$B$3,$E$4:E440,"Yes"),"")</f>
        <v/>
      </c>
    </row>
    <row r="441" customFormat="false" ht="15" hidden="false" customHeight="false" outlineLevel="0" collapsed="false">
      <c r="A441" s="16"/>
      <c r="D441" s="12" t="str">
        <f aca="false">IF(C441="","",IFERROR(INDEX(Recipes!$B:$B,MATCH(C441,Recipes!$A:$A,0)),"⚠ unknown recipe_id"))</f>
        <v/>
      </c>
      <c r="K441" s="12" t="str">
        <f aca="false">IF(C441="","",IFERROR(INDEX(Recipes!$C:$C,MATCH(C441,Recipes!$A:$A,0)),""))</f>
        <v/>
      </c>
      <c r="L441" s="12" t="str">
        <f aca="false">IF(AND(A441='Grocery List'!$B$3,E441="Yes"),COUNTIFS($A$4:A441,'Grocery List'!$B$3,$E$4:E441,"Yes"),"")</f>
        <v/>
      </c>
    </row>
    <row r="442" customFormat="false" ht="15" hidden="false" customHeight="false" outlineLevel="0" collapsed="false">
      <c r="A442" s="16"/>
      <c r="D442" s="12" t="str">
        <f aca="false">IF(C442="","",IFERROR(INDEX(Recipes!$B:$B,MATCH(C442,Recipes!$A:$A,0)),"⚠ unknown recipe_id"))</f>
        <v/>
      </c>
      <c r="K442" s="12" t="str">
        <f aca="false">IF(C442="","",IFERROR(INDEX(Recipes!$C:$C,MATCH(C442,Recipes!$A:$A,0)),""))</f>
        <v/>
      </c>
      <c r="L442" s="12" t="str">
        <f aca="false">IF(AND(A442='Grocery List'!$B$3,E442="Yes"),COUNTIFS($A$4:A442,'Grocery List'!$B$3,$E$4:E442,"Yes"),"")</f>
        <v/>
      </c>
    </row>
    <row r="443" customFormat="false" ht="15" hidden="false" customHeight="false" outlineLevel="0" collapsed="false">
      <c r="A443" s="16"/>
      <c r="D443" s="12" t="str">
        <f aca="false">IF(C443="","",IFERROR(INDEX(Recipes!$B:$B,MATCH(C443,Recipes!$A:$A,0)),"⚠ unknown recipe_id"))</f>
        <v/>
      </c>
      <c r="K443" s="12" t="str">
        <f aca="false">IF(C443="","",IFERROR(INDEX(Recipes!$C:$C,MATCH(C443,Recipes!$A:$A,0)),""))</f>
        <v/>
      </c>
      <c r="L443" s="12" t="str">
        <f aca="false">IF(AND(A443='Grocery List'!$B$3,E443="Yes"),COUNTIFS($A$4:A443,'Grocery List'!$B$3,$E$4:E443,"Yes"),"")</f>
        <v/>
      </c>
    </row>
    <row r="444" customFormat="false" ht="15" hidden="false" customHeight="false" outlineLevel="0" collapsed="false">
      <c r="A444" s="16"/>
      <c r="D444" s="12" t="str">
        <f aca="false">IF(C444="","",IFERROR(INDEX(Recipes!$B:$B,MATCH(C444,Recipes!$A:$A,0)),"⚠ unknown recipe_id"))</f>
        <v/>
      </c>
      <c r="K444" s="12" t="str">
        <f aca="false">IF(C444="","",IFERROR(INDEX(Recipes!$C:$C,MATCH(C444,Recipes!$A:$A,0)),""))</f>
        <v/>
      </c>
      <c r="L444" s="12" t="str">
        <f aca="false">IF(AND(A444='Grocery List'!$B$3,E444="Yes"),COUNTIFS($A$4:A444,'Grocery List'!$B$3,$E$4:E444,"Yes"),"")</f>
        <v/>
      </c>
    </row>
    <row r="445" customFormat="false" ht="15" hidden="false" customHeight="false" outlineLevel="0" collapsed="false">
      <c r="A445" s="16"/>
      <c r="D445" s="12" t="str">
        <f aca="false">IF(C445="","",IFERROR(INDEX(Recipes!$B:$B,MATCH(C445,Recipes!$A:$A,0)),"⚠ unknown recipe_id"))</f>
        <v/>
      </c>
      <c r="K445" s="12" t="str">
        <f aca="false">IF(C445="","",IFERROR(INDEX(Recipes!$C:$C,MATCH(C445,Recipes!$A:$A,0)),""))</f>
        <v/>
      </c>
      <c r="L445" s="12" t="str">
        <f aca="false">IF(AND(A445='Grocery List'!$B$3,E445="Yes"),COUNTIFS($A$4:A445,'Grocery List'!$B$3,$E$4:E445,"Yes"),"")</f>
        <v/>
      </c>
    </row>
    <row r="446" customFormat="false" ht="15" hidden="false" customHeight="false" outlineLevel="0" collapsed="false">
      <c r="A446" s="16"/>
      <c r="D446" s="12" t="str">
        <f aca="false">IF(C446="","",IFERROR(INDEX(Recipes!$B:$B,MATCH(C446,Recipes!$A:$A,0)),"⚠ unknown recipe_id"))</f>
        <v/>
      </c>
      <c r="K446" s="12" t="str">
        <f aca="false">IF(C446="","",IFERROR(INDEX(Recipes!$C:$C,MATCH(C446,Recipes!$A:$A,0)),""))</f>
        <v/>
      </c>
      <c r="L446" s="12" t="str">
        <f aca="false">IF(AND(A446='Grocery List'!$B$3,E446="Yes"),COUNTIFS($A$4:A446,'Grocery List'!$B$3,$E$4:E446,"Yes"),"")</f>
        <v/>
      </c>
    </row>
    <row r="447" customFormat="false" ht="15" hidden="false" customHeight="false" outlineLevel="0" collapsed="false">
      <c r="A447" s="16"/>
      <c r="D447" s="12" t="str">
        <f aca="false">IF(C447="","",IFERROR(INDEX(Recipes!$B:$B,MATCH(C447,Recipes!$A:$A,0)),"⚠ unknown recipe_id"))</f>
        <v/>
      </c>
      <c r="K447" s="12" t="str">
        <f aca="false">IF(C447="","",IFERROR(INDEX(Recipes!$C:$C,MATCH(C447,Recipes!$A:$A,0)),""))</f>
        <v/>
      </c>
      <c r="L447" s="12" t="str">
        <f aca="false">IF(AND(A447='Grocery List'!$B$3,E447="Yes"),COUNTIFS($A$4:A447,'Grocery List'!$B$3,$E$4:E447,"Yes"),"")</f>
        <v/>
      </c>
    </row>
    <row r="448" customFormat="false" ht="15" hidden="false" customHeight="false" outlineLevel="0" collapsed="false">
      <c r="A448" s="16"/>
      <c r="D448" s="12" t="str">
        <f aca="false">IF(C448="","",IFERROR(INDEX(Recipes!$B:$B,MATCH(C448,Recipes!$A:$A,0)),"⚠ unknown recipe_id"))</f>
        <v/>
      </c>
      <c r="K448" s="12" t="str">
        <f aca="false">IF(C448="","",IFERROR(INDEX(Recipes!$C:$C,MATCH(C448,Recipes!$A:$A,0)),""))</f>
        <v/>
      </c>
      <c r="L448" s="12" t="str">
        <f aca="false">IF(AND(A448='Grocery List'!$B$3,E448="Yes"),COUNTIFS($A$4:A448,'Grocery List'!$B$3,$E$4:E448,"Yes"),"")</f>
        <v/>
      </c>
    </row>
    <row r="449" customFormat="false" ht="15" hidden="false" customHeight="false" outlineLevel="0" collapsed="false">
      <c r="A449" s="16"/>
      <c r="D449" s="12" t="str">
        <f aca="false">IF(C449="","",IFERROR(INDEX(Recipes!$B:$B,MATCH(C449,Recipes!$A:$A,0)),"⚠ unknown recipe_id"))</f>
        <v/>
      </c>
      <c r="K449" s="12" t="str">
        <f aca="false">IF(C449="","",IFERROR(INDEX(Recipes!$C:$C,MATCH(C449,Recipes!$A:$A,0)),""))</f>
        <v/>
      </c>
      <c r="L449" s="12" t="str">
        <f aca="false">IF(AND(A449='Grocery List'!$B$3,E449="Yes"),COUNTIFS($A$4:A449,'Grocery List'!$B$3,$E$4:E449,"Yes"),"")</f>
        <v/>
      </c>
    </row>
    <row r="450" customFormat="false" ht="15" hidden="false" customHeight="false" outlineLevel="0" collapsed="false">
      <c r="A450" s="16"/>
      <c r="D450" s="12" t="str">
        <f aca="false">IF(C450="","",IFERROR(INDEX(Recipes!$B:$B,MATCH(C450,Recipes!$A:$A,0)),"⚠ unknown recipe_id"))</f>
        <v/>
      </c>
      <c r="K450" s="12" t="str">
        <f aca="false">IF(C450="","",IFERROR(INDEX(Recipes!$C:$C,MATCH(C450,Recipes!$A:$A,0)),""))</f>
        <v/>
      </c>
      <c r="L450" s="12" t="str">
        <f aca="false">IF(AND(A450='Grocery List'!$B$3,E450="Yes"),COUNTIFS($A$4:A450,'Grocery List'!$B$3,$E$4:E450,"Yes"),"")</f>
        <v/>
      </c>
    </row>
    <row r="451" customFormat="false" ht="15" hidden="false" customHeight="false" outlineLevel="0" collapsed="false">
      <c r="A451" s="16"/>
      <c r="D451" s="12" t="str">
        <f aca="false">IF(C451="","",IFERROR(INDEX(Recipes!$B:$B,MATCH(C451,Recipes!$A:$A,0)),"⚠ unknown recipe_id"))</f>
        <v/>
      </c>
      <c r="K451" s="12" t="str">
        <f aca="false">IF(C451="","",IFERROR(INDEX(Recipes!$C:$C,MATCH(C451,Recipes!$A:$A,0)),""))</f>
        <v/>
      </c>
      <c r="L451" s="12" t="str">
        <f aca="false">IF(AND(A451='Grocery List'!$B$3,E451="Yes"),COUNTIFS($A$4:A451,'Grocery List'!$B$3,$E$4:E451,"Yes"),"")</f>
        <v/>
      </c>
    </row>
    <row r="452" customFormat="false" ht="15" hidden="false" customHeight="false" outlineLevel="0" collapsed="false">
      <c r="A452" s="16"/>
      <c r="D452" s="12" t="str">
        <f aca="false">IF(C452="","",IFERROR(INDEX(Recipes!$B:$B,MATCH(C452,Recipes!$A:$A,0)),"⚠ unknown recipe_id"))</f>
        <v/>
      </c>
      <c r="K452" s="12" t="str">
        <f aca="false">IF(C452="","",IFERROR(INDEX(Recipes!$C:$C,MATCH(C452,Recipes!$A:$A,0)),""))</f>
        <v/>
      </c>
      <c r="L452" s="12" t="str">
        <f aca="false">IF(AND(A452='Grocery List'!$B$3,E452="Yes"),COUNTIFS($A$4:A452,'Grocery List'!$B$3,$E$4:E452,"Yes"),"")</f>
        <v/>
      </c>
    </row>
    <row r="453" customFormat="false" ht="15" hidden="false" customHeight="false" outlineLevel="0" collapsed="false">
      <c r="A453" s="16"/>
      <c r="D453" s="12" t="str">
        <f aca="false">IF(C453="","",IFERROR(INDEX(Recipes!$B:$B,MATCH(C453,Recipes!$A:$A,0)),"⚠ unknown recipe_id"))</f>
        <v/>
      </c>
      <c r="K453" s="12" t="str">
        <f aca="false">IF(C453="","",IFERROR(INDEX(Recipes!$C:$C,MATCH(C453,Recipes!$A:$A,0)),""))</f>
        <v/>
      </c>
      <c r="L453" s="12" t="str">
        <f aca="false">IF(AND(A453='Grocery List'!$B$3,E453="Yes"),COUNTIFS($A$4:A453,'Grocery List'!$B$3,$E$4:E453,"Yes"),"")</f>
        <v/>
      </c>
    </row>
    <row r="454" customFormat="false" ht="15" hidden="false" customHeight="false" outlineLevel="0" collapsed="false">
      <c r="A454" s="16"/>
      <c r="D454" s="12" t="str">
        <f aca="false">IF(C454="","",IFERROR(INDEX(Recipes!$B:$B,MATCH(C454,Recipes!$A:$A,0)),"⚠ unknown recipe_id"))</f>
        <v/>
      </c>
      <c r="K454" s="12" t="str">
        <f aca="false">IF(C454="","",IFERROR(INDEX(Recipes!$C:$C,MATCH(C454,Recipes!$A:$A,0)),""))</f>
        <v/>
      </c>
      <c r="L454" s="12" t="str">
        <f aca="false">IF(AND(A454='Grocery List'!$B$3,E454="Yes"),COUNTIFS($A$4:A454,'Grocery List'!$B$3,$E$4:E454,"Yes"),"")</f>
        <v/>
      </c>
    </row>
    <row r="455" customFormat="false" ht="15" hidden="false" customHeight="false" outlineLevel="0" collapsed="false">
      <c r="A455" s="16"/>
      <c r="D455" s="12" t="str">
        <f aca="false">IF(C455="","",IFERROR(INDEX(Recipes!$B:$B,MATCH(C455,Recipes!$A:$A,0)),"⚠ unknown recipe_id"))</f>
        <v/>
      </c>
      <c r="K455" s="12" t="str">
        <f aca="false">IF(C455="","",IFERROR(INDEX(Recipes!$C:$C,MATCH(C455,Recipes!$A:$A,0)),""))</f>
        <v/>
      </c>
      <c r="L455" s="12" t="str">
        <f aca="false">IF(AND(A455='Grocery List'!$B$3,E455="Yes"),COUNTIFS($A$4:A455,'Grocery List'!$B$3,$E$4:E455,"Yes"),"")</f>
        <v/>
      </c>
    </row>
    <row r="456" customFormat="false" ht="15" hidden="false" customHeight="false" outlineLevel="0" collapsed="false">
      <c r="A456" s="16"/>
      <c r="D456" s="12" t="str">
        <f aca="false">IF(C456="","",IFERROR(INDEX(Recipes!$B:$B,MATCH(C456,Recipes!$A:$A,0)),"⚠ unknown recipe_id"))</f>
        <v/>
      </c>
      <c r="K456" s="12" t="str">
        <f aca="false">IF(C456="","",IFERROR(INDEX(Recipes!$C:$C,MATCH(C456,Recipes!$A:$A,0)),""))</f>
        <v/>
      </c>
      <c r="L456" s="12" t="str">
        <f aca="false">IF(AND(A456='Grocery List'!$B$3,E456="Yes"),COUNTIFS($A$4:A456,'Grocery List'!$B$3,$E$4:E456,"Yes"),"")</f>
        <v/>
      </c>
    </row>
    <row r="457" customFormat="false" ht="15" hidden="false" customHeight="false" outlineLevel="0" collapsed="false">
      <c r="A457" s="16"/>
      <c r="D457" s="12" t="str">
        <f aca="false">IF(C457="","",IFERROR(INDEX(Recipes!$B:$B,MATCH(C457,Recipes!$A:$A,0)),"⚠ unknown recipe_id"))</f>
        <v/>
      </c>
      <c r="K457" s="12" t="str">
        <f aca="false">IF(C457="","",IFERROR(INDEX(Recipes!$C:$C,MATCH(C457,Recipes!$A:$A,0)),""))</f>
        <v/>
      </c>
      <c r="L457" s="12" t="str">
        <f aca="false">IF(AND(A457='Grocery List'!$B$3,E457="Yes"),COUNTIFS($A$4:A457,'Grocery List'!$B$3,$E$4:E457,"Yes"),"")</f>
        <v/>
      </c>
    </row>
    <row r="458" customFormat="false" ht="15" hidden="false" customHeight="false" outlineLevel="0" collapsed="false">
      <c r="A458" s="16"/>
      <c r="D458" s="12" t="str">
        <f aca="false">IF(C458="","",IFERROR(INDEX(Recipes!$B:$B,MATCH(C458,Recipes!$A:$A,0)),"⚠ unknown recipe_id"))</f>
        <v/>
      </c>
      <c r="K458" s="12" t="str">
        <f aca="false">IF(C458="","",IFERROR(INDEX(Recipes!$C:$C,MATCH(C458,Recipes!$A:$A,0)),""))</f>
        <v/>
      </c>
      <c r="L458" s="12" t="str">
        <f aca="false">IF(AND(A458='Grocery List'!$B$3,E458="Yes"),COUNTIFS($A$4:A458,'Grocery List'!$B$3,$E$4:E458,"Yes"),"")</f>
        <v/>
      </c>
    </row>
    <row r="459" customFormat="false" ht="15" hidden="false" customHeight="false" outlineLevel="0" collapsed="false">
      <c r="A459" s="16"/>
      <c r="D459" s="12" t="str">
        <f aca="false">IF(C459="","",IFERROR(INDEX(Recipes!$B:$B,MATCH(C459,Recipes!$A:$A,0)),"⚠ unknown recipe_id"))</f>
        <v/>
      </c>
      <c r="K459" s="12" t="str">
        <f aca="false">IF(C459="","",IFERROR(INDEX(Recipes!$C:$C,MATCH(C459,Recipes!$A:$A,0)),""))</f>
        <v/>
      </c>
      <c r="L459" s="12" t="str">
        <f aca="false">IF(AND(A459='Grocery List'!$B$3,E459="Yes"),COUNTIFS($A$4:A459,'Grocery List'!$B$3,$E$4:E459,"Yes"),"")</f>
        <v/>
      </c>
    </row>
    <row r="460" customFormat="false" ht="15" hidden="false" customHeight="false" outlineLevel="0" collapsed="false">
      <c r="A460" s="16"/>
      <c r="D460" s="12" t="str">
        <f aca="false">IF(C460="","",IFERROR(INDEX(Recipes!$B:$B,MATCH(C460,Recipes!$A:$A,0)),"⚠ unknown recipe_id"))</f>
        <v/>
      </c>
      <c r="K460" s="12" t="str">
        <f aca="false">IF(C460="","",IFERROR(INDEX(Recipes!$C:$C,MATCH(C460,Recipes!$A:$A,0)),""))</f>
        <v/>
      </c>
      <c r="L460" s="12" t="str">
        <f aca="false">IF(AND(A460='Grocery List'!$B$3,E460="Yes"),COUNTIFS($A$4:A460,'Grocery List'!$B$3,$E$4:E460,"Yes"),"")</f>
        <v/>
      </c>
    </row>
    <row r="461" customFormat="false" ht="15" hidden="false" customHeight="false" outlineLevel="0" collapsed="false">
      <c r="A461" s="16"/>
      <c r="D461" s="12" t="str">
        <f aca="false">IF(C461="","",IFERROR(INDEX(Recipes!$B:$B,MATCH(C461,Recipes!$A:$A,0)),"⚠ unknown recipe_id"))</f>
        <v/>
      </c>
      <c r="K461" s="12" t="str">
        <f aca="false">IF(C461="","",IFERROR(INDEX(Recipes!$C:$C,MATCH(C461,Recipes!$A:$A,0)),""))</f>
        <v/>
      </c>
      <c r="L461" s="12" t="str">
        <f aca="false">IF(AND(A461='Grocery List'!$B$3,E461="Yes"),COUNTIFS($A$4:A461,'Grocery List'!$B$3,$E$4:E461,"Yes"),"")</f>
        <v/>
      </c>
    </row>
    <row r="462" customFormat="false" ht="15" hidden="false" customHeight="false" outlineLevel="0" collapsed="false">
      <c r="A462" s="16"/>
      <c r="D462" s="12" t="str">
        <f aca="false">IF(C462="","",IFERROR(INDEX(Recipes!$B:$B,MATCH(C462,Recipes!$A:$A,0)),"⚠ unknown recipe_id"))</f>
        <v/>
      </c>
      <c r="K462" s="12" t="str">
        <f aca="false">IF(C462="","",IFERROR(INDEX(Recipes!$C:$C,MATCH(C462,Recipes!$A:$A,0)),""))</f>
        <v/>
      </c>
      <c r="L462" s="12" t="str">
        <f aca="false">IF(AND(A462='Grocery List'!$B$3,E462="Yes"),COUNTIFS($A$4:A462,'Grocery List'!$B$3,$E$4:E462,"Yes"),"")</f>
        <v/>
      </c>
    </row>
    <row r="463" customFormat="false" ht="15" hidden="false" customHeight="false" outlineLevel="0" collapsed="false">
      <c r="A463" s="16"/>
      <c r="D463" s="12" t="str">
        <f aca="false">IF(C463="","",IFERROR(INDEX(Recipes!$B:$B,MATCH(C463,Recipes!$A:$A,0)),"⚠ unknown recipe_id"))</f>
        <v/>
      </c>
      <c r="K463" s="12" t="str">
        <f aca="false">IF(C463="","",IFERROR(INDEX(Recipes!$C:$C,MATCH(C463,Recipes!$A:$A,0)),""))</f>
        <v/>
      </c>
      <c r="L463" s="12" t="str">
        <f aca="false">IF(AND(A463='Grocery List'!$B$3,E463="Yes"),COUNTIFS($A$4:A463,'Grocery List'!$B$3,$E$4:E463,"Yes"),"")</f>
        <v/>
      </c>
    </row>
    <row r="464" customFormat="false" ht="15" hidden="false" customHeight="false" outlineLevel="0" collapsed="false">
      <c r="A464" s="16"/>
      <c r="D464" s="12" t="str">
        <f aca="false">IF(C464="","",IFERROR(INDEX(Recipes!$B:$B,MATCH(C464,Recipes!$A:$A,0)),"⚠ unknown recipe_id"))</f>
        <v/>
      </c>
      <c r="K464" s="12" t="str">
        <f aca="false">IF(C464="","",IFERROR(INDEX(Recipes!$C:$C,MATCH(C464,Recipes!$A:$A,0)),""))</f>
        <v/>
      </c>
      <c r="L464" s="12" t="str">
        <f aca="false">IF(AND(A464='Grocery List'!$B$3,E464="Yes"),COUNTIFS($A$4:A464,'Grocery List'!$B$3,$E$4:E464,"Yes"),"")</f>
        <v/>
      </c>
    </row>
    <row r="465" customFormat="false" ht="15" hidden="false" customHeight="false" outlineLevel="0" collapsed="false">
      <c r="A465" s="16"/>
      <c r="D465" s="12" t="str">
        <f aca="false">IF(C465="","",IFERROR(INDEX(Recipes!$B:$B,MATCH(C465,Recipes!$A:$A,0)),"⚠ unknown recipe_id"))</f>
        <v/>
      </c>
      <c r="K465" s="12" t="str">
        <f aca="false">IF(C465="","",IFERROR(INDEX(Recipes!$C:$C,MATCH(C465,Recipes!$A:$A,0)),""))</f>
        <v/>
      </c>
      <c r="L465" s="12" t="str">
        <f aca="false">IF(AND(A465='Grocery List'!$B$3,E465="Yes"),COUNTIFS($A$4:A465,'Grocery List'!$B$3,$E$4:E465,"Yes"),"")</f>
        <v/>
      </c>
    </row>
    <row r="466" customFormat="false" ht="15" hidden="false" customHeight="false" outlineLevel="0" collapsed="false">
      <c r="A466" s="16"/>
      <c r="D466" s="12" t="str">
        <f aca="false">IF(C466="","",IFERROR(INDEX(Recipes!$B:$B,MATCH(C466,Recipes!$A:$A,0)),"⚠ unknown recipe_id"))</f>
        <v/>
      </c>
      <c r="K466" s="12" t="str">
        <f aca="false">IF(C466="","",IFERROR(INDEX(Recipes!$C:$C,MATCH(C466,Recipes!$A:$A,0)),""))</f>
        <v/>
      </c>
      <c r="L466" s="12" t="str">
        <f aca="false">IF(AND(A466='Grocery List'!$B$3,E466="Yes"),COUNTIFS($A$4:A466,'Grocery List'!$B$3,$E$4:E466,"Yes"),"")</f>
        <v/>
      </c>
    </row>
    <row r="467" customFormat="false" ht="15" hidden="false" customHeight="false" outlineLevel="0" collapsed="false">
      <c r="A467" s="16"/>
      <c r="D467" s="12" t="str">
        <f aca="false">IF(C467="","",IFERROR(INDEX(Recipes!$B:$B,MATCH(C467,Recipes!$A:$A,0)),"⚠ unknown recipe_id"))</f>
        <v/>
      </c>
      <c r="K467" s="12" t="str">
        <f aca="false">IF(C467="","",IFERROR(INDEX(Recipes!$C:$C,MATCH(C467,Recipes!$A:$A,0)),""))</f>
        <v/>
      </c>
      <c r="L467" s="12" t="str">
        <f aca="false">IF(AND(A467='Grocery List'!$B$3,E467="Yes"),COUNTIFS($A$4:A467,'Grocery List'!$B$3,$E$4:E467,"Yes"),"")</f>
        <v/>
      </c>
    </row>
    <row r="468" customFormat="false" ht="15" hidden="false" customHeight="false" outlineLevel="0" collapsed="false">
      <c r="A468" s="16"/>
      <c r="D468" s="12" t="str">
        <f aca="false">IF(C468="","",IFERROR(INDEX(Recipes!$B:$B,MATCH(C468,Recipes!$A:$A,0)),"⚠ unknown recipe_id"))</f>
        <v/>
      </c>
      <c r="K468" s="12" t="str">
        <f aca="false">IF(C468="","",IFERROR(INDEX(Recipes!$C:$C,MATCH(C468,Recipes!$A:$A,0)),""))</f>
        <v/>
      </c>
      <c r="L468" s="12" t="str">
        <f aca="false">IF(AND(A468='Grocery List'!$B$3,E468="Yes"),COUNTIFS($A$4:A468,'Grocery List'!$B$3,$E$4:E468,"Yes"),"")</f>
        <v/>
      </c>
    </row>
    <row r="469" customFormat="false" ht="15" hidden="false" customHeight="false" outlineLevel="0" collapsed="false">
      <c r="A469" s="16"/>
      <c r="D469" s="12" t="str">
        <f aca="false">IF(C469="","",IFERROR(INDEX(Recipes!$B:$B,MATCH(C469,Recipes!$A:$A,0)),"⚠ unknown recipe_id"))</f>
        <v/>
      </c>
      <c r="K469" s="12" t="str">
        <f aca="false">IF(C469="","",IFERROR(INDEX(Recipes!$C:$C,MATCH(C469,Recipes!$A:$A,0)),""))</f>
        <v/>
      </c>
      <c r="L469" s="12" t="str">
        <f aca="false">IF(AND(A469='Grocery List'!$B$3,E469="Yes"),COUNTIFS($A$4:A469,'Grocery List'!$B$3,$E$4:E469,"Yes"),"")</f>
        <v/>
      </c>
    </row>
    <row r="470" customFormat="false" ht="15" hidden="false" customHeight="false" outlineLevel="0" collapsed="false">
      <c r="A470" s="16"/>
      <c r="D470" s="12" t="str">
        <f aca="false">IF(C470="","",IFERROR(INDEX(Recipes!$B:$B,MATCH(C470,Recipes!$A:$A,0)),"⚠ unknown recipe_id"))</f>
        <v/>
      </c>
      <c r="K470" s="12" t="str">
        <f aca="false">IF(C470="","",IFERROR(INDEX(Recipes!$C:$C,MATCH(C470,Recipes!$A:$A,0)),""))</f>
        <v/>
      </c>
      <c r="L470" s="12" t="str">
        <f aca="false">IF(AND(A470='Grocery List'!$B$3,E470="Yes"),COUNTIFS($A$4:A470,'Grocery List'!$B$3,$E$4:E470,"Yes"),"")</f>
        <v/>
      </c>
    </row>
    <row r="471" customFormat="false" ht="15" hidden="false" customHeight="false" outlineLevel="0" collapsed="false">
      <c r="A471" s="16"/>
      <c r="D471" s="12" t="str">
        <f aca="false">IF(C471="","",IFERROR(INDEX(Recipes!$B:$B,MATCH(C471,Recipes!$A:$A,0)),"⚠ unknown recipe_id"))</f>
        <v/>
      </c>
      <c r="K471" s="12" t="str">
        <f aca="false">IF(C471="","",IFERROR(INDEX(Recipes!$C:$C,MATCH(C471,Recipes!$A:$A,0)),""))</f>
        <v/>
      </c>
      <c r="L471" s="12" t="str">
        <f aca="false">IF(AND(A471='Grocery List'!$B$3,E471="Yes"),COUNTIFS($A$4:A471,'Grocery List'!$B$3,$E$4:E471,"Yes"),"")</f>
        <v/>
      </c>
    </row>
    <row r="472" customFormat="false" ht="15" hidden="false" customHeight="false" outlineLevel="0" collapsed="false">
      <c r="A472" s="16"/>
      <c r="D472" s="12" t="str">
        <f aca="false">IF(C472="","",IFERROR(INDEX(Recipes!$B:$B,MATCH(C472,Recipes!$A:$A,0)),"⚠ unknown recipe_id"))</f>
        <v/>
      </c>
      <c r="K472" s="12" t="str">
        <f aca="false">IF(C472="","",IFERROR(INDEX(Recipes!$C:$C,MATCH(C472,Recipes!$A:$A,0)),""))</f>
        <v/>
      </c>
      <c r="L472" s="12" t="str">
        <f aca="false">IF(AND(A472='Grocery List'!$B$3,E472="Yes"),COUNTIFS($A$4:A472,'Grocery List'!$B$3,$E$4:E472,"Yes"),"")</f>
        <v/>
      </c>
    </row>
    <row r="473" customFormat="false" ht="15" hidden="false" customHeight="false" outlineLevel="0" collapsed="false">
      <c r="A473" s="16"/>
      <c r="D473" s="12" t="str">
        <f aca="false">IF(C473="","",IFERROR(INDEX(Recipes!$B:$B,MATCH(C473,Recipes!$A:$A,0)),"⚠ unknown recipe_id"))</f>
        <v/>
      </c>
      <c r="K473" s="12" t="str">
        <f aca="false">IF(C473="","",IFERROR(INDEX(Recipes!$C:$C,MATCH(C473,Recipes!$A:$A,0)),""))</f>
        <v/>
      </c>
      <c r="L473" s="12" t="str">
        <f aca="false">IF(AND(A473='Grocery List'!$B$3,E473="Yes"),COUNTIFS($A$4:A473,'Grocery List'!$B$3,$E$4:E473,"Yes"),"")</f>
        <v/>
      </c>
    </row>
    <row r="474" customFormat="false" ht="15" hidden="false" customHeight="false" outlineLevel="0" collapsed="false">
      <c r="A474" s="16"/>
      <c r="D474" s="12" t="str">
        <f aca="false">IF(C474="","",IFERROR(INDEX(Recipes!$B:$B,MATCH(C474,Recipes!$A:$A,0)),"⚠ unknown recipe_id"))</f>
        <v/>
      </c>
      <c r="K474" s="12" t="str">
        <f aca="false">IF(C474="","",IFERROR(INDEX(Recipes!$C:$C,MATCH(C474,Recipes!$A:$A,0)),""))</f>
        <v/>
      </c>
      <c r="L474" s="12" t="str">
        <f aca="false">IF(AND(A474='Grocery List'!$B$3,E474="Yes"),COUNTIFS($A$4:A474,'Grocery List'!$B$3,$E$4:E474,"Yes"),"")</f>
        <v/>
      </c>
    </row>
    <row r="475" customFormat="false" ht="15" hidden="false" customHeight="false" outlineLevel="0" collapsed="false">
      <c r="A475" s="16"/>
      <c r="D475" s="12" t="str">
        <f aca="false">IF(C475="","",IFERROR(INDEX(Recipes!$B:$B,MATCH(C475,Recipes!$A:$A,0)),"⚠ unknown recipe_id"))</f>
        <v/>
      </c>
      <c r="K475" s="12" t="str">
        <f aca="false">IF(C475="","",IFERROR(INDEX(Recipes!$C:$C,MATCH(C475,Recipes!$A:$A,0)),""))</f>
        <v/>
      </c>
      <c r="L475" s="12" t="str">
        <f aca="false">IF(AND(A475='Grocery List'!$B$3,E475="Yes"),COUNTIFS($A$4:A475,'Grocery List'!$B$3,$E$4:E475,"Yes"),"")</f>
        <v/>
      </c>
    </row>
    <row r="476" customFormat="false" ht="15" hidden="false" customHeight="false" outlineLevel="0" collapsed="false">
      <c r="A476" s="16"/>
      <c r="D476" s="12" t="str">
        <f aca="false">IF(C476="","",IFERROR(INDEX(Recipes!$B:$B,MATCH(C476,Recipes!$A:$A,0)),"⚠ unknown recipe_id"))</f>
        <v/>
      </c>
      <c r="K476" s="12" t="str">
        <f aca="false">IF(C476="","",IFERROR(INDEX(Recipes!$C:$C,MATCH(C476,Recipes!$A:$A,0)),""))</f>
        <v/>
      </c>
      <c r="L476" s="12" t="str">
        <f aca="false">IF(AND(A476='Grocery List'!$B$3,E476="Yes"),COUNTIFS($A$4:A476,'Grocery List'!$B$3,$E$4:E476,"Yes"),"")</f>
        <v/>
      </c>
    </row>
    <row r="477" customFormat="false" ht="15" hidden="false" customHeight="false" outlineLevel="0" collapsed="false">
      <c r="A477" s="16"/>
      <c r="D477" s="12" t="str">
        <f aca="false">IF(C477="","",IFERROR(INDEX(Recipes!$B:$B,MATCH(C477,Recipes!$A:$A,0)),"⚠ unknown recipe_id"))</f>
        <v/>
      </c>
      <c r="K477" s="12" t="str">
        <f aca="false">IF(C477="","",IFERROR(INDEX(Recipes!$C:$C,MATCH(C477,Recipes!$A:$A,0)),""))</f>
        <v/>
      </c>
      <c r="L477" s="12" t="str">
        <f aca="false">IF(AND(A477='Grocery List'!$B$3,E477="Yes"),COUNTIFS($A$4:A477,'Grocery List'!$B$3,$E$4:E477,"Yes"),"")</f>
        <v/>
      </c>
    </row>
    <row r="478" customFormat="false" ht="15" hidden="false" customHeight="false" outlineLevel="0" collapsed="false">
      <c r="A478" s="16"/>
      <c r="D478" s="12" t="str">
        <f aca="false">IF(C478="","",IFERROR(INDEX(Recipes!$B:$B,MATCH(C478,Recipes!$A:$A,0)),"⚠ unknown recipe_id"))</f>
        <v/>
      </c>
      <c r="K478" s="12" t="str">
        <f aca="false">IF(C478="","",IFERROR(INDEX(Recipes!$C:$C,MATCH(C478,Recipes!$A:$A,0)),""))</f>
        <v/>
      </c>
      <c r="L478" s="12" t="str">
        <f aca="false">IF(AND(A478='Grocery List'!$B$3,E478="Yes"),COUNTIFS($A$4:A478,'Grocery List'!$B$3,$E$4:E478,"Yes"),"")</f>
        <v/>
      </c>
    </row>
    <row r="479" customFormat="false" ht="15" hidden="false" customHeight="false" outlineLevel="0" collapsed="false">
      <c r="A479" s="16"/>
      <c r="D479" s="12" t="str">
        <f aca="false">IF(C479="","",IFERROR(INDEX(Recipes!$B:$B,MATCH(C479,Recipes!$A:$A,0)),"⚠ unknown recipe_id"))</f>
        <v/>
      </c>
      <c r="K479" s="12" t="str">
        <f aca="false">IF(C479="","",IFERROR(INDEX(Recipes!$C:$C,MATCH(C479,Recipes!$A:$A,0)),""))</f>
        <v/>
      </c>
      <c r="L479" s="12" t="str">
        <f aca="false">IF(AND(A479='Grocery List'!$B$3,E479="Yes"),COUNTIFS($A$4:A479,'Grocery List'!$B$3,$E$4:E479,"Yes"),"")</f>
        <v/>
      </c>
    </row>
    <row r="480" customFormat="false" ht="15" hidden="false" customHeight="false" outlineLevel="0" collapsed="false">
      <c r="A480" s="16"/>
      <c r="D480" s="12" t="str">
        <f aca="false">IF(C480="","",IFERROR(INDEX(Recipes!$B:$B,MATCH(C480,Recipes!$A:$A,0)),"⚠ unknown recipe_id"))</f>
        <v/>
      </c>
      <c r="K480" s="12" t="str">
        <f aca="false">IF(C480="","",IFERROR(INDEX(Recipes!$C:$C,MATCH(C480,Recipes!$A:$A,0)),""))</f>
        <v/>
      </c>
      <c r="L480" s="12" t="str">
        <f aca="false">IF(AND(A480='Grocery List'!$B$3,E480="Yes"),COUNTIFS($A$4:A480,'Grocery List'!$B$3,$E$4:E480,"Yes"),"")</f>
        <v/>
      </c>
    </row>
    <row r="481" customFormat="false" ht="15" hidden="false" customHeight="false" outlineLevel="0" collapsed="false">
      <c r="A481" s="16"/>
      <c r="D481" s="12" t="str">
        <f aca="false">IF(C481="","",IFERROR(INDEX(Recipes!$B:$B,MATCH(C481,Recipes!$A:$A,0)),"⚠ unknown recipe_id"))</f>
        <v/>
      </c>
      <c r="K481" s="12" t="str">
        <f aca="false">IF(C481="","",IFERROR(INDEX(Recipes!$C:$C,MATCH(C481,Recipes!$A:$A,0)),""))</f>
        <v/>
      </c>
      <c r="L481" s="12" t="str">
        <f aca="false">IF(AND(A481='Grocery List'!$B$3,E481="Yes"),COUNTIFS($A$4:A481,'Grocery List'!$B$3,$E$4:E481,"Yes"),"")</f>
        <v/>
      </c>
    </row>
    <row r="482" customFormat="false" ht="15" hidden="false" customHeight="false" outlineLevel="0" collapsed="false">
      <c r="A482" s="16"/>
      <c r="D482" s="12" t="str">
        <f aca="false">IF(C482="","",IFERROR(INDEX(Recipes!$B:$B,MATCH(C482,Recipes!$A:$A,0)),"⚠ unknown recipe_id"))</f>
        <v/>
      </c>
      <c r="K482" s="12" t="str">
        <f aca="false">IF(C482="","",IFERROR(INDEX(Recipes!$C:$C,MATCH(C482,Recipes!$A:$A,0)),""))</f>
        <v/>
      </c>
      <c r="L482" s="12" t="str">
        <f aca="false">IF(AND(A482='Grocery List'!$B$3,E482="Yes"),COUNTIFS($A$4:A482,'Grocery List'!$B$3,$E$4:E482,"Yes"),"")</f>
        <v/>
      </c>
    </row>
    <row r="483" customFormat="false" ht="15" hidden="false" customHeight="false" outlineLevel="0" collapsed="false">
      <c r="A483" s="16"/>
      <c r="D483" s="12" t="str">
        <f aca="false">IF(C483="","",IFERROR(INDEX(Recipes!$B:$B,MATCH(C483,Recipes!$A:$A,0)),"⚠ unknown recipe_id"))</f>
        <v/>
      </c>
      <c r="K483" s="12" t="str">
        <f aca="false">IF(C483="","",IFERROR(INDEX(Recipes!$C:$C,MATCH(C483,Recipes!$A:$A,0)),""))</f>
        <v/>
      </c>
      <c r="L483" s="12" t="str">
        <f aca="false">IF(AND(A483='Grocery List'!$B$3,E483="Yes"),COUNTIFS($A$4:A483,'Grocery List'!$B$3,$E$4:E483,"Yes"),"")</f>
        <v/>
      </c>
    </row>
    <row r="484" customFormat="false" ht="15" hidden="false" customHeight="false" outlineLevel="0" collapsed="false">
      <c r="A484" s="16"/>
      <c r="D484" s="12" t="str">
        <f aca="false">IF(C484="","",IFERROR(INDEX(Recipes!$B:$B,MATCH(C484,Recipes!$A:$A,0)),"⚠ unknown recipe_id"))</f>
        <v/>
      </c>
      <c r="K484" s="12" t="str">
        <f aca="false">IF(C484="","",IFERROR(INDEX(Recipes!$C:$C,MATCH(C484,Recipes!$A:$A,0)),""))</f>
        <v/>
      </c>
      <c r="L484" s="12" t="str">
        <f aca="false">IF(AND(A484='Grocery List'!$B$3,E484="Yes"),COUNTIFS($A$4:A484,'Grocery List'!$B$3,$E$4:E484,"Yes"),"")</f>
        <v/>
      </c>
    </row>
    <row r="485" customFormat="false" ht="15" hidden="false" customHeight="false" outlineLevel="0" collapsed="false">
      <c r="A485" s="16"/>
      <c r="D485" s="12" t="str">
        <f aca="false">IF(C485="","",IFERROR(INDEX(Recipes!$B:$B,MATCH(C485,Recipes!$A:$A,0)),"⚠ unknown recipe_id"))</f>
        <v/>
      </c>
      <c r="K485" s="12" t="str">
        <f aca="false">IF(C485="","",IFERROR(INDEX(Recipes!$C:$C,MATCH(C485,Recipes!$A:$A,0)),""))</f>
        <v/>
      </c>
      <c r="L485" s="12" t="str">
        <f aca="false">IF(AND(A485='Grocery List'!$B$3,E485="Yes"),COUNTIFS($A$4:A485,'Grocery List'!$B$3,$E$4:E485,"Yes"),"")</f>
        <v/>
      </c>
    </row>
    <row r="486" customFormat="false" ht="15" hidden="false" customHeight="false" outlineLevel="0" collapsed="false">
      <c r="A486" s="16"/>
      <c r="D486" s="12" t="str">
        <f aca="false">IF(C486="","",IFERROR(INDEX(Recipes!$B:$B,MATCH(C486,Recipes!$A:$A,0)),"⚠ unknown recipe_id"))</f>
        <v/>
      </c>
      <c r="K486" s="12" t="str">
        <f aca="false">IF(C486="","",IFERROR(INDEX(Recipes!$C:$C,MATCH(C486,Recipes!$A:$A,0)),""))</f>
        <v/>
      </c>
      <c r="L486" s="12" t="str">
        <f aca="false">IF(AND(A486='Grocery List'!$B$3,E486="Yes"),COUNTIFS($A$4:A486,'Grocery List'!$B$3,$E$4:E486,"Yes"),"")</f>
        <v/>
      </c>
    </row>
    <row r="487" customFormat="false" ht="15" hidden="false" customHeight="false" outlineLevel="0" collapsed="false">
      <c r="A487" s="16"/>
      <c r="D487" s="12" t="str">
        <f aca="false">IF(C487="","",IFERROR(INDEX(Recipes!$B:$B,MATCH(C487,Recipes!$A:$A,0)),"⚠ unknown recipe_id"))</f>
        <v/>
      </c>
      <c r="K487" s="12" t="str">
        <f aca="false">IF(C487="","",IFERROR(INDEX(Recipes!$C:$C,MATCH(C487,Recipes!$A:$A,0)),""))</f>
        <v/>
      </c>
      <c r="L487" s="12" t="str">
        <f aca="false">IF(AND(A487='Grocery List'!$B$3,E487="Yes"),COUNTIFS($A$4:A487,'Grocery List'!$B$3,$E$4:E487,"Yes"),"")</f>
        <v/>
      </c>
    </row>
    <row r="488" customFormat="false" ht="15" hidden="false" customHeight="false" outlineLevel="0" collapsed="false">
      <c r="A488" s="16"/>
      <c r="D488" s="12" t="str">
        <f aca="false">IF(C488="","",IFERROR(INDEX(Recipes!$B:$B,MATCH(C488,Recipes!$A:$A,0)),"⚠ unknown recipe_id"))</f>
        <v/>
      </c>
      <c r="K488" s="12" t="str">
        <f aca="false">IF(C488="","",IFERROR(INDEX(Recipes!$C:$C,MATCH(C488,Recipes!$A:$A,0)),""))</f>
        <v/>
      </c>
      <c r="L488" s="12" t="str">
        <f aca="false">IF(AND(A488='Grocery List'!$B$3,E488="Yes"),COUNTIFS($A$4:A488,'Grocery List'!$B$3,$E$4:E488,"Yes"),"")</f>
        <v/>
      </c>
    </row>
    <row r="489" customFormat="false" ht="15" hidden="false" customHeight="false" outlineLevel="0" collapsed="false">
      <c r="A489" s="16"/>
      <c r="D489" s="12" t="str">
        <f aca="false">IF(C489="","",IFERROR(INDEX(Recipes!$B:$B,MATCH(C489,Recipes!$A:$A,0)),"⚠ unknown recipe_id"))</f>
        <v/>
      </c>
      <c r="K489" s="12" t="str">
        <f aca="false">IF(C489="","",IFERROR(INDEX(Recipes!$C:$C,MATCH(C489,Recipes!$A:$A,0)),""))</f>
        <v/>
      </c>
      <c r="L489" s="12" t="str">
        <f aca="false">IF(AND(A489='Grocery List'!$B$3,E489="Yes"),COUNTIFS($A$4:A489,'Grocery List'!$B$3,$E$4:E489,"Yes"),"")</f>
        <v/>
      </c>
    </row>
    <row r="490" customFormat="false" ht="15" hidden="false" customHeight="false" outlineLevel="0" collapsed="false">
      <c r="A490" s="16"/>
      <c r="D490" s="12" t="str">
        <f aca="false">IF(C490="","",IFERROR(INDEX(Recipes!$B:$B,MATCH(C490,Recipes!$A:$A,0)),"⚠ unknown recipe_id"))</f>
        <v/>
      </c>
      <c r="K490" s="12" t="str">
        <f aca="false">IF(C490="","",IFERROR(INDEX(Recipes!$C:$C,MATCH(C490,Recipes!$A:$A,0)),""))</f>
        <v/>
      </c>
      <c r="L490" s="12" t="str">
        <f aca="false">IF(AND(A490='Grocery List'!$B$3,E490="Yes"),COUNTIFS($A$4:A490,'Grocery List'!$B$3,$E$4:E490,"Yes"),"")</f>
        <v/>
      </c>
    </row>
    <row r="491" customFormat="false" ht="15" hidden="false" customHeight="false" outlineLevel="0" collapsed="false">
      <c r="A491" s="16"/>
      <c r="D491" s="12" t="str">
        <f aca="false">IF(C491="","",IFERROR(INDEX(Recipes!$B:$B,MATCH(C491,Recipes!$A:$A,0)),"⚠ unknown recipe_id"))</f>
        <v/>
      </c>
      <c r="K491" s="12" t="str">
        <f aca="false">IF(C491="","",IFERROR(INDEX(Recipes!$C:$C,MATCH(C491,Recipes!$A:$A,0)),""))</f>
        <v/>
      </c>
      <c r="L491" s="12" t="str">
        <f aca="false">IF(AND(A491='Grocery List'!$B$3,E491="Yes"),COUNTIFS($A$4:A491,'Grocery List'!$B$3,$E$4:E491,"Yes"),"")</f>
        <v/>
      </c>
    </row>
    <row r="492" customFormat="false" ht="15" hidden="false" customHeight="false" outlineLevel="0" collapsed="false">
      <c r="A492" s="16"/>
      <c r="D492" s="12" t="str">
        <f aca="false">IF(C492="","",IFERROR(INDEX(Recipes!$B:$B,MATCH(C492,Recipes!$A:$A,0)),"⚠ unknown recipe_id"))</f>
        <v/>
      </c>
      <c r="K492" s="12" t="str">
        <f aca="false">IF(C492="","",IFERROR(INDEX(Recipes!$C:$C,MATCH(C492,Recipes!$A:$A,0)),""))</f>
        <v/>
      </c>
      <c r="L492" s="12" t="str">
        <f aca="false">IF(AND(A492='Grocery List'!$B$3,E492="Yes"),COUNTIFS($A$4:A492,'Grocery List'!$B$3,$E$4:E492,"Yes"),"")</f>
        <v/>
      </c>
    </row>
    <row r="493" customFormat="false" ht="15" hidden="false" customHeight="false" outlineLevel="0" collapsed="false">
      <c r="A493" s="16"/>
      <c r="D493" s="12" t="str">
        <f aca="false">IF(C493="","",IFERROR(INDEX(Recipes!$B:$B,MATCH(C493,Recipes!$A:$A,0)),"⚠ unknown recipe_id"))</f>
        <v/>
      </c>
      <c r="K493" s="12" t="str">
        <f aca="false">IF(C493="","",IFERROR(INDEX(Recipes!$C:$C,MATCH(C493,Recipes!$A:$A,0)),""))</f>
        <v/>
      </c>
      <c r="L493" s="12" t="str">
        <f aca="false">IF(AND(A493='Grocery List'!$B$3,E493="Yes"),COUNTIFS($A$4:A493,'Grocery List'!$B$3,$E$4:E493,"Yes"),"")</f>
        <v/>
      </c>
    </row>
    <row r="494" customFormat="false" ht="15" hidden="false" customHeight="false" outlineLevel="0" collapsed="false">
      <c r="A494" s="16"/>
      <c r="D494" s="12" t="str">
        <f aca="false">IF(C494="","",IFERROR(INDEX(Recipes!$B:$B,MATCH(C494,Recipes!$A:$A,0)),"⚠ unknown recipe_id"))</f>
        <v/>
      </c>
      <c r="K494" s="12" t="str">
        <f aca="false">IF(C494="","",IFERROR(INDEX(Recipes!$C:$C,MATCH(C494,Recipes!$A:$A,0)),""))</f>
        <v/>
      </c>
      <c r="L494" s="12" t="str">
        <f aca="false">IF(AND(A494='Grocery List'!$B$3,E494="Yes"),COUNTIFS($A$4:A494,'Grocery List'!$B$3,$E$4:E494,"Yes"),"")</f>
        <v/>
      </c>
    </row>
    <row r="495" customFormat="false" ht="15" hidden="false" customHeight="false" outlineLevel="0" collapsed="false">
      <c r="A495" s="16"/>
      <c r="D495" s="12" t="str">
        <f aca="false">IF(C495="","",IFERROR(INDEX(Recipes!$B:$B,MATCH(C495,Recipes!$A:$A,0)),"⚠ unknown recipe_id"))</f>
        <v/>
      </c>
      <c r="K495" s="12" t="str">
        <f aca="false">IF(C495="","",IFERROR(INDEX(Recipes!$C:$C,MATCH(C495,Recipes!$A:$A,0)),""))</f>
        <v/>
      </c>
      <c r="L495" s="12" t="str">
        <f aca="false">IF(AND(A495='Grocery List'!$B$3,E495="Yes"),COUNTIFS($A$4:A495,'Grocery List'!$B$3,$E$4:E495,"Yes"),"")</f>
        <v/>
      </c>
    </row>
    <row r="496" customFormat="false" ht="15" hidden="false" customHeight="false" outlineLevel="0" collapsed="false">
      <c r="A496" s="16"/>
      <c r="D496" s="12" t="str">
        <f aca="false">IF(C496="","",IFERROR(INDEX(Recipes!$B:$B,MATCH(C496,Recipes!$A:$A,0)),"⚠ unknown recipe_id"))</f>
        <v/>
      </c>
      <c r="K496" s="12" t="str">
        <f aca="false">IF(C496="","",IFERROR(INDEX(Recipes!$C:$C,MATCH(C496,Recipes!$A:$A,0)),""))</f>
        <v/>
      </c>
      <c r="L496" s="12" t="str">
        <f aca="false">IF(AND(A496='Grocery List'!$B$3,E496="Yes"),COUNTIFS($A$4:A496,'Grocery List'!$B$3,$E$4:E496,"Yes"),"")</f>
        <v/>
      </c>
    </row>
    <row r="497" customFormat="false" ht="15" hidden="false" customHeight="false" outlineLevel="0" collapsed="false">
      <c r="A497" s="16"/>
      <c r="D497" s="12" t="str">
        <f aca="false">IF(C497="","",IFERROR(INDEX(Recipes!$B:$B,MATCH(C497,Recipes!$A:$A,0)),"⚠ unknown recipe_id"))</f>
        <v/>
      </c>
      <c r="K497" s="12" t="str">
        <f aca="false">IF(C497="","",IFERROR(INDEX(Recipes!$C:$C,MATCH(C497,Recipes!$A:$A,0)),""))</f>
        <v/>
      </c>
      <c r="L497" s="12" t="str">
        <f aca="false">IF(AND(A497='Grocery List'!$B$3,E497="Yes"),COUNTIFS($A$4:A497,'Grocery List'!$B$3,$E$4:E497,"Yes"),"")</f>
        <v/>
      </c>
    </row>
    <row r="498" customFormat="false" ht="15" hidden="false" customHeight="false" outlineLevel="0" collapsed="false">
      <c r="A498" s="16"/>
      <c r="D498" s="12" t="str">
        <f aca="false">IF(C498="","",IFERROR(INDEX(Recipes!$B:$B,MATCH(C498,Recipes!$A:$A,0)),"⚠ unknown recipe_id"))</f>
        <v/>
      </c>
      <c r="K498" s="12" t="str">
        <f aca="false">IF(C498="","",IFERROR(INDEX(Recipes!$C:$C,MATCH(C498,Recipes!$A:$A,0)),""))</f>
        <v/>
      </c>
      <c r="L498" s="12" t="str">
        <f aca="false">IF(AND(A498='Grocery List'!$B$3,E498="Yes"),COUNTIFS($A$4:A498,'Grocery List'!$B$3,$E$4:E498,"Yes"),"")</f>
        <v/>
      </c>
    </row>
    <row r="499" customFormat="false" ht="15" hidden="false" customHeight="false" outlineLevel="0" collapsed="false">
      <c r="A499" s="16"/>
      <c r="D499" s="12" t="str">
        <f aca="false">IF(C499="","",IFERROR(INDEX(Recipes!$B:$B,MATCH(C499,Recipes!$A:$A,0)),"⚠ unknown recipe_id"))</f>
        <v/>
      </c>
      <c r="K499" s="12" t="str">
        <f aca="false">IF(C499="","",IFERROR(INDEX(Recipes!$C:$C,MATCH(C499,Recipes!$A:$A,0)),""))</f>
        <v/>
      </c>
      <c r="L499" s="12" t="str">
        <f aca="false">IF(AND(A499='Grocery List'!$B$3,E499="Yes"),COUNTIFS($A$4:A499,'Grocery List'!$B$3,$E$4:E499,"Yes"),"")</f>
        <v/>
      </c>
    </row>
    <row r="500" customFormat="false" ht="15" hidden="false" customHeight="false" outlineLevel="0" collapsed="false">
      <c r="A500" s="16"/>
      <c r="D500" s="12" t="str">
        <f aca="false">IF(C500="","",IFERROR(INDEX(Recipes!$B:$B,MATCH(C500,Recipes!$A:$A,0)),"⚠ unknown recipe_id"))</f>
        <v/>
      </c>
      <c r="K500" s="12" t="str">
        <f aca="false">IF(C500="","",IFERROR(INDEX(Recipes!$C:$C,MATCH(C500,Recipes!$A:$A,0)),""))</f>
        <v/>
      </c>
      <c r="L500" s="12" t="str">
        <f aca="false">IF(AND(A500='Grocery List'!$B$3,E500="Yes"),COUNTIFS($A$4:A500,'Grocery List'!$B$3,$E$4:E500,"Yes"),"")</f>
        <v/>
      </c>
    </row>
    <row r="501" customFormat="false" ht="15" hidden="false" customHeight="false" outlineLevel="0" collapsed="false">
      <c r="A501" s="16"/>
      <c r="D501" s="12" t="str">
        <f aca="false">IF(C501="","",IFERROR(INDEX(Recipes!$B:$B,MATCH(C501,Recipes!$A:$A,0)),"⚠ unknown recipe_id"))</f>
        <v/>
      </c>
      <c r="K501" s="12" t="str">
        <f aca="false">IF(C501="","",IFERROR(INDEX(Recipes!$C:$C,MATCH(C501,Recipes!$A:$A,0)),""))</f>
        <v/>
      </c>
      <c r="L501" s="12" t="str">
        <f aca="false">IF(AND(A501='Grocery List'!$B$3,E501="Yes"),COUNTIFS($A$4:A501,'Grocery List'!$B$3,$E$4:E501,"Yes"),"")</f>
        <v/>
      </c>
    </row>
    <row r="502" customFormat="false" ht="15" hidden="false" customHeight="false" outlineLevel="0" collapsed="false">
      <c r="A502" s="16"/>
      <c r="D502" s="12" t="str">
        <f aca="false">IF(C502="","",IFERROR(INDEX(Recipes!$B:$B,MATCH(C502,Recipes!$A:$A,0)),"⚠ unknown recipe_id"))</f>
        <v/>
      </c>
      <c r="K502" s="12" t="str">
        <f aca="false">IF(C502="","",IFERROR(INDEX(Recipes!$C:$C,MATCH(C502,Recipes!$A:$A,0)),""))</f>
        <v/>
      </c>
      <c r="L502" s="12" t="str">
        <f aca="false">IF(AND(A502='Grocery List'!$B$3,E502="Yes"),COUNTIFS($A$4:A502,'Grocery List'!$B$3,$E$4:E502,"Yes"),"")</f>
        <v/>
      </c>
    </row>
    <row r="503" customFormat="false" ht="15" hidden="false" customHeight="false" outlineLevel="0" collapsed="false">
      <c r="A503" s="16"/>
      <c r="D503" s="12" t="str">
        <f aca="false">IF(C503="","",IFERROR(INDEX(Recipes!$B:$B,MATCH(C503,Recipes!$A:$A,0)),"⚠ unknown recipe_id"))</f>
        <v/>
      </c>
      <c r="K503" s="12" t="str">
        <f aca="false">IF(C503="","",IFERROR(INDEX(Recipes!$C:$C,MATCH(C503,Recipes!$A:$A,0)),""))</f>
        <v/>
      </c>
      <c r="L503" s="12" t="str">
        <f aca="false">IF(AND(A503='Grocery List'!$B$3,E503="Yes"),COUNTIFS($A$4:A503,'Grocery List'!$B$3,$E$4:E503,"Yes"),"")</f>
        <v/>
      </c>
    </row>
    <row r="504" customFormat="false" ht="15" hidden="false" customHeight="false" outlineLevel="0" collapsed="false">
      <c r="A504" s="16"/>
      <c r="D504" s="12" t="str">
        <f aca="false">IF(C504="","",IFERROR(INDEX(Recipes!$B:$B,MATCH(C504,Recipes!$A:$A,0)),"⚠ unknown recipe_id"))</f>
        <v/>
      </c>
      <c r="K504" s="12" t="str">
        <f aca="false">IF(C504="","",IFERROR(INDEX(Recipes!$C:$C,MATCH(C504,Recipes!$A:$A,0)),""))</f>
        <v/>
      </c>
      <c r="L504" s="12" t="str">
        <f aca="false">IF(AND(A504='Grocery List'!$B$3,E504="Yes"),COUNTIFS($A$4:A504,'Grocery List'!$B$3,$E$4:E504,"Yes"),"")</f>
        <v/>
      </c>
    </row>
    <row r="505" customFormat="false" ht="15" hidden="false" customHeight="false" outlineLevel="0" collapsed="false">
      <c r="A505" s="16"/>
      <c r="D505" s="12" t="str">
        <f aca="false">IF(C505="","",IFERROR(INDEX(Recipes!$B:$B,MATCH(C505,Recipes!$A:$A,0)),"⚠ unknown recipe_id"))</f>
        <v/>
      </c>
      <c r="K505" s="12" t="str">
        <f aca="false">IF(C505="","",IFERROR(INDEX(Recipes!$C:$C,MATCH(C505,Recipes!$A:$A,0)),""))</f>
        <v/>
      </c>
      <c r="L505" s="12" t="str">
        <f aca="false">IF(AND(A505='Grocery List'!$B$3,E505="Yes"),COUNTIFS($A$4:A505,'Grocery List'!$B$3,$E$4:E505,"Yes"),"")</f>
        <v/>
      </c>
    </row>
    <row r="506" customFormat="false" ht="15" hidden="false" customHeight="false" outlineLevel="0" collapsed="false">
      <c r="A506" s="16"/>
      <c r="D506" s="12" t="str">
        <f aca="false">IF(C506="","",IFERROR(INDEX(Recipes!$B:$B,MATCH(C506,Recipes!$A:$A,0)),"⚠ unknown recipe_id"))</f>
        <v/>
      </c>
      <c r="K506" s="12" t="str">
        <f aca="false">IF(C506="","",IFERROR(INDEX(Recipes!$C:$C,MATCH(C506,Recipes!$A:$A,0)),""))</f>
        <v/>
      </c>
      <c r="L506" s="12" t="str">
        <f aca="false">IF(AND(A506='Grocery List'!$B$3,E506="Yes"),COUNTIFS($A$4:A506,'Grocery List'!$B$3,$E$4:E506,"Yes"),"")</f>
        <v/>
      </c>
    </row>
    <row r="507" customFormat="false" ht="15" hidden="false" customHeight="false" outlineLevel="0" collapsed="false">
      <c r="A507" s="16"/>
      <c r="D507" s="12" t="str">
        <f aca="false">IF(C507="","",IFERROR(INDEX(Recipes!$B:$B,MATCH(C507,Recipes!$A:$A,0)),"⚠ unknown recipe_id"))</f>
        <v/>
      </c>
      <c r="K507" s="12" t="str">
        <f aca="false">IF(C507="","",IFERROR(INDEX(Recipes!$C:$C,MATCH(C507,Recipes!$A:$A,0)),""))</f>
        <v/>
      </c>
      <c r="L507" s="12" t="str">
        <f aca="false">IF(AND(A507='Grocery List'!$B$3,E507="Yes"),COUNTIFS($A$4:A507,'Grocery List'!$B$3,$E$4:E507,"Yes"),"")</f>
        <v/>
      </c>
    </row>
    <row r="508" customFormat="false" ht="15" hidden="false" customHeight="false" outlineLevel="0" collapsed="false">
      <c r="A508" s="16"/>
      <c r="D508" s="12" t="str">
        <f aca="false">IF(C508="","",IFERROR(INDEX(Recipes!$B:$B,MATCH(C508,Recipes!$A:$A,0)),"⚠ unknown recipe_id"))</f>
        <v/>
      </c>
      <c r="K508" s="12" t="str">
        <f aca="false">IF(C508="","",IFERROR(INDEX(Recipes!$C:$C,MATCH(C508,Recipes!$A:$A,0)),""))</f>
        <v/>
      </c>
      <c r="L508" s="12" t="str">
        <f aca="false">IF(AND(A508='Grocery List'!$B$3,E508="Yes"),COUNTIFS($A$4:A508,'Grocery List'!$B$3,$E$4:E508,"Yes"),"")</f>
        <v/>
      </c>
    </row>
    <row r="509" customFormat="false" ht="15" hidden="false" customHeight="false" outlineLevel="0" collapsed="false">
      <c r="A509" s="16"/>
      <c r="D509" s="12" t="str">
        <f aca="false">IF(C509="","",IFERROR(INDEX(Recipes!$B:$B,MATCH(C509,Recipes!$A:$A,0)),"⚠ unknown recipe_id"))</f>
        <v/>
      </c>
      <c r="K509" s="12" t="str">
        <f aca="false">IF(C509="","",IFERROR(INDEX(Recipes!$C:$C,MATCH(C509,Recipes!$A:$A,0)),""))</f>
        <v/>
      </c>
      <c r="L509" s="12" t="str">
        <f aca="false">IF(AND(A509='Grocery List'!$B$3,E509="Yes"),COUNTIFS($A$4:A509,'Grocery List'!$B$3,$E$4:E509,"Yes"),"")</f>
        <v/>
      </c>
    </row>
    <row r="510" customFormat="false" ht="15" hidden="false" customHeight="false" outlineLevel="0" collapsed="false">
      <c r="A510" s="16"/>
      <c r="D510" s="12" t="str">
        <f aca="false">IF(C510="","",IFERROR(INDEX(Recipes!$B:$B,MATCH(C510,Recipes!$A:$A,0)),"⚠ unknown recipe_id"))</f>
        <v/>
      </c>
      <c r="K510" s="12" t="str">
        <f aca="false">IF(C510="","",IFERROR(INDEX(Recipes!$C:$C,MATCH(C510,Recipes!$A:$A,0)),""))</f>
        <v/>
      </c>
      <c r="L510" s="12" t="str">
        <f aca="false">IF(AND(A510='Grocery List'!$B$3,E510="Yes"),COUNTIFS($A$4:A510,'Grocery List'!$B$3,$E$4:E510,"Yes"),"")</f>
        <v/>
      </c>
    </row>
    <row r="511" customFormat="false" ht="15" hidden="false" customHeight="false" outlineLevel="0" collapsed="false">
      <c r="A511" s="16"/>
      <c r="D511" s="12" t="str">
        <f aca="false">IF(C511="","",IFERROR(INDEX(Recipes!$B:$B,MATCH(C511,Recipes!$A:$A,0)),"⚠ unknown recipe_id"))</f>
        <v/>
      </c>
      <c r="K511" s="12" t="str">
        <f aca="false">IF(C511="","",IFERROR(INDEX(Recipes!$C:$C,MATCH(C511,Recipes!$A:$A,0)),""))</f>
        <v/>
      </c>
      <c r="L511" s="12" t="str">
        <f aca="false">IF(AND(A511='Grocery List'!$B$3,E511="Yes"),COUNTIFS($A$4:A511,'Grocery List'!$B$3,$E$4:E511,"Yes"),"")</f>
        <v/>
      </c>
    </row>
    <row r="512" customFormat="false" ht="15" hidden="false" customHeight="false" outlineLevel="0" collapsed="false">
      <c r="A512" s="16"/>
      <c r="D512" s="12" t="str">
        <f aca="false">IF(C512="","",IFERROR(INDEX(Recipes!$B:$B,MATCH(C512,Recipes!$A:$A,0)),"⚠ unknown recipe_id"))</f>
        <v/>
      </c>
      <c r="K512" s="12" t="str">
        <f aca="false">IF(C512="","",IFERROR(INDEX(Recipes!$C:$C,MATCH(C512,Recipes!$A:$A,0)),""))</f>
        <v/>
      </c>
      <c r="L512" s="12" t="str">
        <f aca="false">IF(AND(A512='Grocery List'!$B$3,E512="Yes"),COUNTIFS($A$4:A512,'Grocery List'!$B$3,$E$4:E512,"Yes"),"")</f>
        <v/>
      </c>
    </row>
    <row r="513" customFormat="false" ht="15" hidden="false" customHeight="false" outlineLevel="0" collapsed="false">
      <c r="A513" s="16"/>
      <c r="D513" s="12" t="str">
        <f aca="false">IF(C513="","",IFERROR(INDEX(Recipes!$B:$B,MATCH(C513,Recipes!$A:$A,0)),"⚠ unknown recipe_id"))</f>
        <v/>
      </c>
      <c r="K513" s="12" t="str">
        <f aca="false">IF(C513="","",IFERROR(INDEX(Recipes!$C:$C,MATCH(C513,Recipes!$A:$A,0)),""))</f>
        <v/>
      </c>
      <c r="L513" s="12" t="str">
        <f aca="false">IF(AND(A513='Grocery List'!$B$3,E513="Yes"),COUNTIFS($A$4:A513,'Grocery List'!$B$3,$E$4:E513,"Yes"),"")</f>
        <v/>
      </c>
    </row>
    <row r="514" customFormat="false" ht="15" hidden="false" customHeight="false" outlineLevel="0" collapsed="false">
      <c r="A514" s="16"/>
      <c r="D514" s="12" t="str">
        <f aca="false">IF(C514="","",IFERROR(INDEX(Recipes!$B:$B,MATCH(C514,Recipes!$A:$A,0)),"⚠ unknown recipe_id"))</f>
        <v/>
      </c>
      <c r="K514" s="12" t="str">
        <f aca="false">IF(C514="","",IFERROR(INDEX(Recipes!$C:$C,MATCH(C514,Recipes!$A:$A,0)),""))</f>
        <v/>
      </c>
      <c r="L514" s="12" t="str">
        <f aca="false">IF(AND(A514='Grocery List'!$B$3,E514="Yes"),COUNTIFS($A$4:A514,'Grocery List'!$B$3,$E$4:E514,"Yes"),"")</f>
        <v/>
      </c>
    </row>
    <row r="515" customFormat="false" ht="15" hidden="false" customHeight="false" outlineLevel="0" collapsed="false">
      <c r="A515" s="16"/>
      <c r="D515" s="12" t="str">
        <f aca="false">IF(C515="","",IFERROR(INDEX(Recipes!$B:$B,MATCH(C515,Recipes!$A:$A,0)),"⚠ unknown recipe_id"))</f>
        <v/>
      </c>
      <c r="K515" s="12" t="str">
        <f aca="false">IF(C515="","",IFERROR(INDEX(Recipes!$C:$C,MATCH(C515,Recipes!$A:$A,0)),""))</f>
        <v/>
      </c>
      <c r="L515" s="12" t="str">
        <f aca="false">IF(AND(A515='Grocery List'!$B$3,E515="Yes"),COUNTIFS($A$4:A515,'Grocery List'!$B$3,$E$4:E515,"Yes"),"")</f>
        <v/>
      </c>
    </row>
    <row r="516" customFormat="false" ht="15" hidden="false" customHeight="false" outlineLevel="0" collapsed="false">
      <c r="A516" s="16"/>
      <c r="D516" s="12" t="str">
        <f aca="false">IF(C516="","",IFERROR(INDEX(Recipes!$B:$B,MATCH(C516,Recipes!$A:$A,0)),"⚠ unknown recipe_id"))</f>
        <v/>
      </c>
      <c r="K516" s="12" t="str">
        <f aca="false">IF(C516="","",IFERROR(INDEX(Recipes!$C:$C,MATCH(C516,Recipes!$A:$A,0)),""))</f>
        <v/>
      </c>
      <c r="L516" s="12" t="str">
        <f aca="false">IF(AND(A516='Grocery List'!$B$3,E516="Yes"),COUNTIFS($A$4:A516,'Grocery List'!$B$3,$E$4:E516,"Yes"),"")</f>
        <v/>
      </c>
    </row>
    <row r="517" customFormat="false" ht="15" hidden="false" customHeight="false" outlineLevel="0" collapsed="false">
      <c r="A517" s="16"/>
      <c r="D517" s="12" t="str">
        <f aca="false">IF(C517="","",IFERROR(INDEX(Recipes!$B:$B,MATCH(C517,Recipes!$A:$A,0)),"⚠ unknown recipe_id"))</f>
        <v/>
      </c>
      <c r="K517" s="12" t="str">
        <f aca="false">IF(C517="","",IFERROR(INDEX(Recipes!$C:$C,MATCH(C517,Recipes!$A:$A,0)),""))</f>
        <v/>
      </c>
      <c r="L517" s="12" t="str">
        <f aca="false">IF(AND(A517='Grocery List'!$B$3,E517="Yes"),COUNTIFS($A$4:A517,'Grocery List'!$B$3,$E$4:E517,"Yes"),"")</f>
        <v/>
      </c>
    </row>
    <row r="518" customFormat="false" ht="15" hidden="false" customHeight="false" outlineLevel="0" collapsed="false">
      <c r="A518" s="16"/>
      <c r="D518" s="12" t="str">
        <f aca="false">IF(C518="","",IFERROR(INDEX(Recipes!$B:$B,MATCH(C518,Recipes!$A:$A,0)),"⚠ unknown recipe_id"))</f>
        <v/>
      </c>
      <c r="K518" s="12" t="str">
        <f aca="false">IF(C518="","",IFERROR(INDEX(Recipes!$C:$C,MATCH(C518,Recipes!$A:$A,0)),""))</f>
        <v/>
      </c>
      <c r="L518" s="12" t="str">
        <f aca="false">IF(AND(A518='Grocery List'!$B$3,E518="Yes"),COUNTIFS($A$4:A518,'Grocery List'!$B$3,$E$4:E518,"Yes"),"")</f>
        <v/>
      </c>
    </row>
    <row r="519" customFormat="false" ht="15" hidden="false" customHeight="false" outlineLevel="0" collapsed="false">
      <c r="A519" s="16"/>
      <c r="D519" s="12" t="str">
        <f aca="false">IF(C519="","",IFERROR(INDEX(Recipes!$B:$B,MATCH(C519,Recipes!$A:$A,0)),"⚠ unknown recipe_id"))</f>
        <v/>
      </c>
      <c r="K519" s="12" t="str">
        <f aca="false">IF(C519="","",IFERROR(INDEX(Recipes!$C:$C,MATCH(C519,Recipes!$A:$A,0)),""))</f>
        <v/>
      </c>
      <c r="L519" s="12" t="str">
        <f aca="false">IF(AND(A519='Grocery List'!$B$3,E519="Yes"),COUNTIFS($A$4:A519,'Grocery List'!$B$3,$E$4:E519,"Yes"),"")</f>
        <v/>
      </c>
    </row>
    <row r="520" customFormat="false" ht="15" hidden="false" customHeight="false" outlineLevel="0" collapsed="false">
      <c r="A520" s="16"/>
      <c r="D520" s="12" t="str">
        <f aca="false">IF(C520="","",IFERROR(INDEX(Recipes!$B:$B,MATCH(C520,Recipes!$A:$A,0)),"⚠ unknown recipe_id"))</f>
        <v/>
      </c>
      <c r="K520" s="12" t="str">
        <f aca="false">IF(C520="","",IFERROR(INDEX(Recipes!$C:$C,MATCH(C520,Recipes!$A:$A,0)),""))</f>
        <v/>
      </c>
      <c r="L520" s="12" t="str">
        <f aca="false">IF(AND(A520='Grocery List'!$B$3,E520="Yes"),COUNTIFS($A$4:A520,'Grocery List'!$B$3,$E$4:E520,"Yes"),"")</f>
        <v/>
      </c>
    </row>
    <row r="521" customFormat="false" ht="15" hidden="false" customHeight="false" outlineLevel="0" collapsed="false">
      <c r="A521" s="16"/>
      <c r="D521" s="12" t="str">
        <f aca="false">IF(C521="","",IFERROR(INDEX(Recipes!$B:$B,MATCH(C521,Recipes!$A:$A,0)),"⚠ unknown recipe_id"))</f>
        <v/>
      </c>
      <c r="K521" s="12" t="str">
        <f aca="false">IF(C521="","",IFERROR(INDEX(Recipes!$C:$C,MATCH(C521,Recipes!$A:$A,0)),""))</f>
        <v/>
      </c>
      <c r="L521" s="12" t="str">
        <f aca="false">IF(AND(A521='Grocery List'!$B$3,E521="Yes"),COUNTIFS($A$4:A521,'Grocery List'!$B$3,$E$4:E521,"Yes"),"")</f>
        <v/>
      </c>
    </row>
    <row r="522" customFormat="false" ht="15" hidden="false" customHeight="false" outlineLevel="0" collapsed="false">
      <c r="A522" s="16"/>
      <c r="D522" s="12" t="str">
        <f aca="false">IF(C522="","",IFERROR(INDEX(Recipes!$B:$B,MATCH(C522,Recipes!$A:$A,0)),"⚠ unknown recipe_id"))</f>
        <v/>
      </c>
      <c r="K522" s="12" t="str">
        <f aca="false">IF(C522="","",IFERROR(INDEX(Recipes!$C:$C,MATCH(C522,Recipes!$A:$A,0)),""))</f>
        <v/>
      </c>
      <c r="L522" s="12" t="str">
        <f aca="false">IF(AND(A522='Grocery List'!$B$3,E522="Yes"),COUNTIFS($A$4:A522,'Grocery List'!$B$3,$E$4:E522,"Yes"),"")</f>
        <v/>
      </c>
    </row>
    <row r="523" customFormat="false" ht="15" hidden="false" customHeight="false" outlineLevel="0" collapsed="false">
      <c r="A523" s="16"/>
      <c r="D523" s="12" t="str">
        <f aca="false">IF(C523="","",IFERROR(INDEX(Recipes!$B:$B,MATCH(C523,Recipes!$A:$A,0)),"⚠ unknown recipe_id"))</f>
        <v/>
      </c>
      <c r="K523" s="12" t="str">
        <f aca="false">IF(C523="","",IFERROR(INDEX(Recipes!$C:$C,MATCH(C523,Recipes!$A:$A,0)),""))</f>
        <v/>
      </c>
      <c r="L523" s="12" t="str">
        <f aca="false">IF(AND(A523='Grocery List'!$B$3,E523="Yes"),COUNTIFS($A$4:A523,'Grocery List'!$B$3,$E$4:E523,"Yes"),"")</f>
        <v/>
      </c>
    </row>
    <row r="524" customFormat="false" ht="15" hidden="false" customHeight="false" outlineLevel="0" collapsed="false">
      <c r="A524" s="16"/>
      <c r="D524" s="12" t="str">
        <f aca="false">IF(C524="","",IFERROR(INDEX(Recipes!$B:$B,MATCH(C524,Recipes!$A:$A,0)),"⚠ unknown recipe_id"))</f>
        <v/>
      </c>
      <c r="K524" s="12" t="str">
        <f aca="false">IF(C524="","",IFERROR(INDEX(Recipes!$C:$C,MATCH(C524,Recipes!$A:$A,0)),""))</f>
        <v/>
      </c>
      <c r="L524" s="12" t="str">
        <f aca="false">IF(AND(A524='Grocery List'!$B$3,E524="Yes"),COUNTIFS($A$4:A524,'Grocery List'!$B$3,$E$4:E524,"Yes"),"")</f>
        <v/>
      </c>
    </row>
    <row r="525" customFormat="false" ht="15" hidden="false" customHeight="false" outlineLevel="0" collapsed="false">
      <c r="A525" s="16"/>
      <c r="D525" s="12" t="str">
        <f aca="false">IF(C525="","",IFERROR(INDEX(Recipes!$B:$B,MATCH(C525,Recipes!$A:$A,0)),"⚠ unknown recipe_id"))</f>
        <v/>
      </c>
      <c r="K525" s="12" t="str">
        <f aca="false">IF(C525="","",IFERROR(INDEX(Recipes!$C:$C,MATCH(C525,Recipes!$A:$A,0)),""))</f>
        <v/>
      </c>
      <c r="L525" s="12" t="str">
        <f aca="false">IF(AND(A525='Grocery List'!$B$3,E525="Yes"),COUNTIFS($A$4:A525,'Grocery List'!$B$3,$E$4:E525,"Yes"),"")</f>
        <v/>
      </c>
    </row>
    <row r="526" customFormat="false" ht="15" hidden="false" customHeight="false" outlineLevel="0" collapsed="false">
      <c r="A526" s="16"/>
      <c r="D526" s="12" t="str">
        <f aca="false">IF(C526="","",IFERROR(INDEX(Recipes!$B:$B,MATCH(C526,Recipes!$A:$A,0)),"⚠ unknown recipe_id"))</f>
        <v/>
      </c>
      <c r="K526" s="12" t="str">
        <f aca="false">IF(C526="","",IFERROR(INDEX(Recipes!$C:$C,MATCH(C526,Recipes!$A:$A,0)),""))</f>
        <v/>
      </c>
      <c r="L526" s="12" t="str">
        <f aca="false">IF(AND(A526='Grocery List'!$B$3,E526="Yes"),COUNTIFS($A$4:A526,'Grocery List'!$B$3,$E$4:E526,"Yes"),"")</f>
        <v/>
      </c>
    </row>
    <row r="527" customFormat="false" ht="15" hidden="false" customHeight="false" outlineLevel="0" collapsed="false">
      <c r="A527" s="16"/>
      <c r="D527" s="12" t="str">
        <f aca="false">IF(C527="","",IFERROR(INDEX(Recipes!$B:$B,MATCH(C527,Recipes!$A:$A,0)),"⚠ unknown recipe_id"))</f>
        <v/>
      </c>
      <c r="K527" s="12" t="str">
        <f aca="false">IF(C527="","",IFERROR(INDEX(Recipes!$C:$C,MATCH(C527,Recipes!$A:$A,0)),""))</f>
        <v/>
      </c>
      <c r="L527" s="12" t="str">
        <f aca="false">IF(AND(A527='Grocery List'!$B$3,E527="Yes"),COUNTIFS($A$4:A527,'Grocery List'!$B$3,$E$4:E527,"Yes"),"")</f>
        <v/>
      </c>
    </row>
    <row r="528" customFormat="false" ht="15" hidden="false" customHeight="false" outlineLevel="0" collapsed="false">
      <c r="A528" s="16"/>
      <c r="D528" s="12" t="str">
        <f aca="false">IF(C528="","",IFERROR(INDEX(Recipes!$B:$B,MATCH(C528,Recipes!$A:$A,0)),"⚠ unknown recipe_id"))</f>
        <v/>
      </c>
      <c r="K528" s="12" t="str">
        <f aca="false">IF(C528="","",IFERROR(INDEX(Recipes!$C:$C,MATCH(C528,Recipes!$A:$A,0)),""))</f>
        <v/>
      </c>
      <c r="L528" s="12" t="str">
        <f aca="false">IF(AND(A528='Grocery List'!$B$3,E528="Yes"),COUNTIFS($A$4:A528,'Grocery List'!$B$3,$E$4:E528,"Yes"),"")</f>
        <v/>
      </c>
    </row>
    <row r="529" customFormat="false" ht="15" hidden="false" customHeight="false" outlineLevel="0" collapsed="false">
      <c r="A529" s="16"/>
      <c r="D529" s="12" t="str">
        <f aca="false">IF(C529="","",IFERROR(INDEX(Recipes!$B:$B,MATCH(C529,Recipes!$A:$A,0)),"⚠ unknown recipe_id"))</f>
        <v/>
      </c>
      <c r="K529" s="12" t="str">
        <f aca="false">IF(C529="","",IFERROR(INDEX(Recipes!$C:$C,MATCH(C529,Recipes!$A:$A,0)),""))</f>
        <v/>
      </c>
      <c r="L529" s="12" t="str">
        <f aca="false">IF(AND(A529='Grocery List'!$B$3,E529="Yes"),COUNTIFS($A$4:A529,'Grocery List'!$B$3,$E$4:E529,"Yes"),"")</f>
        <v/>
      </c>
    </row>
    <row r="530" customFormat="false" ht="15" hidden="false" customHeight="false" outlineLevel="0" collapsed="false">
      <c r="A530" s="16"/>
      <c r="D530" s="12" t="str">
        <f aca="false">IF(C530="","",IFERROR(INDEX(Recipes!$B:$B,MATCH(C530,Recipes!$A:$A,0)),"⚠ unknown recipe_id"))</f>
        <v/>
      </c>
      <c r="K530" s="12" t="str">
        <f aca="false">IF(C530="","",IFERROR(INDEX(Recipes!$C:$C,MATCH(C530,Recipes!$A:$A,0)),""))</f>
        <v/>
      </c>
      <c r="L530" s="12" t="str">
        <f aca="false">IF(AND(A530='Grocery List'!$B$3,E530="Yes"),COUNTIFS($A$4:A530,'Grocery List'!$B$3,$E$4:E530,"Yes"),"")</f>
        <v/>
      </c>
    </row>
    <row r="531" customFormat="false" ht="15" hidden="false" customHeight="false" outlineLevel="0" collapsed="false">
      <c r="A531" s="16"/>
      <c r="D531" s="12" t="str">
        <f aca="false">IF(C531="","",IFERROR(INDEX(Recipes!$B:$B,MATCH(C531,Recipes!$A:$A,0)),"⚠ unknown recipe_id"))</f>
        <v/>
      </c>
      <c r="K531" s="12" t="str">
        <f aca="false">IF(C531="","",IFERROR(INDEX(Recipes!$C:$C,MATCH(C531,Recipes!$A:$A,0)),""))</f>
        <v/>
      </c>
      <c r="L531" s="12" t="str">
        <f aca="false">IF(AND(A531='Grocery List'!$B$3,E531="Yes"),COUNTIFS($A$4:A531,'Grocery List'!$B$3,$E$4:E531,"Yes"),"")</f>
        <v/>
      </c>
    </row>
    <row r="532" customFormat="false" ht="15" hidden="false" customHeight="false" outlineLevel="0" collapsed="false">
      <c r="A532" s="16"/>
      <c r="D532" s="12" t="str">
        <f aca="false">IF(C532="","",IFERROR(INDEX(Recipes!$B:$B,MATCH(C532,Recipes!$A:$A,0)),"⚠ unknown recipe_id"))</f>
        <v/>
      </c>
      <c r="K532" s="12" t="str">
        <f aca="false">IF(C532="","",IFERROR(INDEX(Recipes!$C:$C,MATCH(C532,Recipes!$A:$A,0)),""))</f>
        <v/>
      </c>
      <c r="L532" s="12" t="str">
        <f aca="false">IF(AND(A532='Grocery List'!$B$3,E532="Yes"),COUNTIFS($A$4:A532,'Grocery List'!$B$3,$E$4:E532,"Yes"),"")</f>
        <v/>
      </c>
    </row>
    <row r="533" customFormat="false" ht="15" hidden="false" customHeight="false" outlineLevel="0" collapsed="false">
      <c r="A533" s="16"/>
      <c r="D533" s="12" t="str">
        <f aca="false">IF(C533="","",IFERROR(INDEX(Recipes!$B:$B,MATCH(C533,Recipes!$A:$A,0)),"⚠ unknown recipe_id"))</f>
        <v/>
      </c>
      <c r="K533" s="12" t="str">
        <f aca="false">IF(C533="","",IFERROR(INDEX(Recipes!$C:$C,MATCH(C533,Recipes!$A:$A,0)),""))</f>
        <v/>
      </c>
      <c r="L533" s="12" t="str">
        <f aca="false">IF(AND(A533='Grocery List'!$B$3,E533="Yes"),COUNTIFS($A$4:A533,'Grocery List'!$B$3,$E$4:E533,"Yes"),"")</f>
        <v/>
      </c>
    </row>
    <row r="534" customFormat="false" ht="15" hidden="false" customHeight="false" outlineLevel="0" collapsed="false">
      <c r="A534" s="16"/>
      <c r="D534" s="12" t="str">
        <f aca="false">IF(C534="","",IFERROR(INDEX(Recipes!$B:$B,MATCH(C534,Recipes!$A:$A,0)),"⚠ unknown recipe_id"))</f>
        <v/>
      </c>
      <c r="K534" s="12" t="str">
        <f aca="false">IF(C534="","",IFERROR(INDEX(Recipes!$C:$C,MATCH(C534,Recipes!$A:$A,0)),""))</f>
        <v/>
      </c>
      <c r="L534" s="12" t="str">
        <f aca="false">IF(AND(A534='Grocery List'!$B$3,E534="Yes"),COUNTIFS($A$4:A534,'Grocery List'!$B$3,$E$4:E534,"Yes"),"")</f>
        <v/>
      </c>
    </row>
    <row r="535" customFormat="false" ht="15" hidden="false" customHeight="false" outlineLevel="0" collapsed="false">
      <c r="A535" s="16"/>
      <c r="D535" s="12" t="str">
        <f aca="false">IF(C535="","",IFERROR(INDEX(Recipes!$B:$B,MATCH(C535,Recipes!$A:$A,0)),"⚠ unknown recipe_id"))</f>
        <v/>
      </c>
      <c r="K535" s="12" t="str">
        <f aca="false">IF(C535="","",IFERROR(INDEX(Recipes!$C:$C,MATCH(C535,Recipes!$A:$A,0)),""))</f>
        <v/>
      </c>
      <c r="L535" s="12" t="str">
        <f aca="false">IF(AND(A535='Grocery List'!$B$3,E535="Yes"),COUNTIFS($A$4:A535,'Grocery List'!$B$3,$E$4:E535,"Yes"),"")</f>
        <v/>
      </c>
    </row>
    <row r="536" customFormat="false" ht="15" hidden="false" customHeight="false" outlineLevel="0" collapsed="false">
      <c r="A536" s="16"/>
      <c r="D536" s="12" t="str">
        <f aca="false">IF(C536="","",IFERROR(INDEX(Recipes!$B:$B,MATCH(C536,Recipes!$A:$A,0)),"⚠ unknown recipe_id"))</f>
        <v/>
      </c>
      <c r="K536" s="12" t="str">
        <f aca="false">IF(C536="","",IFERROR(INDEX(Recipes!$C:$C,MATCH(C536,Recipes!$A:$A,0)),""))</f>
        <v/>
      </c>
      <c r="L536" s="12" t="str">
        <f aca="false">IF(AND(A536='Grocery List'!$B$3,E536="Yes"),COUNTIFS($A$4:A536,'Grocery List'!$B$3,$E$4:E536,"Yes"),"")</f>
        <v/>
      </c>
    </row>
    <row r="537" customFormat="false" ht="15" hidden="false" customHeight="false" outlineLevel="0" collapsed="false">
      <c r="A537" s="16"/>
      <c r="D537" s="12" t="str">
        <f aca="false">IF(C537="","",IFERROR(INDEX(Recipes!$B:$B,MATCH(C537,Recipes!$A:$A,0)),"⚠ unknown recipe_id"))</f>
        <v/>
      </c>
      <c r="K537" s="12" t="str">
        <f aca="false">IF(C537="","",IFERROR(INDEX(Recipes!$C:$C,MATCH(C537,Recipes!$A:$A,0)),""))</f>
        <v/>
      </c>
      <c r="L537" s="12" t="str">
        <f aca="false">IF(AND(A537='Grocery List'!$B$3,E537="Yes"),COUNTIFS($A$4:A537,'Grocery List'!$B$3,$E$4:E537,"Yes"),"")</f>
        <v/>
      </c>
    </row>
    <row r="538" customFormat="false" ht="15" hidden="false" customHeight="false" outlineLevel="0" collapsed="false">
      <c r="A538" s="16"/>
      <c r="D538" s="12" t="str">
        <f aca="false">IF(C538="","",IFERROR(INDEX(Recipes!$B:$B,MATCH(C538,Recipes!$A:$A,0)),"⚠ unknown recipe_id"))</f>
        <v/>
      </c>
      <c r="K538" s="12" t="str">
        <f aca="false">IF(C538="","",IFERROR(INDEX(Recipes!$C:$C,MATCH(C538,Recipes!$A:$A,0)),""))</f>
        <v/>
      </c>
      <c r="L538" s="12" t="str">
        <f aca="false">IF(AND(A538='Grocery List'!$B$3,E538="Yes"),COUNTIFS($A$4:A538,'Grocery List'!$B$3,$E$4:E538,"Yes"),"")</f>
        <v/>
      </c>
    </row>
    <row r="539" customFormat="false" ht="15" hidden="false" customHeight="false" outlineLevel="0" collapsed="false">
      <c r="A539" s="16"/>
      <c r="D539" s="12" t="str">
        <f aca="false">IF(C539="","",IFERROR(INDEX(Recipes!$B:$B,MATCH(C539,Recipes!$A:$A,0)),"⚠ unknown recipe_id"))</f>
        <v/>
      </c>
      <c r="K539" s="12" t="str">
        <f aca="false">IF(C539="","",IFERROR(INDEX(Recipes!$C:$C,MATCH(C539,Recipes!$A:$A,0)),""))</f>
        <v/>
      </c>
      <c r="L539" s="12" t="str">
        <f aca="false">IF(AND(A539='Grocery List'!$B$3,E539="Yes"),COUNTIFS($A$4:A539,'Grocery List'!$B$3,$E$4:E539,"Yes"),"")</f>
        <v/>
      </c>
    </row>
    <row r="540" customFormat="false" ht="15" hidden="false" customHeight="false" outlineLevel="0" collapsed="false">
      <c r="A540" s="16"/>
      <c r="D540" s="12" t="str">
        <f aca="false">IF(C540="","",IFERROR(INDEX(Recipes!$B:$B,MATCH(C540,Recipes!$A:$A,0)),"⚠ unknown recipe_id"))</f>
        <v/>
      </c>
      <c r="K540" s="12" t="str">
        <f aca="false">IF(C540="","",IFERROR(INDEX(Recipes!$C:$C,MATCH(C540,Recipes!$A:$A,0)),""))</f>
        <v/>
      </c>
      <c r="L540" s="12" t="str">
        <f aca="false">IF(AND(A540='Grocery List'!$B$3,E540="Yes"),COUNTIFS($A$4:A540,'Grocery List'!$B$3,$E$4:E540,"Yes"),"")</f>
        <v/>
      </c>
    </row>
    <row r="541" customFormat="false" ht="15" hidden="false" customHeight="false" outlineLevel="0" collapsed="false">
      <c r="A541" s="16"/>
      <c r="D541" s="12" t="str">
        <f aca="false">IF(C541="","",IFERROR(INDEX(Recipes!$B:$B,MATCH(C541,Recipes!$A:$A,0)),"⚠ unknown recipe_id"))</f>
        <v/>
      </c>
      <c r="K541" s="12" t="str">
        <f aca="false">IF(C541="","",IFERROR(INDEX(Recipes!$C:$C,MATCH(C541,Recipes!$A:$A,0)),""))</f>
        <v/>
      </c>
      <c r="L541" s="12" t="str">
        <f aca="false">IF(AND(A541='Grocery List'!$B$3,E541="Yes"),COUNTIFS($A$4:A541,'Grocery List'!$B$3,$E$4:E541,"Yes"),"")</f>
        <v/>
      </c>
    </row>
    <row r="542" customFormat="false" ht="15" hidden="false" customHeight="false" outlineLevel="0" collapsed="false">
      <c r="A542" s="16"/>
      <c r="D542" s="12" t="str">
        <f aca="false">IF(C542="","",IFERROR(INDEX(Recipes!$B:$B,MATCH(C542,Recipes!$A:$A,0)),"⚠ unknown recipe_id"))</f>
        <v/>
      </c>
      <c r="K542" s="12" t="str">
        <f aca="false">IF(C542="","",IFERROR(INDEX(Recipes!$C:$C,MATCH(C542,Recipes!$A:$A,0)),""))</f>
        <v/>
      </c>
      <c r="L542" s="12" t="str">
        <f aca="false">IF(AND(A542='Grocery List'!$B$3,E542="Yes"),COUNTIFS($A$4:A542,'Grocery List'!$B$3,$E$4:E542,"Yes"),"")</f>
        <v/>
      </c>
    </row>
    <row r="543" customFormat="false" ht="15" hidden="false" customHeight="false" outlineLevel="0" collapsed="false">
      <c r="A543" s="16"/>
      <c r="D543" s="12" t="str">
        <f aca="false">IF(C543="","",IFERROR(INDEX(Recipes!$B:$B,MATCH(C543,Recipes!$A:$A,0)),"⚠ unknown recipe_id"))</f>
        <v/>
      </c>
      <c r="K543" s="12" t="str">
        <f aca="false">IF(C543="","",IFERROR(INDEX(Recipes!$C:$C,MATCH(C543,Recipes!$A:$A,0)),""))</f>
        <v/>
      </c>
      <c r="L543" s="12" t="str">
        <f aca="false">IF(AND(A543='Grocery List'!$B$3,E543="Yes"),COUNTIFS($A$4:A543,'Grocery List'!$B$3,$E$4:E543,"Yes"),"")</f>
        <v/>
      </c>
    </row>
    <row r="544" customFormat="false" ht="15" hidden="false" customHeight="false" outlineLevel="0" collapsed="false">
      <c r="A544" s="16"/>
      <c r="D544" s="12" t="str">
        <f aca="false">IF(C544="","",IFERROR(INDEX(Recipes!$B:$B,MATCH(C544,Recipes!$A:$A,0)),"⚠ unknown recipe_id"))</f>
        <v/>
      </c>
      <c r="K544" s="12" t="str">
        <f aca="false">IF(C544="","",IFERROR(INDEX(Recipes!$C:$C,MATCH(C544,Recipes!$A:$A,0)),""))</f>
        <v/>
      </c>
      <c r="L544" s="12" t="str">
        <f aca="false">IF(AND(A544='Grocery List'!$B$3,E544="Yes"),COUNTIFS($A$4:A544,'Grocery List'!$B$3,$E$4:E544,"Yes"),"")</f>
        <v/>
      </c>
    </row>
    <row r="545" customFormat="false" ht="15" hidden="false" customHeight="false" outlineLevel="0" collapsed="false">
      <c r="A545" s="16"/>
      <c r="D545" s="12" t="str">
        <f aca="false">IF(C545="","",IFERROR(INDEX(Recipes!$B:$B,MATCH(C545,Recipes!$A:$A,0)),"⚠ unknown recipe_id"))</f>
        <v/>
      </c>
      <c r="K545" s="12" t="str">
        <f aca="false">IF(C545="","",IFERROR(INDEX(Recipes!$C:$C,MATCH(C545,Recipes!$A:$A,0)),""))</f>
        <v/>
      </c>
      <c r="L545" s="12" t="str">
        <f aca="false">IF(AND(A545='Grocery List'!$B$3,E545="Yes"),COUNTIFS($A$4:A545,'Grocery List'!$B$3,$E$4:E545,"Yes"),"")</f>
        <v/>
      </c>
    </row>
    <row r="546" customFormat="false" ht="15" hidden="false" customHeight="false" outlineLevel="0" collapsed="false">
      <c r="A546" s="16"/>
      <c r="D546" s="12" t="str">
        <f aca="false">IF(C546="","",IFERROR(INDEX(Recipes!$B:$B,MATCH(C546,Recipes!$A:$A,0)),"⚠ unknown recipe_id"))</f>
        <v/>
      </c>
      <c r="K546" s="12" t="str">
        <f aca="false">IF(C546="","",IFERROR(INDEX(Recipes!$C:$C,MATCH(C546,Recipes!$A:$A,0)),""))</f>
        <v/>
      </c>
      <c r="L546" s="12" t="str">
        <f aca="false">IF(AND(A546='Grocery List'!$B$3,E546="Yes"),COUNTIFS($A$4:A546,'Grocery List'!$B$3,$E$4:E546,"Yes"),"")</f>
        <v/>
      </c>
    </row>
    <row r="547" customFormat="false" ht="15" hidden="false" customHeight="false" outlineLevel="0" collapsed="false">
      <c r="A547" s="16"/>
      <c r="D547" s="12" t="str">
        <f aca="false">IF(C547="","",IFERROR(INDEX(Recipes!$B:$B,MATCH(C547,Recipes!$A:$A,0)),"⚠ unknown recipe_id"))</f>
        <v/>
      </c>
      <c r="K547" s="12" t="str">
        <f aca="false">IF(C547="","",IFERROR(INDEX(Recipes!$C:$C,MATCH(C547,Recipes!$A:$A,0)),""))</f>
        <v/>
      </c>
      <c r="L547" s="12" t="str">
        <f aca="false">IF(AND(A547='Grocery List'!$B$3,E547="Yes"),COUNTIFS($A$4:A547,'Grocery List'!$B$3,$E$4:E547,"Yes"),"")</f>
        <v/>
      </c>
    </row>
    <row r="548" customFormat="false" ht="15" hidden="false" customHeight="false" outlineLevel="0" collapsed="false">
      <c r="A548" s="16"/>
      <c r="D548" s="12" t="str">
        <f aca="false">IF(C548="","",IFERROR(INDEX(Recipes!$B:$B,MATCH(C548,Recipes!$A:$A,0)),"⚠ unknown recipe_id"))</f>
        <v/>
      </c>
      <c r="K548" s="12" t="str">
        <f aca="false">IF(C548="","",IFERROR(INDEX(Recipes!$C:$C,MATCH(C548,Recipes!$A:$A,0)),""))</f>
        <v/>
      </c>
      <c r="L548" s="12" t="str">
        <f aca="false">IF(AND(A548='Grocery List'!$B$3,E548="Yes"),COUNTIFS($A$4:A548,'Grocery List'!$B$3,$E$4:E548,"Yes"),"")</f>
        <v/>
      </c>
    </row>
    <row r="549" customFormat="false" ht="15" hidden="false" customHeight="false" outlineLevel="0" collapsed="false">
      <c r="A549" s="16"/>
      <c r="D549" s="12" t="str">
        <f aca="false">IF(C549="","",IFERROR(INDEX(Recipes!$B:$B,MATCH(C549,Recipes!$A:$A,0)),"⚠ unknown recipe_id"))</f>
        <v/>
      </c>
      <c r="K549" s="12" t="str">
        <f aca="false">IF(C549="","",IFERROR(INDEX(Recipes!$C:$C,MATCH(C549,Recipes!$A:$A,0)),""))</f>
        <v/>
      </c>
      <c r="L549" s="12" t="str">
        <f aca="false">IF(AND(A549='Grocery List'!$B$3,E549="Yes"),COUNTIFS($A$4:A549,'Grocery List'!$B$3,$E$4:E549,"Yes"),"")</f>
        <v/>
      </c>
    </row>
    <row r="550" customFormat="false" ht="15" hidden="false" customHeight="false" outlineLevel="0" collapsed="false">
      <c r="A550" s="16"/>
      <c r="D550" s="12" t="str">
        <f aca="false">IF(C550="","",IFERROR(INDEX(Recipes!$B:$B,MATCH(C550,Recipes!$A:$A,0)),"⚠ unknown recipe_id"))</f>
        <v/>
      </c>
      <c r="K550" s="12" t="str">
        <f aca="false">IF(C550="","",IFERROR(INDEX(Recipes!$C:$C,MATCH(C550,Recipes!$A:$A,0)),""))</f>
        <v/>
      </c>
      <c r="L550" s="12" t="str">
        <f aca="false">IF(AND(A550='Grocery List'!$B$3,E550="Yes"),COUNTIFS($A$4:A550,'Grocery List'!$B$3,$E$4:E550,"Yes"),"")</f>
        <v/>
      </c>
    </row>
    <row r="551" customFormat="false" ht="15" hidden="false" customHeight="false" outlineLevel="0" collapsed="false">
      <c r="A551" s="16"/>
      <c r="D551" s="12" t="str">
        <f aca="false">IF(C551="","",IFERROR(INDEX(Recipes!$B:$B,MATCH(C551,Recipes!$A:$A,0)),"⚠ unknown recipe_id"))</f>
        <v/>
      </c>
      <c r="K551" s="12" t="str">
        <f aca="false">IF(C551="","",IFERROR(INDEX(Recipes!$C:$C,MATCH(C551,Recipes!$A:$A,0)),""))</f>
        <v/>
      </c>
      <c r="L551" s="12" t="str">
        <f aca="false">IF(AND(A551='Grocery List'!$B$3,E551="Yes"),COUNTIFS($A$4:A551,'Grocery List'!$B$3,$E$4:E551,"Yes"),"")</f>
        <v/>
      </c>
    </row>
    <row r="552" customFormat="false" ht="15" hidden="false" customHeight="false" outlineLevel="0" collapsed="false">
      <c r="A552" s="16"/>
      <c r="D552" s="12" t="str">
        <f aca="false">IF(C552="","",IFERROR(INDEX(Recipes!$B:$B,MATCH(C552,Recipes!$A:$A,0)),"⚠ unknown recipe_id"))</f>
        <v/>
      </c>
      <c r="K552" s="12" t="str">
        <f aca="false">IF(C552="","",IFERROR(INDEX(Recipes!$C:$C,MATCH(C552,Recipes!$A:$A,0)),""))</f>
        <v/>
      </c>
      <c r="L552" s="12" t="str">
        <f aca="false">IF(AND(A552='Grocery List'!$B$3,E552="Yes"),COUNTIFS($A$4:A552,'Grocery List'!$B$3,$E$4:E552,"Yes"),"")</f>
        <v/>
      </c>
    </row>
    <row r="553" customFormat="false" ht="15" hidden="false" customHeight="false" outlineLevel="0" collapsed="false">
      <c r="A553" s="16"/>
      <c r="D553" s="12" t="str">
        <f aca="false">IF(C553="","",IFERROR(INDEX(Recipes!$B:$B,MATCH(C553,Recipes!$A:$A,0)),"⚠ unknown recipe_id"))</f>
        <v/>
      </c>
      <c r="K553" s="12" t="str">
        <f aca="false">IF(C553="","",IFERROR(INDEX(Recipes!$C:$C,MATCH(C553,Recipes!$A:$A,0)),""))</f>
        <v/>
      </c>
      <c r="L553" s="12" t="str">
        <f aca="false">IF(AND(A553='Grocery List'!$B$3,E553="Yes"),COUNTIFS($A$4:A553,'Grocery List'!$B$3,$E$4:E553,"Yes"),"")</f>
        <v/>
      </c>
    </row>
    <row r="554" customFormat="false" ht="15" hidden="false" customHeight="false" outlineLevel="0" collapsed="false">
      <c r="A554" s="16"/>
      <c r="D554" s="12" t="str">
        <f aca="false">IF(C554="","",IFERROR(INDEX(Recipes!$B:$B,MATCH(C554,Recipes!$A:$A,0)),"⚠ unknown recipe_id"))</f>
        <v/>
      </c>
      <c r="K554" s="12" t="str">
        <f aca="false">IF(C554="","",IFERROR(INDEX(Recipes!$C:$C,MATCH(C554,Recipes!$A:$A,0)),""))</f>
        <v/>
      </c>
      <c r="L554" s="12" t="str">
        <f aca="false">IF(AND(A554='Grocery List'!$B$3,E554="Yes"),COUNTIFS($A$4:A554,'Grocery List'!$B$3,$E$4:E554,"Yes"),"")</f>
        <v/>
      </c>
    </row>
    <row r="555" customFormat="false" ht="15" hidden="false" customHeight="false" outlineLevel="0" collapsed="false">
      <c r="A555" s="16"/>
      <c r="D555" s="12" t="str">
        <f aca="false">IF(C555="","",IFERROR(INDEX(Recipes!$B:$B,MATCH(C555,Recipes!$A:$A,0)),"⚠ unknown recipe_id"))</f>
        <v/>
      </c>
      <c r="K555" s="12" t="str">
        <f aca="false">IF(C555="","",IFERROR(INDEX(Recipes!$C:$C,MATCH(C555,Recipes!$A:$A,0)),""))</f>
        <v/>
      </c>
      <c r="L555" s="12" t="str">
        <f aca="false">IF(AND(A555='Grocery List'!$B$3,E555="Yes"),COUNTIFS($A$4:A555,'Grocery List'!$B$3,$E$4:E555,"Yes"),"")</f>
        <v/>
      </c>
    </row>
    <row r="556" customFormat="false" ht="15" hidden="false" customHeight="false" outlineLevel="0" collapsed="false">
      <c r="A556" s="16"/>
      <c r="D556" s="12" t="str">
        <f aca="false">IF(C556="","",IFERROR(INDEX(Recipes!$B:$B,MATCH(C556,Recipes!$A:$A,0)),"⚠ unknown recipe_id"))</f>
        <v/>
      </c>
      <c r="K556" s="12" t="str">
        <f aca="false">IF(C556="","",IFERROR(INDEX(Recipes!$C:$C,MATCH(C556,Recipes!$A:$A,0)),""))</f>
        <v/>
      </c>
      <c r="L556" s="12" t="str">
        <f aca="false">IF(AND(A556='Grocery List'!$B$3,E556="Yes"),COUNTIFS($A$4:A556,'Grocery List'!$B$3,$E$4:E556,"Yes"),"")</f>
        <v/>
      </c>
    </row>
    <row r="557" customFormat="false" ht="15" hidden="false" customHeight="false" outlineLevel="0" collapsed="false">
      <c r="A557" s="16"/>
      <c r="D557" s="12" t="str">
        <f aca="false">IF(C557="","",IFERROR(INDEX(Recipes!$B:$B,MATCH(C557,Recipes!$A:$A,0)),"⚠ unknown recipe_id"))</f>
        <v/>
      </c>
      <c r="K557" s="12" t="str">
        <f aca="false">IF(C557="","",IFERROR(INDEX(Recipes!$C:$C,MATCH(C557,Recipes!$A:$A,0)),""))</f>
        <v/>
      </c>
      <c r="L557" s="12" t="str">
        <f aca="false">IF(AND(A557='Grocery List'!$B$3,E557="Yes"),COUNTIFS($A$4:A557,'Grocery List'!$B$3,$E$4:E557,"Yes"),"")</f>
        <v/>
      </c>
    </row>
    <row r="558" customFormat="false" ht="15" hidden="false" customHeight="false" outlineLevel="0" collapsed="false">
      <c r="A558" s="16"/>
      <c r="D558" s="12" t="str">
        <f aca="false">IF(C558="","",IFERROR(INDEX(Recipes!$B:$B,MATCH(C558,Recipes!$A:$A,0)),"⚠ unknown recipe_id"))</f>
        <v/>
      </c>
      <c r="K558" s="12" t="str">
        <f aca="false">IF(C558="","",IFERROR(INDEX(Recipes!$C:$C,MATCH(C558,Recipes!$A:$A,0)),""))</f>
        <v/>
      </c>
      <c r="L558" s="12" t="str">
        <f aca="false">IF(AND(A558='Grocery List'!$B$3,E558="Yes"),COUNTIFS($A$4:A558,'Grocery List'!$B$3,$E$4:E558,"Yes"),"")</f>
        <v/>
      </c>
    </row>
    <row r="559" customFormat="false" ht="15" hidden="false" customHeight="false" outlineLevel="0" collapsed="false">
      <c r="A559" s="16"/>
      <c r="D559" s="12" t="str">
        <f aca="false">IF(C559="","",IFERROR(INDEX(Recipes!$B:$B,MATCH(C559,Recipes!$A:$A,0)),"⚠ unknown recipe_id"))</f>
        <v/>
      </c>
      <c r="K559" s="12" t="str">
        <f aca="false">IF(C559="","",IFERROR(INDEX(Recipes!$C:$C,MATCH(C559,Recipes!$A:$A,0)),""))</f>
        <v/>
      </c>
      <c r="L559" s="12" t="str">
        <f aca="false">IF(AND(A559='Grocery List'!$B$3,E559="Yes"),COUNTIFS($A$4:A559,'Grocery List'!$B$3,$E$4:E559,"Yes"),"")</f>
        <v/>
      </c>
    </row>
    <row r="560" customFormat="false" ht="15" hidden="false" customHeight="false" outlineLevel="0" collapsed="false">
      <c r="A560" s="16"/>
      <c r="D560" s="12" t="str">
        <f aca="false">IF(C560="","",IFERROR(INDEX(Recipes!$B:$B,MATCH(C560,Recipes!$A:$A,0)),"⚠ unknown recipe_id"))</f>
        <v/>
      </c>
      <c r="K560" s="12" t="str">
        <f aca="false">IF(C560="","",IFERROR(INDEX(Recipes!$C:$C,MATCH(C560,Recipes!$A:$A,0)),""))</f>
        <v/>
      </c>
      <c r="L560" s="12" t="str">
        <f aca="false">IF(AND(A560='Grocery List'!$B$3,E560="Yes"),COUNTIFS($A$4:A560,'Grocery List'!$B$3,$E$4:E560,"Yes"),"")</f>
        <v/>
      </c>
    </row>
    <row r="561" customFormat="false" ht="15" hidden="false" customHeight="false" outlineLevel="0" collapsed="false">
      <c r="A561" s="16"/>
      <c r="D561" s="12" t="str">
        <f aca="false">IF(C561="","",IFERROR(INDEX(Recipes!$B:$B,MATCH(C561,Recipes!$A:$A,0)),"⚠ unknown recipe_id"))</f>
        <v/>
      </c>
      <c r="K561" s="12" t="str">
        <f aca="false">IF(C561="","",IFERROR(INDEX(Recipes!$C:$C,MATCH(C561,Recipes!$A:$A,0)),""))</f>
        <v/>
      </c>
      <c r="L561" s="12" t="str">
        <f aca="false">IF(AND(A561='Grocery List'!$B$3,E561="Yes"),COUNTIFS($A$4:A561,'Grocery List'!$B$3,$E$4:E561,"Yes"),"")</f>
        <v/>
      </c>
    </row>
    <row r="562" customFormat="false" ht="15" hidden="false" customHeight="false" outlineLevel="0" collapsed="false">
      <c r="A562" s="16"/>
      <c r="D562" s="12" t="str">
        <f aca="false">IF(C562="","",IFERROR(INDEX(Recipes!$B:$B,MATCH(C562,Recipes!$A:$A,0)),"⚠ unknown recipe_id"))</f>
        <v/>
      </c>
      <c r="K562" s="12" t="str">
        <f aca="false">IF(C562="","",IFERROR(INDEX(Recipes!$C:$C,MATCH(C562,Recipes!$A:$A,0)),""))</f>
        <v/>
      </c>
      <c r="L562" s="12" t="str">
        <f aca="false">IF(AND(A562='Grocery List'!$B$3,E562="Yes"),COUNTIFS($A$4:A562,'Grocery List'!$B$3,$E$4:E562,"Yes"),"")</f>
        <v/>
      </c>
    </row>
    <row r="563" customFormat="false" ht="15" hidden="false" customHeight="false" outlineLevel="0" collapsed="false">
      <c r="A563" s="16"/>
      <c r="D563" s="12" t="str">
        <f aca="false">IF(C563="","",IFERROR(INDEX(Recipes!$B:$B,MATCH(C563,Recipes!$A:$A,0)),"⚠ unknown recipe_id"))</f>
        <v/>
      </c>
      <c r="K563" s="12" t="str">
        <f aca="false">IF(C563="","",IFERROR(INDEX(Recipes!$C:$C,MATCH(C563,Recipes!$A:$A,0)),""))</f>
        <v/>
      </c>
      <c r="L563" s="12" t="str">
        <f aca="false">IF(AND(A563='Grocery List'!$B$3,E563="Yes"),COUNTIFS($A$4:A563,'Grocery List'!$B$3,$E$4:E563,"Yes"),"")</f>
        <v/>
      </c>
    </row>
    <row r="564" customFormat="false" ht="15" hidden="false" customHeight="false" outlineLevel="0" collapsed="false">
      <c r="A564" s="16"/>
      <c r="D564" s="12" t="str">
        <f aca="false">IF(C564="","",IFERROR(INDEX(Recipes!$B:$B,MATCH(C564,Recipes!$A:$A,0)),"⚠ unknown recipe_id"))</f>
        <v/>
      </c>
      <c r="K564" s="12" t="str">
        <f aca="false">IF(C564="","",IFERROR(INDEX(Recipes!$C:$C,MATCH(C564,Recipes!$A:$A,0)),""))</f>
        <v/>
      </c>
      <c r="L564" s="12" t="str">
        <f aca="false">IF(AND(A564='Grocery List'!$B$3,E564="Yes"),COUNTIFS($A$4:A564,'Grocery List'!$B$3,$E$4:E564,"Yes"),"")</f>
        <v/>
      </c>
    </row>
    <row r="565" customFormat="false" ht="15" hidden="false" customHeight="false" outlineLevel="0" collapsed="false">
      <c r="A565" s="16"/>
      <c r="D565" s="12" t="str">
        <f aca="false">IF(C565="","",IFERROR(INDEX(Recipes!$B:$B,MATCH(C565,Recipes!$A:$A,0)),"⚠ unknown recipe_id"))</f>
        <v/>
      </c>
      <c r="K565" s="12" t="str">
        <f aca="false">IF(C565="","",IFERROR(INDEX(Recipes!$C:$C,MATCH(C565,Recipes!$A:$A,0)),""))</f>
        <v/>
      </c>
      <c r="L565" s="12" t="str">
        <f aca="false">IF(AND(A565='Grocery List'!$B$3,E565="Yes"),COUNTIFS($A$4:A565,'Grocery List'!$B$3,$E$4:E565,"Yes"),"")</f>
        <v/>
      </c>
    </row>
    <row r="566" customFormat="false" ht="15" hidden="false" customHeight="false" outlineLevel="0" collapsed="false">
      <c r="A566" s="16"/>
      <c r="D566" s="12" t="str">
        <f aca="false">IF(C566="","",IFERROR(INDEX(Recipes!$B:$B,MATCH(C566,Recipes!$A:$A,0)),"⚠ unknown recipe_id"))</f>
        <v/>
      </c>
      <c r="K566" s="12" t="str">
        <f aca="false">IF(C566="","",IFERROR(INDEX(Recipes!$C:$C,MATCH(C566,Recipes!$A:$A,0)),""))</f>
        <v/>
      </c>
      <c r="L566" s="12" t="str">
        <f aca="false">IF(AND(A566='Grocery List'!$B$3,E566="Yes"),COUNTIFS($A$4:A566,'Grocery List'!$B$3,$E$4:E566,"Yes"),"")</f>
        <v/>
      </c>
    </row>
    <row r="567" customFormat="false" ht="15" hidden="false" customHeight="false" outlineLevel="0" collapsed="false">
      <c r="A567" s="16"/>
      <c r="D567" s="12" t="str">
        <f aca="false">IF(C567="","",IFERROR(INDEX(Recipes!$B:$B,MATCH(C567,Recipes!$A:$A,0)),"⚠ unknown recipe_id"))</f>
        <v/>
      </c>
      <c r="K567" s="12" t="str">
        <f aca="false">IF(C567="","",IFERROR(INDEX(Recipes!$C:$C,MATCH(C567,Recipes!$A:$A,0)),""))</f>
        <v/>
      </c>
      <c r="L567" s="12" t="str">
        <f aca="false">IF(AND(A567='Grocery List'!$B$3,E567="Yes"),COUNTIFS($A$4:A567,'Grocery List'!$B$3,$E$4:E567,"Yes"),"")</f>
        <v/>
      </c>
    </row>
    <row r="568" customFormat="false" ht="15" hidden="false" customHeight="false" outlineLevel="0" collapsed="false">
      <c r="A568" s="16"/>
      <c r="D568" s="12" t="str">
        <f aca="false">IF(C568="","",IFERROR(INDEX(Recipes!$B:$B,MATCH(C568,Recipes!$A:$A,0)),"⚠ unknown recipe_id"))</f>
        <v/>
      </c>
      <c r="K568" s="12" t="str">
        <f aca="false">IF(C568="","",IFERROR(INDEX(Recipes!$C:$C,MATCH(C568,Recipes!$A:$A,0)),""))</f>
        <v/>
      </c>
      <c r="L568" s="12" t="str">
        <f aca="false">IF(AND(A568='Grocery List'!$B$3,E568="Yes"),COUNTIFS($A$4:A568,'Grocery List'!$B$3,$E$4:E568,"Yes"),"")</f>
        <v/>
      </c>
    </row>
    <row r="569" customFormat="false" ht="15" hidden="false" customHeight="false" outlineLevel="0" collapsed="false">
      <c r="A569" s="16"/>
      <c r="D569" s="12" t="str">
        <f aca="false">IF(C569="","",IFERROR(INDEX(Recipes!$B:$B,MATCH(C569,Recipes!$A:$A,0)),"⚠ unknown recipe_id"))</f>
        <v/>
      </c>
      <c r="K569" s="12" t="str">
        <f aca="false">IF(C569="","",IFERROR(INDEX(Recipes!$C:$C,MATCH(C569,Recipes!$A:$A,0)),""))</f>
        <v/>
      </c>
      <c r="L569" s="12" t="str">
        <f aca="false">IF(AND(A569='Grocery List'!$B$3,E569="Yes"),COUNTIFS($A$4:A569,'Grocery List'!$B$3,$E$4:E569,"Yes"),"")</f>
        <v/>
      </c>
    </row>
    <row r="570" customFormat="false" ht="15" hidden="false" customHeight="false" outlineLevel="0" collapsed="false">
      <c r="A570" s="16"/>
      <c r="D570" s="12" t="str">
        <f aca="false">IF(C570="","",IFERROR(INDEX(Recipes!$B:$B,MATCH(C570,Recipes!$A:$A,0)),"⚠ unknown recipe_id"))</f>
        <v/>
      </c>
      <c r="K570" s="12" t="str">
        <f aca="false">IF(C570="","",IFERROR(INDEX(Recipes!$C:$C,MATCH(C570,Recipes!$A:$A,0)),""))</f>
        <v/>
      </c>
      <c r="L570" s="12" t="str">
        <f aca="false">IF(AND(A570='Grocery List'!$B$3,E570="Yes"),COUNTIFS($A$4:A570,'Grocery List'!$B$3,$E$4:E570,"Yes"),"")</f>
        <v/>
      </c>
    </row>
    <row r="571" customFormat="false" ht="15" hidden="false" customHeight="false" outlineLevel="0" collapsed="false">
      <c r="A571" s="16"/>
      <c r="D571" s="12" t="str">
        <f aca="false">IF(C571="","",IFERROR(INDEX(Recipes!$B:$B,MATCH(C571,Recipes!$A:$A,0)),"⚠ unknown recipe_id"))</f>
        <v/>
      </c>
      <c r="K571" s="12" t="str">
        <f aca="false">IF(C571="","",IFERROR(INDEX(Recipes!$C:$C,MATCH(C571,Recipes!$A:$A,0)),""))</f>
        <v/>
      </c>
      <c r="L571" s="12" t="str">
        <f aca="false">IF(AND(A571='Grocery List'!$B$3,E571="Yes"),COUNTIFS($A$4:A571,'Grocery List'!$B$3,$E$4:E571,"Yes"),"")</f>
        <v/>
      </c>
    </row>
    <row r="572" customFormat="false" ht="15" hidden="false" customHeight="false" outlineLevel="0" collapsed="false">
      <c r="A572" s="16"/>
      <c r="D572" s="12" t="str">
        <f aca="false">IF(C572="","",IFERROR(INDEX(Recipes!$B:$B,MATCH(C572,Recipes!$A:$A,0)),"⚠ unknown recipe_id"))</f>
        <v/>
      </c>
      <c r="K572" s="12" t="str">
        <f aca="false">IF(C572="","",IFERROR(INDEX(Recipes!$C:$C,MATCH(C572,Recipes!$A:$A,0)),""))</f>
        <v/>
      </c>
      <c r="L572" s="12" t="str">
        <f aca="false">IF(AND(A572='Grocery List'!$B$3,E572="Yes"),COUNTIFS($A$4:A572,'Grocery List'!$B$3,$E$4:E572,"Yes"),"")</f>
        <v/>
      </c>
    </row>
    <row r="573" customFormat="false" ht="15" hidden="false" customHeight="false" outlineLevel="0" collapsed="false">
      <c r="A573" s="16"/>
      <c r="D573" s="12" t="str">
        <f aca="false">IF(C573="","",IFERROR(INDEX(Recipes!$B:$B,MATCH(C573,Recipes!$A:$A,0)),"⚠ unknown recipe_id"))</f>
        <v/>
      </c>
      <c r="K573" s="12" t="str">
        <f aca="false">IF(C573="","",IFERROR(INDEX(Recipes!$C:$C,MATCH(C573,Recipes!$A:$A,0)),""))</f>
        <v/>
      </c>
      <c r="L573" s="12" t="str">
        <f aca="false">IF(AND(A573='Grocery List'!$B$3,E573="Yes"),COUNTIFS($A$4:A573,'Grocery List'!$B$3,$E$4:E573,"Yes"),"")</f>
        <v/>
      </c>
    </row>
    <row r="574" customFormat="false" ht="15" hidden="false" customHeight="false" outlineLevel="0" collapsed="false">
      <c r="A574" s="16"/>
      <c r="D574" s="12" t="str">
        <f aca="false">IF(C574="","",IFERROR(INDEX(Recipes!$B:$B,MATCH(C574,Recipes!$A:$A,0)),"⚠ unknown recipe_id"))</f>
        <v/>
      </c>
      <c r="K574" s="12" t="str">
        <f aca="false">IF(C574="","",IFERROR(INDEX(Recipes!$C:$C,MATCH(C574,Recipes!$A:$A,0)),""))</f>
        <v/>
      </c>
      <c r="L574" s="12" t="str">
        <f aca="false">IF(AND(A574='Grocery List'!$B$3,E574="Yes"),COUNTIFS($A$4:A574,'Grocery List'!$B$3,$E$4:E574,"Yes"),"")</f>
        <v/>
      </c>
    </row>
    <row r="575" customFormat="false" ht="15" hidden="false" customHeight="false" outlineLevel="0" collapsed="false">
      <c r="A575" s="16"/>
      <c r="D575" s="12" t="str">
        <f aca="false">IF(C575="","",IFERROR(INDEX(Recipes!$B:$B,MATCH(C575,Recipes!$A:$A,0)),"⚠ unknown recipe_id"))</f>
        <v/>
      </c>
      <c r="K575" s="12" t="str">
        <f aca="false">IF(C575="","",IFERROR(INDEX(Recipes!$C:$C,MATCH(C575,Recipes!$A:$A,0)),""))</f>
        <v/>
      </c>
      <c r="L575" s="12" t="str">
        <f aca="false">IF(AND(A575='Grocery List'!$B$3,E575="Yes"),COUNTIFS($A$4:A575,'Grocery List'!$B$3,$E$4:E575,"Yes"),"")</f>
        <v/>
      </c>
    </row>
    <row r="576" customFormat="false" ht="15" hidden="false" customHeight="false" outlineLevel="0" collapsed="false">
      <c r="A576" s="16"/>
      <c r="D576" s="12" t="str">
        <f aca="false">IF(C576="","",IFERROR(INDEX(Recipes!$B:$B,MATCH(C576,Recipes!$A:$A,0)),"⚠ unknown recipe_id"))</f>
        <v/>
      </c>
      <c r="K576" s="12" t="str">
        <f aca="false">IF(C576="","",IFERROR(INDEX(Recipes!$C:$C,MATCH(C576,Recipes!$A:$A,0)),""))</f>
        <v/>
      </c>
      <c r="L576" s="12" t="str">
        <f aca="false">IF(AND(A576='Grocery List'!$B$3,E576="Yes"),COUNTIFS($A$4:A576,'Grocery List'!$B$3,$E$4:E576,"Yes"),"")</f>
        <v/>
      </c>
    </row>
    <row r="577" customFormat="false" ht="15" hidden="false" customHeight="false" outlineLevel="0" collapsed="false">
      <c r="A577" s="16"/>
      <c r="D577" s="12" t="str">
        <f aca="false">IF(C577="","",IFERROR(INDEX(Recipes!$B:$B,MATCH(C577,Recipes!$A:$A,0)),"⚠ unknown recipe_id"))</f>
        <v/>
      </c>
      <c r="K577" s="12" t="str">
        <f aca="false">IF(C577="","",IFERROR(INDEX(Recipes!$C:$C,MATCH(C577,Recipes!$A:$A,0)),""))</f>
        <v/>
      </c>
      <c r="L577" s="12" t="str">
        <f aca="false">IF(AND(A577='Grocery List'!$B$3,E577="Yes"),COUNTIFS($A$4:A577,'Grocery List'!$B$3,$E$4:E577,"Yes"),"")</f>
        <v/>
      </c>
    </row>
    <row r="578" customFormat="false" ht="15" hidden="false" customHeight="false" outlineLevel="0" collapsed="false">
      <c r="A578" s="16"/>
      <c r="D578" s="12" t="str">
        <f aca="false">IF(C578="","",IFERROR(INDEX(Recipes!$B:$B,MATCH(C578,Recipes!$A:$A,0)),"⚠ unknown recipe_id"))</f>
        <v/>
      </c>
      <c r="K578" s="12" t="str">
        <f aca="false">IF(C578="","",IFERROR(INDEX(Recipes!$C:$C,MATCH(C578,Recipes!$A:$A,0)),""))</f>
        <v/>
      </c>
      <c r="L578" s="12" t="str">
        <f aca="false">IF(AND(A578='Grocery List'!$B$3,E578="Yes"),COUNTIFS($A$4:A578,'Grocery List'!$B$3,$E$4:E578,"Yes"),"")</f>
        <v/>
      </c>
    </row>
    <row r="579" customFormat="false" ht="15" hidden="false" customHeight="false" outlineLevel="0" collapsed="false">
      <c r="A579" s="16"/>
      <c r="D579" s="12" t="str">
        <f aca="false">IF(C579="","",IFERROR(INDEX(Recipes!$B:$B,MATCH(C579,Recipes!$A:$A,0)),"⚠ unknown recipe_id"))</f>
        <v/>
      </c>
      <c r="K579" s="12" t="str">
        <f aca="false">IF(C579="","",IFERROR(INDEX(Recipes!$C:$C,MATCH(C579,Recipes!$A:$A,0)),""))</f>
        <v/>
      </c>
      <c r="L579" s="12" t="str">
        <f aca="false">IF(AND(A579='Grocery List'!$B$3,E579="Yes"),COUNTIFS($A$4:A579,'Grocery List'!$B$3,$E$4:E579,"Yes"),"")</f>
        <v/>
      </c>
    </row>
    <row r="580" customFormat="false" ht="15" hidden="false" customHeight="false" outlineLevel="0" collapsed="false">
      <c r="A580" s="16"/>
      <c r="D580" s="12" t="str">
        <f aca="false">IF(C580="","",IFERROR(INDEX(Recipes!$B:$B,MATCH(C580,Recipes!$A:$A,0)),"⚠ unknown recipe_id"))</f>
        <v/>
      </c>
      <c r="K580" s="12" t="str">
        <f aca="false">IF(C580="","",IFERROR(INDEX(Recipes!$C:$C,MATCH(C580,Recipes!$A:$A,0)),""))</f>
        <v/>
      </c>
      <c r="L580" s="12" t="str">
        <f aca="false">IF(AND(A580='Grocery List'!$B$3,E580="Yes"),COUNTIFS($A$4:A580,'Grocery List'!$B$3,$E$4:E580,"Yes"),"")</f>
        <v/>
      </c>
    </row>
    <row r="581" customFormat="false" ht="15" hidden="false" customHeight="false" outlineLevel="0" collapsed="false">
      <c r="A581" s="16"/>
      <c r="D581" s="12" t="str">
        <f aca="false">IF(C581="","",IFERROR(INDEX(Recipes!$B:$B,MATCH(C581,Recipes!$A:$A,0)),"⚠ unknown recipe_id"))</f>
        <v/>
      </c>
      <c r="K581" s="12" t="str">
        <f aca="false">IF(C581="","",IFERROR(INDEX(Recipes!$C:$C,MATCH(C581,Recipes!$A:$A,0)),""))</f>
        <v/>
      </c>
      <c r="L581" s="12" t="str">
        <f aca="false">IF(AND(A581='Grocery List'!$B$3,E581="Yes"),COUNTIFS($A$4:A581,'Grocery List'!$B$3,$E$4:E581,"Yes"),"")</f>
        <v/>
      </c>
    </row>
    <row r="582" customFormat="false" ht="15" hidden="false" customHeight="false" outlineLevel="0" collapsed="false">
      <c r="A582" s="16"/>
      <c r="D582" s="12" t="str">
        <f aca="false">IF(C582="","",IFERROR(INDEX(Recipes!$B:$B,MATCH(C582,Recipes!$A:$A,0)),"⚠ unknown recipe_id"))</f>
        <v/>
      </c>
      <c r="K582" s="12" t="str">
        <f aca="false">IF(C582="","",IFERROR(INDEX(Recipes!$C:$C,MATCH(C582,Recipes!$A:$A,0)),""))</f>
        <v/>
      </c>
      <c r="L582" s="12" t="str">
        <f aca="false">IF(AND(A582='Grocery List'!$B$3,E582="Yes"),COUNTIFS($A$4:A582,'Grocery List'!$B$3,$E$4:E582,"Yes"),"")</f>
        <v/>
      </c>
    </row>
    <row r="583" customFormat="false" ht="15" hidden="false" customHeight="false" outlineLevel="0" collapsed="false">
      <c r="A583" s="16"/>
      <c r="D583" s="12" t="str">
        <f aca="false">IF(C583="","",IFERROR(INDEX(Recipes!$B:$B,MATCH(C583,Recipes!$A:$A,0)),"⚠ unknown recipe_id"))</f>
        <v/>
      </c>
      <c r="K583" s="12" t="str">
        <f aca="false">IF(C583="","",IFERROR(INDEX(Recipes!$C:$C,MATCH(C583,Recipes!$A:$A,0)),""))</f>
        <v/>
      </c>
      <c r="L583" s="12" t="str">
        <f aca="false">IF(AND(A583='Grocery List'!$B$3,E583="Yes"),COUNTIFS($A$4:A583,'Grocery List'!$B$3,$E$4:E583,"Yes"),"")</f>
        <v/>
      </c>
    </row>
    <row r="584" customFormat="false" ht="15" hidden="false" customHeight="false" outlineLevel="0" collapsed="false">
      <c r="A584" s="16"/>
      <c r="D584" s="12" t="str">
        <f aca="false">IF(C584="","",IFERROR(INDEX(Recipes!$B:$B,MATCH(C584,Recipes!$A:$A,0)),"⚠ unknown recipe_id"))</f>
        <v/>
      </c>
      <c r="K584" s="12" t="str">
        <f aca="false">IF(C584="","",IFERROR(INDEX(Recipes!$C:$C,MATCH(C584,Recipes!$A:$A,0)),""))</f>
        <v/>
      </c>
      <c r="L584" s="12" t="str">
        <f aca="false">IF(AND(A584='Grocery List'!$B$3,E584="Yes"),COUNTIFS($A$4:A584,'Grocery List'!$B$3,$E$4:E584,"Yes"),"")</f>
        <v/>
      </c>
    </row>
    <row r="585" customFormat="false" ht="15" hidden="false" customHeight="false" outlineLevel="0" collapsed="false">
      <c r="A585" s="16"/>
      <c r="D585" s="12" t="str">
        <f aca="false">IF(C585="","",IFERROR(INDEX(Recipes!$B:$B,MATCH(C585,Recipes!$A:$A,0)),"⚠ unknown recipe_id"))</f>
        <v/>
      </c>
      <c r="K585" s="12" t="str">
        <f aca="false">IF(C585="","",IFERROR(INDEX(Recipes!$C:$C,MATCH(C585,Recipes!$A:$A,0)),""))</f>
        <v/>
      </c>
      <c r="L585" s="12" t="str">
        <f aca="false">IF(AND(A585='Grocery List'!$B$3,E585="Yes"),COUNTIFS($A$4:A585,'Grocery List'!$B$3,$E$4:E585,"Yes"),"")</f>
        <v/>
      </c>
    </row>
    <row r="586" customFormat="false" ht="15" hidden="false" customHeight="false" outlineLevel="0" collapsed="false">
      <c r="A586" s="16"/>
      <c r="D586" s="12" t="str">
        <f aca="false">IF(C586="","",IFERROR(INDEX(Recipes!$B:$B,MATCH(C586,Recipes!$A:$A,0)),"⚠ unknown recipe_id"))</f>
        <v/>
      </c>
      <c r="K586" s="12" t="str">
        <f aca="false">IF(C586="","",IFERROR(INDEX(Recipes!$C:$C,MATCH(C586,Recipes!$A:$A,0)),""))</f>
        <v/>
      </c>
      <c r="L586" s="12" t="str">
        <f aca="false">IF(AND(A586='Grocery List'!$B$3,E586="Yes"),COUNTIFS($A$4:A586,'Grocery List'!$B$3,$E$4:E586,"Yes"),"")</f>
        <v/>
      </c>
    </row>
    <row r="587" customFormat="false" ht="15" hidden="false" customHeight="false" outlineLevel="0" collapsed="false">
      <c r="A587" s="16"/>
      <c r="D587" s="12" t="str">
        <f aca="false">IF(C587="","",IFERROR(INDEX(Recipes!$B:$B,MATCH(C587,Recipes!$A:$A,0)),"⚠ unknown recipe_id"))</f>
        <v/>
      </c>
      <c r="K587" s="12" t="str">
        <f aca="false">IF(C587="","",IFERROR(INDEX(Recipes!$C:$C,MATCH(C587,Recipes!$A:$A,0)),""))</f>
        <v/>
      </c>
      <c r="L587" s="12" t="str">
        <f aca="false">IF(AND(A587='Grocery List'!$B$3,E587="Yes"),COUNTIFS($A$4:A587,'Grocery List'!$B$3,$E$4:E587,"Yes"),"")</f>
        <v/>
      </c>
    </row>
    <row r="588" customFormat="false" ht="15" hidden="false" customHeight="false" outlineLevel="0" collapsed="false">
      <c r="A588" s="16"/>
      <c r="D588" s="12" t="str">
        <f aca="false">IF(C588="","",IFERROR(INDEX(Recipes!$B:$B,MATCH(C588,Recipes!$A:$A,0)),"⚠ unknown recipe_id"))</f>
        <v/>
      </c>
      <c r="K588" s="12" t="str">
        <f aca="false">IF(C588="","",IFERROR(INDEX(Recipes!$C:$C,MATCH(C588,Recipes!$A:$A,0)),""))</f>
        <v/>
      </c>
      <c r="L588" s="12" t="str">
        <f aca="false">IF(AND(A588='Grocery List'!$B$3,E588="Yes"),COUNTIFS($A$4:A588,'Grocery List'!$B$3,$E$4:E588,"Yes"),"")</f>
        <v/>
      </c>
    </row>
    <row r="589" customFormat="false" ht="15" hidden="false" customHeight="false" outlineLevel="0" collapsed="false">
      <c r="A589" s="16"/>
      <c r="D589" s="12" t="str">
        <f aca="false">IF(C589="","",IFERROR(INDEX(Recipes!$B:$B,MATCH(C589,Recipes!$A:$A,0)),"⚠ unknown recipe_id"))</f>
        <v/>
      </c>
      <c r="K589" s="12" t="str">
        <f aca="false">IF(C589="","",IFERROR(INDEX(Recipes!$C:$C,MATCH(C589,Recipes!$A:$A,0)),""))</f>
        <v/>
      </c>
      <c r="L589" s="12" t="str">
        <f aca="false">IF(AND(A589='Grocery List'!$B$3,E589="Yes"),COUNTIFS($A$4:A589,'Grocery List'!$B$3,$E$4:E589,"Yes"),"")</f>
        <v/>
      </c>
    </row>
    <row r="590" customFormat="false" ht="15" hidden="false" customHeight="false" outlineLevel="0" collapsed="false">
      <c r="A590" s="16"/>
      <c r="D590" s="12" t="str">
        <f aca="false">IF(C590="","",IFERROR(INDEX(Recipes!$B:$B,MATCH(C590,Recipes!$A:$A,0)),"⚠ unknown recipe_id"))</f>
        <v/>
      </c>
      <c r="K590" s="12" t="str">
        <f aca="false">IF(C590="","",IFERROR(INDEX(Recipes!$C:$C,MATCH(C590,Recipes!$A:$A,0)),""))</f>
        <v/>
      </c>
      <c r="L590" s="12" t="str">
        <f aca="false">IF(AND(A590='Grocery List'!$B$3,E590="Yes"),COUNTIFS($A$4:A590,'Grocery List'!$B$3,$E$4:E590,"Yes"),"")</f>
        <v/>
      </c>
    </row>
    <row r="591" customFormat="false" ht="15" hidden="false" customHeight="false" outlineLevel="0" collapsed="false">
      <c r="A591" s="16"/>
      <c r="D591" s="12" t="str">
        <f aca="false">IF(C591="","",IFERROR(INDEX(Recipes!$B:$B,MATCH(C591,Recipes!$A:$A,0)),"⚠ unknown recipe_id"))</f>
        <v/>
      </c>
      <c r="K591" s="12" t="str">
        <f aca="false">IF(C591="","",IFERROR(INDEX(Recipes!$C:$C,MATCH(C591,Recipes!$A:$A,0)),""))</f>
        <v/>
      </c>
      <c r="L591" s="12" t="str">
        <f aca="false">IF(AND(A591='Grocery List'!$B$3,E591="Yes"),COUNTIFS($A$4:A591,'Grocery List'!$B$3,$E$4:E591,"Yes"),"")</f>
        <v/>
      </c>
    </row>
    <row r="592" customFormat="false" ht="15" hidden="false" customHeight="false" outlineLevel="0" collapsed="false">
      <c r="A592" s="16"/>
      <c r="D592" s="12" t="str">
        <f aca="false">IF(C592="","",IFERROR(INDEX(Recipes!$B:$B,MATCH(C592,Recipes!$A:$A,0)),"⚠ unknown recipe_id"))</f>
        <v/>
      </c>
      <c r="K592" s="12" t="str">
        <f aca="false">IF(C592="","",IFERROR(INDEX(Recipes!$C:$C,MATCH(C592,Recipes!$A:$A,0)),""))</f>
        <v/>
      </c>
      <c r="L592" s="12" t="str">
        <f aca="false">IF(AND(A592='Grocery List'!$B$3,E592="Yes"),COUNTIFS($A$4:A592,'Grocery List'!$B$3,$E$4:E592,"Yes"),"")</f>
        <v/>
      </c>
    </row>
    <row r="593" customFormat="false" ht="15" hidden="false" customHeight="false" outlineLevel="0" collapsed="false">
      <c r="A593" s="16"/>
      <c r="D593" s="12" t="str">
        <f aca="false">IF(C593="","",IFERROR(INDEX(Recipes!$B:$B,MATCH(C593,Recipes!$A:$A,0)),"⚠ unknown recipe_id"))</f>
        <v/>
      </c>
      <c r="K593" s="12" t="str">
        <f aca="false">IF(C593="","",IFERROR(INDEX(Recipes!$C:$C,MATCH(C593,Recipes!$A:$A,0)),""))</f>
        <v/>
      </c>
      <c r="L593" s="12" t="str">
        <f aca="false">IF(AND(A593='Grocery List'!$B$3,E593="Yes"),COUNTIFS($A$4:A593,'Grocery List'!$B$3,$E$4:E593,"Yes"),"")</f>
        <v/>
      </c>
    </row>
    <row r="594" customFormat="false" ht="15" hidden="false" customHeight="false" outlineLevel="0" collapsed="false">
      <c r="A594" s="16"/>
      <c r="D594" s="12" t="str">
        <f aca="false">IF(C594="","",IFERROR(INDEX(Recipes!$B:$B,MATCH(C594,Recipes!$A:$A,0)),"⚠ unknown recipe_id"))</f>
        <v/>
      </c>
      <c r="K594" s="12" t="str">
        <f aca="false">IF(C594="","",IFERROR(INDEX(Recipes!$C:$C,MATCH(C594,Recipes!$A:$A,0)),""))</f>
        <v/>
      </c>
      <c r="L594" s="12" t="str">
        <f aca="false">IF(AND(A594='Grocery List'!$B$3,E594="Yes"),COUNTIFS($A$4:A594,'Grocery List'!$B$3,$E$4:E594,"Yes"),"")</f>
        <v/>
      </c>
    </row>
    <row r="595" customFormat="false" ht="15" hidden="false" customHeight="false" outlineLevel="0" collapsed="false">
      <c r="A595" s="16"/>
      <c r="D595" s="12" t="str">
        <f aca="false">IF(C595="","",IFERROR(INDEX(Recipes!$B:$B,MATCH(C595,Recipes!$A:$A,0)),"⚠ unknown recipe_id"))</f>
        <v/>
      </c>
      <c r="K595" s="12" t="str">
        <f aca="false">IF(C595="","",IFERROR(INDEX(Recipes!$C:$C,MATCH(C595,Recipes!$A:$A,0)),""))</f>
        <v/>
      </c>
      <c r="L595" s="12" t="str">
        <f aca="false">IF(AND(A595='Grocery List'!$B$3,E595="Yes"),COUNTIFS($A$4:A595,'Grocery List'!$B$3,$E$4:E595,"Yes"),"")</f>
        <v/>
      </c>
    </row>
    <row r="596" customFormat="false" ht="15" hidden="false" customHeight="false" outlineLevel="0" collapsed="false">
      <c r="A596" s="16"/>
      <c r="D596" s="12" t="str">
        <f aca="false">IF(C596="","",IFERROR(INDEX(Recipes!$B:$B,MATCH(C596,Recipes!$A:$A,0)),"⚠ unknown recipe_id"))</f>
        <v/>
      </c>
      <c r="K596" s="12" t="str">
        <f aca="false">IF(C596="","",IFERROR(INDEX(Recipes!$C:$C,MATCH(C596,Recipes!$A:$A,0)),""))</f>
        <v/>
      </c>
      <c r="L596" s="12" t="str">
        <f aca="false">IF(AND(A596='Grocery List'!$B$3,E596="Yes"),COUNTIFS($A$4:A596,'Grocery List'!$B$3,$E$4:E596,"Yes"),"")</f>
        <v/>
      </c>
    </row>
    <row r="597" customFormat="false" ht="15" hidden="false" customHeight="false" outlineLevel="0" collapsed="false">
      <c r="A597" s="16"/>
      <c r="D597" s="12" t="str">
        <f aca="false">IF(C597="","",IFERROR(INDEX(Recipes!$B:$B,MATCH(C597,Recipes!$A:$A,0)),"⚠ unknown recipe_id"))</f>
        <v/>
      </c>
      <c r="K597" s="12" t="str">
        <f aca="false">IF(C597="","",IFERROR(INDEX(Recipes!$C:$C,MATCH(C597,Recipes!$A:$A,0)),""))</f>
        <v/>
      </c>
      <c r="L597" s="12" t="str">
        <f aca="false">IF(AND(A597='Grocery List'!$B$3,E597="Yes"),COUNTIFS($A$4:A597,'Grocery List'!$B$3,$E$4:E597,"Yes"),"")</f>
        <v/>
      </c>
    </row>
    <row r="598" customFormat="false" ht="15" hidden="false" customHeight="false" outlineLevel="0" collapsed="false">
      <c r="A598" s="16"/>
      <c r="D598" s="12" t="str">
        <f aca="false">IF(C598="","",IFERROR(INDEX(Recipes!$B:$B,MATCH(C598,Recipes!$A:$A,0)),"⚠ unknown recipe_id"))</f>
        <v/>
      </c>
      <c r="K598" s="12" t="str">
        <f aca="false">IF(C598="","",IFERROR(INDEX(Recipes!$C:$C,MATCH(C598,Recipes!$A:$A,0)),""))</f>
        <v/>
      </c>
      <c r="L598" s="12" t="str">
        <f aca="false">IF(AND(A598='Grocery List'!$B$3,E598="Yes"),COUNTIFS($A$4:A598,'Grocery List'!$B$3,$E$4:E598,"Yes"),"")</f>
        <v/>
      </c>
    </row>
    <row r="599" customFormat="false" ht="15" hidden="false" customHeight="false" outlineLevel="0" collapsed="false">
      <c r="A599" s="16"/>
      <c r="D599" s="12" t="str">
        <f aca="false">IF(C599="","",IFERROR(INDEX(Recipes!$B:$B,MATCH(C599,Recipes!$A:$A,0)),"⚠ unknown recipe_id"))</f>
        <v/>
      </c>
      <c r="K599" s="12" t="str">
        <f aca="false">IF(C599="","",IFERROR(INDEX(Recipes!$C:$C,MATCH(C599,Recipes!$A:$A,0)),""))</f>
        <v/>
      </c>
      <c r="L599" s="12" t="str">
        <f aca="false">IF(AND(A599='Grocery List'!$B$3,E599="Yes"),COUNTIFS($A$4:A599,'Grocery List'!$B$3,$E$4:E599,"Yes"),"")</f>
        <v/>
      </c>
    </row>
    <row r="600" customFormat="false" ht="15" hidden="false" customHeight="false" outlineLevel="0" collapsed="false">
      <c r="A600" s="16"/>
      <c r="D600" s="12" t="str">
        <f aca="false">IF(C600="","",IFERROR(INDEX(Recipes!$B:$B,MATCH(C600,Recipes!$A:$A,0)),"⚠ unknown recipe_id"))</f>
        <v/>
      </c>
      <c r="K600" s="12" t="str">
        <f aca="false">IF(C600="","",IFERROR(INDEX(Recipes!$C:$C,MATCH(C600,Recipes!$A:$A,0)),""))</f>
        <v/>
      </c>
      <c r="L600" s="12" t="str">
        <f aca="false">IF(AND(A600='Grocery List'!$B$3,E600="Yes"),COUNTIFS($A$4:A600,'Grocery List'!$B$3,$E$4:E600,"Yes"),"")</f>
        <v/>
      </c>
    </row>
    <row r="601" customFormat="false" ht="15" hidden="false" customHeight="false" outlineLevel="0" collapsed="false">
      <c r="A601" s="16"/>
      <c r="D601" s="12" t="str">
        <f aca="false">IF(C601="","",IFERROR(INDEX(Recipes!$B:$B,MATCH(C601,Recipes!$A:$A,0)),"⚠ unknown recipe_id"))</f>
        <v/>
      </c>
      <c r="K601" s="12" t="str">
        <f aca="false">IF(C601="","",IFERROR(INDEX(Recipes!$C:$C,MATCH(C601,Recipes!$A:$A,0)),""))</f>
        <v/>
      </c>
      <c r="L601" s="12" t="str">
        <f aca="false">IF(AND(A601='Grocery List'!$B$3,E601="Yes"),COUNTIFS($A$4:A601,'Grocery List'!$B$3,$E$4:E601,"Yes"),"")</f>
        <v/>
      </c>
    </row>
    <row r="602" customFormat="false" ht="15" hidden="false" customHeight="false" outlineLevel="0" collapsed="false">
      <c r="A602" s="16"/>
      <c r="D602" s="12" t="str">
        <f aca="false">IF(C602="","",IFERROR(INDEX(Recipes!$B:$B,MATCH(C602,Recipes!$A:$A,0)),"⚠ unknown recipe_id"))</f>
        <v/>
      </c>
      <c r="K602" s="12" t="str">
        <f aca="false">IF(C602="","",IFERROR(INDEX(Recipes!$C:$C,MATCH(C602,Recipes!$A:$A,0)),""))</f>
        <v/>
      </c>
      <c r="L602" s="12" t="str">
        <f aca="false">IF(AND(A602='Grocery List'!$B$3,E602="Yes"),COUNTIFS($A$4:A602,'Grocery List'!$B$3,$E$4:E602,"Yes"),"")</f>
        <v/>
      </c>
    </row>
    <row r="603" customFormat="false" ht="15" hidden="false" customHeight="false" outlineLevel="0" collapsed="false">
      <c r="A603" s="16"/>
      <c r="D603" s="12" t="str">
        <f aca="false">IF(C603="","",IFERROR(INDEX(Recipes!$B:$B,MATCH(C603,Recipes!$A:$A,0)),"⚠ unknown recipe_id"))</f>
        <v/>
      </c>
      <c r="K603" s="12" t="str">
        <f aca="false">IF(C603="","",IFERROR(INDEX(Recipes!$C:$C,MATCH(C603,Recipes!$A:$A,0)),""))</f>
        <v/>
      </c>
      <c r="L603" s="12" t="str">
        <f aca="false">IF(AND(A603='Grocery List'!$B$3,E603="Yes"),COUNTIFS($A$4:A603,'Grocery List'!$B$3,$E$4:E603,"Yes"),"")</f>
        <v/>
      </c>
    </row>
    <row r="604" customFormat="false" ht="15" hidden="false" customHeight="false" outlineLevel="0" collapsed="false">
      <c r="A604" s="16"/>
      <c r="D604" s="12" t="str">
        <f aca="false">IF(C604="","",IFERROR(INDEX(Recipes!$B:$B,MATCH(C604,Recipes!$A:$A,0)),"⚠ unknown recipe_id"))</f>
        <v/>
      </c>
      <c r="K604" s="12" t="str">
        <f aca="false">IF(C604="","",IFERROR(INDEX(Recipes!$C:$C,MATCH(C604,Recipes!$A:$A,0)),""))</f>
        <v/>
      </c>
      <c r="L604" s="12" t="str">
        <f aca="false">IF(AND(A604='Grocery List'!$B$3,E604="Yes"),COUNTIFS($A$4:A604,'Grocery List'!$B$3,$E$4:E604,"Yes"),"")</f>
        <v/>
      </c>
    </row>
    <row r="605" customFormat="false" ht="15" hidden="false" customHeight="false" outlineLevel="0" collapsed="false">
      <c r="A605" s="16"/>
      <c r="D605" s="12" t="str">
        <f aca="false">IF(C605="","",IFERROR(INDEX(Recipes!$B:$B,MATCH(C605,Recipes!$A:$A,0)),"⚠ unknown recipe_id"))</f>
        <v/>
      </c>
      <c r="K605" s="12" t="str">
        <f aca="false">IF(C605="","",IFERROR(INDEX(Recipes!$C:$C,MATCH(C605,Recipes!$A:$A,0)),""))</f>
        <v/>
      </c>
      <c r="L605" s="12" t="str">
        <f aca="false">IF(AND(A605='Grocery List'!$B$3,E605="Yes"),COUNTIFS($A$4:A605,'Grocery List'!$B$3,$E$4:E605,"Yes"),"")</f>
        <v/>
      </c>
    </row>
    <row r="606" customFormat="false" ht="15" hidden="false" customHeight="false" outlineLevel="0" collapsed="false">
      <c r="A606" s="16"/>
      <c r="D606" s="12" t="str">
        <f aca="false">IF(C606="","",IFERROR(INDEX(Recipes!$B:$B,MATCH(C606,Recipes!$A:$A,0)),"⚠ unknown recipe_id"))</f>
        <v/>
      </c>
      <c r="K606" s="12" t="str">
        <f aca="false">IF(C606="","",IFERROR(INDEX(Recipes!$C:$C,MATCH(C606,Recipes!$A:$A,0)),""))</f>
        <v/>
      </c>
      <c r="L606" s="12" t="str">
        <f aca="false">IF(AND(A606='Grocery List'!$B$3,E606="Yes"),COUNTIFS($A$4:A606,'Grocery List'!$B$3,$E$4:E606,"Yes"),"")</f>
        <v/>
      </c>
    </row>
    <row r="607" customFormat="false" ht="15" hidden="false" customHeight="false" outlineLevel="0" collapsed="false">
      <c r="A607" s="16"/>
      <c r="D607" s="12" t="str">
        <f aca="false">IF(C607="","",IFERROR(INDEX(Recipes!$B:$B,MATCH(C607,Recipes!$A:$A,0)),"⚠ unknown recipe_id"))</f>
        <v/>
      </c>
      <c r="K607" s="12" t="str">
        <f aca="false">IF(C607="","",IFERROR(INDEX(Recipes!$C:$C,MATCH(C607,Recipes!$A:$A,0)),""))</f>
        <v/>
      </c>
      <c r="L607" s="12" t="str">
        <f aca="false">IF(AND(A607='Grocery List'!$B$3,E607="Yes"),COUNTIFS($A$4:A607,'Grocery List'!$B$3,$E$4:E607,"Yes"),"")</f>
        <v/>
      </c>
    </row>
    <row r="608" customFormat="false" ht="15" hidden="false" customHeight="false" outlineLevel="0" collapsed="false">
      <c r="A608" s="16"/>
      <c r="D608" s="12" t="str">
        <f aca="false">IF(C608="","",IFERROR(INDEX(Recipes!$B:$B,MATCH(C608,Recipes!$A:$A,0)),"⚠ unknown recipe_id"))</f>
        <v/>
      </c>
      <c r="K608" s="12" t="str">
        <f aca="false">IF(C608="","",IFERROR(INDEX(Recipes!$C:$C,MATCH(C608,Recipes!$A:$A,0)),""))</f>
        <v/>
      </c>
      <c r="L608" s="12" t="str">
        <f aca="false">IF(AND(A608='Grocery List'!$B$3,E608="Yes"),COUNTIFS($A$4:A608,'Grocery List'!$B$3,$E$4:E608,"Yes"),"")</f>
        <v/>
      </c>
    </row>
    <row r="609" customFormat="false" ht="15" hidden="false" customHeight="false" outlineLevel="0" collapsed="false">
      <c r="A609" s="16"/>
      <c r="D609" s="12" t="str">
        <f aca="false">IF(C609="","",IFERROR(INDEX(Recipes!$B:$B,MATCH(C609,Recipes!$A:$A,0)),"⚠ unknown recipe_id"))</f>
        <v/>
      </c>
      <c r="K609" s="12" t="str">
        <f aca="false">IF(C609="","",IFERROR(INDEX(Recipes!$C:$C,MATCH(C609,Recipes!$A:$A,0)),""))</f>
        <v/>
      </c>
      <c r="L609" s="12" t="str">
        <f aca="false">IF(AND(A609='Grocery List'!$B$3,E609="Yes"),COUNTIFS($A$4:A609,'Grocery List'!$B$3,$E$4:E609,"Yes"),"")</f>
        <v/>
      </c>
    </row>
    <row r="610" customFormat="false" ht="15" hidden="false" customHeight="false" outlineLevel="0" collapsed="false">
      <c r="A610" s="16"/>
      <c r="D610" s="12" t="str">
        <f aca="false">IF(C610="","",IFERROR(INDEX(Recipes!$B:$B,MATCH(C610,Recipes!$A:$A,0)),"⚠ unknown recipe_id"))</f>
        <v/>
      </c>
      <c r="K610" s="12" t="str">
        <f aca="false">IF(C610="","",IFERROR(INDEX(Recipes!$C:$C,MATCH(C610,Recipes!$A:$A,0)),""))</f>
        <v/>
      </c>
      <c r="L610" s="12" t="str">
        <f aca="false">IF(AND(A610='Grocery List'!$B$3,E610="Yes"),COUNTIFS($A$4:A610,'Grocery List'!$B$3,$E$4:E610,"Yes"),"")</f>
        <v/>
      </c>
    </row>
    <row r="611" customFormat="false" ht="15" hidden="false" customHeight="false" outlineLevel="0" collapsed="false">
      <c r="A611" s="16"/>
      <c r="D611" s="12" t="str">
        <f aca="false">IF(C611="","",IFERROR(INDEX(Recipes!$B:$B,MATCH(C611,Recipes!$A:$A,0)),"⚠ unknown recipe_id"))</f>
        <v/>
      </c>
      <c r="K611" s="12" t="str">
        <f aca="false">IF(C611="","",IFERROR(INDEX(Recipes!$C:$C,MATCH(C611,Recipes!$A:$A,0)),""))</f>
        <v/>
      </c>
      <c r="L611" s="12" t="str">
        <f aca="false">IF(AND(A611='Grocery List'!$B$3,E611="Yes"),COUNTIFS($A$4:A611,'Grocery List'!$B$3,$E$4:E611,"Yes"),"")</f>
        <v/>
      </c>
    </row>
    <row r="612" customFormat="false" ht="15" hidden="false" customHeight="false" outlineLevel="0" collapsed="false">
      <c r="A612" s="16"/>
      <c r="D612" s="12" t="str">
        <f aca="false">IF(C612="","",IFERROR(INDEX(Recipes!$B:$B,MATCH(C612,Recipes!$A:$A,0)),"⚠ unknown recipe_id"))</f>
        <v/>
      </c>
      <c r="K612" s="12" t="str">
        <f aca="false">IF(C612="","",IFERROR(INDEX(Recipes!$C:$C,MATCH(C612,Recipes!$A:$A,0)),""))</f>
        <v/>
      </c>
      <c r="L612" s="12" t="str">
        <f aca="false">IF(AND(A612='Grocery List'!$B$3,E612="Yes"),COUNTIFS($A$4:A612,'Grocery List'!$B$3,$E$4:E612,"Yes"),"")</f>
        <v/>
      </c>
    </row>
    <row r="613" customFormat="false" ht="15" hidden="false" customHeight="false" outlineLevel="0" collapsed="false">
      <c r="A613" s="16"/>
      <c r="D613" s="12" t="str">
        <f aca="false">IF(C613="","",IFERROR(INDEX(Recipes!$B:$B,MATCH(C613,Recipes!$A:$A,0)),"⚠ unknown recipe_id"))</f>
        <v/>
      </c>
      <c r="K613" s="12" t="str">
        <f aca="false">IF(C613="","",IFERROR(INDEX(Recipes!$C:$C,MATCH(C613,Recipes!$A:$A,0)),""))</f>
        <v/>
      </c>
      <c r="L613" s="12" t="str">
        <f aca="false">IF(AND(A613='Grocery List'!$B$3,E613="Yes"),COUNTIFS($A$4:A613,'Grocery List'!$B$3,$E$4:E613,"Yes"),"")</f>
        <v/>
      </c>
    </row>
    <row r="614" customFormat="false" ht="15" hidden="false" customHeight="false" outlineLevel="0" collapsed="false">
      <c r="A614" s="16"/>
      <c r="D614" s="12" t="str">
        <f aca="false">IF(C614="","",IFERROR(INDEX(Recipes!$B:$B,MATCH(C614,Recipes!$A:$A,0)),"⚠ unknown recipe_id"))</f>
        <v/>
      </c>
      <c r="K614" s="12" t="str">
        <f aca="false">IF(C614="","",IFERROR(INDEX(Recipes!$C:$C,MATCH(C614,Recipes!$A:$A,0)),""))</f>
        <v/>
      </c>
      <c r="L614" s="12" t="str">
        <f aca="false">IF(AND(A614='Grocery List'!$B$3,E614="Yes"),COUNTIFS($A$4:A614,'Grocery List'!$B$3,$E$4:E614,"Yes"),"")</f>
        <v/>
      </c>
    </row>
    <row r="615" customFormat="false" ht="15" hidden="false" customHeight="false" outlineLevel="0" collapsed="false">
      <c r="A615" s="16"/>
      <c r="D615" s="12" t="str">
        <f aca="false">IF(C615="","",IFERROR(INDEX(Recipes!$B:$B,MATCH(C615,Recipes!$A:$A,0)),"⚠ unknown recipe_id"))</f>
        <v/>
      </c>
      <c r="K615" s="12" t="str">
        <f aca="false">IF(C615="","",IFERROR(INDEX(Recipes!$C:$C,MATCH(C615,Recipes!$A:$A,0)),""))</f>
        <v/>
      </c>
      <c r="L615" s="12" t="str">
        <f aca="false">IF(AND(A615='Grocery List'!$B$3,E615="Yes"),COUNTIFS($A$4:A615,'Grocery List'!$B$3,$E$4:E615,"Yes"),"")</f>
        <v/>
      </c>
    </row>
    <row r="616" customFormat="false" ht="15" hidden="false" customHeight="false" outlineLevel="0" collapsed="false">
      <c r="A616" s="16"/>
      <c r="D616" s="12" t="str">
        <f aca="false">IF(C616="","",IFERROR(INDEX(Recipes!$B:$B,MATCH(C616,Recipes!$A:$A,0)),"⚠ unknown recipe_id"))</f>
        <v/>
      </c>
      <c r="K616" s="12" t="str">
        <f aca="false">IF(C616="","",IFERROR(INDEX(Recipes!$C:$C,MATCH(C616,Recipes!$A:$A,0)),""))</f>
        <v/>
      </c>
      <c r="L616" s="12" t="str">
        <f aca="false">IF(AND(A616='Grocery List'!$B$3,E616="Yes"),COUNTIFS($A$4:A616,'Grocery List'!$B$3,$E$4:E616,"Yes"),"")</f>
        <v/>
      </c>
    </row>
    <row r="617" customFormat="false" ht="15" hidden="false" customHeight="false" outlineLevel="0" collapsed="false">
      <c r="A617" s="16"/>
      <c r="D617" s="12" t="str">
        <f aca="false">IF(C617="","",IFERROR(INDEX(Recipes!$B:$B,MATCH(C617,Recipes!$A:$A,0)),"⚠ unknown recipe_id"))</f>
        <v/>
      </c>
      <c r="K617" s="12" t="str">
        <f aca="false">IF(C617="","",IFERROR(INDEX(Recipes!$C:$C,MATCH(C617,Recipes!$A:$A,0)),""))</f>
        <v/>
      </c>
      <c r="L617" s="12" t="str">
        <f aca="false">IF(AND(A617='Grocery List'!$B$3,E617="Yes"),COUNTIFS($A$4:A617,'Grocery List'!$B$3,$E$4:E617,"Yes"),"")</f>
        <v/>
      </c>
    </row>
    <row r="618" customFormat="false" ht="15" hidden="false" customHeight="false" outlineLevel="0" collapsed="false">
      <c r="A618" s="16"/>
      <c r="D618" s="12" t="str">
        <f aca="false">IF(C618="","",IFERROR(INDEX(Recipes!$B:$B,MATCH(C618,Recipes!$A:$A,0)),"⚠ unknown recipe_id"))</f>
        <v/>
      </c>
      <c r="K618" s="12" t="str">
        <f aca="false">IF(C618="","",IFERROR(INDEX(Recipes!$C:$C,MATCH(C618,Recipes!$A:$A,0)),""))</f>
        <v/>
      </c>
      <c r="L618" s="12" t="str">
        <f aca="false">IF(AND(A618='Grocery List'!$B$3,E618="Yes"),COUNTIFS($A$4:A618,'Grocery List'!$B$3,$E$4:E618,"Yes"),"")</f>
        <v/>
      </c>
    </row>
    <row r="619" customFormat="false" ht="15" hidden="false" customHeight="false" outlineLevel="0" collapsed="false">
      <c r="A619" s="16"/>
      <c r="D619" s="12" t="str">
        <f aca="false">IF(C619="","",IFERROR(INDEX(Recipes!$B:$B,MATCH(C619,Recipes!$A:$A,0)),"⚠ unknown recipe_id"))</f>
        <v/>
      </c>
      <c r="K619" s="12" t="str">
        <f aca="false">IF(C619="","",IFERROR(INDEX(Recipes!$C:$C,MATCH(C619,Recipes!$A:$A,0)),""))</f>
        <v/>
      </c>
      <c r="L619" s="12" t="str">
        <f aca="false">IF(AND(A619='Grocery List'!$B$3,E619="Yes"),COUNTIFS($A$4:A619,'Grocery List'!$B$3,$E$4:E619,"Yes"),"")</f>
        <v/>
      </c>
    </row>
    <row r="620" customFormat="false" ht="15" hidden="false" customHeight="false" outlineLevel="0" collapsed="false">
      <c r="A620" s="16"/>
      <c r="D620" s="12" t="str">
        <f aca="false">IF(C620="","",IFERROR(INDEX(Recipes!$B:$B,MATCH(C620,Recipes!$A:$A,0)),"⚠ unknown recipe_id"))</f>
        <v/>
      </c>
      <c r="K620" s="12" t="str">
        <f aca="false">IF(C620="","",IFERROR(INDEX(Recipes!$C:$C,MATCH(C620,Recipes!$A:$A,0)),""))</f>
        <v/>
      </c>
      <c r="L620" s="12" t="str">
        <f aca="false">IF(AND(A620='Grocery List'!$B$3,E620="Yes"),COUNTIFS($A$4:A620,'Grocery List'!$B$3,$E$4:E620,"Yes"),"")</f>
        <v/>
      </c>
    </row>
    <row r="621" customFormat="false" ht="15" hidden="false" customHeight="false" outlineLevel="0" collapsed="false">
      <c r="A621" s="16"/>
      <c r="D621" s="12" t="str">
        <f aca="false">IF(C621="","",IFERROR(INDEX(Recipes!$B:$B,MATCH(C621,Recipes!$A:$A,0)),"⚠ unknown recipe_id"))</f>
        <v/>
      </c>
      <c r="K621" s="12" t="str">
        <f aca="false">IF(C621="","",IFERROR(INDEX(Recipes!$C:$C,MATCH(C621,Recipes!$A:$A,0)),""))</f>
        <v/>
      </c>
      <c r="L621" s="12" t="str">
        <f aca="false">IF(AND(A621='Grocery List'!$B$3,E621="Yes"),COUNTIFS($A$4:A621,'Grocery List'!$B$3,$E$4:E621,"Yes"),"")</f>
        <v/>
      </c>
    </row>
    <row r="622" customFormat="false" ht="15" hidden="false" customHeight="false" outlineLevel="0" collapsed="false">
      <c r="A622" s="16"/>
      <c r="D622" s="12" t="str">
        <f aca="false">IF(C622="","",IFERROR(INDEX(Recipes!$B:$B,MATCH(C622,Recipes!$A:$A,0)),"⚠ unknown recipe_id"))</f>
        <v/>
      </c>
      <c r="K622" s="12" t="str">
        <f aca="false">IF(C622="","",IFERROR(INDEX(Recipes!$C:$C,MATCH(C622,Recipes!$A:$A,0)),""))</f>
        <v/>
      </c>
      <c r="L622" s="12" t="str">
        <f aca="false">IF(AND(A622='Grocery List'!$B$3,E622="Yes"),COUNTIFS($A$4:A622,'Grocery List'!$B$3,$E$4:E622,"Yes"),"")</f>
        <v/>
      </c>
    </row>
    <row r="623" customFormat="false" ht="15" hidden="false" customHeight="false" outlineLevel="0" collapsed="false">
      <c r="A623" s="16"/>
      <c r="D623" s="12" t="str">
        <f aca="false">IF(C623="","",IFERROR(INDEX(Recipes!$B:$B,MATCH(C623,Recipes!$A:$A,0)),"⚠ unknown recipe_id"))</f>
        <v/>
      </c>
      <c r="K623" s="12" t="str">
        <f aca="false">IF(C623="","",IFERROR(INDEX(Recipes!$C:$C,MATCH(C623,Recipes!$A:$A,0)),""))</f>
        <v/>
      </c>
      <c r="L623" s="12" t="str">
        <f aca="false">IF(AND(A623='Grocery List'!$B$3,E623="Yes"),COUNTIFS($A$4:A623,'Grocery List'!$B$3,$E$4:E623,"Yes"),"")</f>
        <v/>
      </c>
    </row>
    <row r="624" customFormat="false" ht="15" hidden="false" customHeight="false" outlineLevel="0" collapsed="false">
      <c r="A624" s="16"/>
      <c r="D624" s="12" t="str">
        <f aca="false">IF(C624="","",IFERROR(INDEX(Recipes!$B:$B,MATCH(C624,Recipes!$A:$A,0)),"⚠ unknown recipe_id"))</f>
        <v/>
      </c>
      <c r="K624" s="12" t="str">
        <f aca="false">IF(C624="","",IFERROR(INDEX(Recipes!$C:$C,MATCH(C624,Recipes!$A:$A,0)),""))</f>
        <v/>
      </c>
      <c r="L624" s="12" t="str">
        <f aca="false">IF(AND(A624='Grocery List'!$B$3,E624="Yes"),COUNTIFS($A$4:A624,'Grocery List'!$B$3,$E$4:E624,"Yes"),"")</f>
        <v/>
      </c>
    </row>
    <row r="625" customFormat="false" ht="15" hidden="false" customHeight="false" outlineLevel="0" collapsed="false">
      <c r="A625" s="16"/>
      <c r="D625" s="12" t="str">
        <f aca="false">IF(C625="","",IFERROR(INDEX(Recipes!$B:$B,MATCH(C625,Recipes!$A:$A,0)),"⚠ unknown recipe_id"))</f>
        <v/>
      </c>
      <c r="K625" s="12" t="str">
        <f aca="false">IF(C625="","",IFERROR(INDEX(Recipes!$C:$C,MATCH(C625,Recipes!$A:$A,0)),""))</f>
        <v/>
      </c>
      <c r="L625" s="12" t="str">
        <f aca="false">IF(AND(A625='Grocery List'!$B$3,E625="Yes"),COUNTIFS($A$4:A625,'Grocery List'!$B$3,$E$4:E625,"Yes"),"")</f>
        <v/>
      </c>
    </row>
    <row r="626" customFormat="false" ht="15" hidden="false" customHeight="false" outlineLevel="0" collapsed="false">
      <c r="A626" s="16"/>
      <c r="D626" s="12" t="str">
        <f aca="false">IF(C626="","",IFERROR(INDEX(Recipes!$B:$B,MATCH(C626,Recipes!$A:$A,0)),"⚠ unknown recipe_id"))</f>
        <v/>
      </c>
      <c r="K626" s="12" t="str">
        <f aca="false">IF(C626="","",IFERROR(INDEX(Recipes!$C:$C,MATCH(C626,Recipes!$A:$A,0)),""))</f>
        <v/>
      </c>
      <c r="L626" s="12" t="str">
        <f aca="false">IF(AND(A626='Grocery List'!$B$3,E626="Yes"),COUNTIFS($A$4:A626,'Grocery List'!$B$3,$E$4:E626,"Yes"),"")</f>
        <v/>
      </c>
    </row>
    <row r="627" customFormat="false" ht="15" hidden="false" customHeight="false" outlineLevel="0" collapsed="false">
      <c r="A627" s="16"/>
      <c r="D627" s="12" t="str">
        <f aca="false">IF(C627="","",IFERROR(INDEX(Recipes!$B:$B,MATCH(C627,Recipes!$A:$A,0)),"⚠ unknown recipe_id"))</f>
        <v/>
      </c>
      <c r="K627" s="12" t="str">
        <f aca="false">IF(C627="","",IFERROR(INDEX(Recipes!$C:$C,MATCH(C627,Recipes!$A:$A,0)),""))</f>
        <v/>
      </c>
      <c r="L627" s="12" t="str">
        <f aca="false">IF(AND(A627='Grocery List'!$B$3,E627="Yes"),COUNTIFS($A$4:A627,'Grocery List'!$B$3,$E$4:E627,"Yes"),"")</f>
        <v/>
      </c>
    </row>
    <row r="628" customFormat="false" ht="15" hidden="false" customHeight="false" outlineLevel="0" collapsed="false">
      <c r="A628" s="16"/>
      <c r="D628" s="12" t="str">
        <f aca="false">IF(C628="","",IFERROR(INDEX(Recipes!$B:$B,MATCH(C628,Recipes!$A:$A,0)),"⚠ unknown recipe_id"))</f>
        <v/>
      </c>
      <c r="K628" s="12" t="str">
        <f aca="false">IF(C628="","",IFERROR(INDEX(Recipes!$C:$C,MATCH(C628,Recipes!$A:$A,0)),""))</f>
        <v/>
      </c>
      <c r="L628" s="12" t="str">
        <f aca="false">IF(AND(A628='Grocery List'!$B$3,E628="Yes"),COUNTIFS($A$4:A628,'Grocery List'!$B$3,$E$4:E628,"Yes"),"")</f>
        <v/>
      </c>
    </row>
    <row r="629" customFormat="false" ht="15" hidden="false" customHeight="false" outlineLevel="0" collapsed="false">
      <c r="A629" s="16"/>
      <c r="D629" s="12" t="str">
        <f aca="false">IF(C629="","",IFERROR(INDEX(Recipes!$B:$B,MATCH(C629,Recipes!$A:$A,0)),"⚠ unknown recipe_id"))</f>
        <v/>
      </c>
      <c r="K629" s="12" t="str">
        <f aca="false">IF(C629="","",IFERROR(INDEX(Recipes!$C:$C,MATCH(C629,Recipes!$A:$A,0)),""))</f>
        <v/>
      </c>
      <c r="L629" s="12" t="str">
        <f aca="false">IF(AND(A629='Grocery List'!$B$3,E629="Yes"),COUNTIFS($A$4:A629,'Grocery List'!$B$3,$E$4:E629,"Yes"),"")</f>
        <v/>
      </c>
    </row>
    <row r="630" customFormat="false" ht="15" hidden="false" customHeight="false" outlineLevel="0" collapsed="false">
      <c r="A630" s="16"/>
      <c r="D630" s="12" t="str">
        <f aca="false">IF(C630="","",IFERROR(INDEX(Recipes!$B:$B,MATCH(C630,Recipes!$A:$A,0)),"⚠ unknown recipe_id"))</f>
        <v/>
      </c>
      <c r="K630" s="12" t="str">
        <f aca="false">IF(C630="","",IFERROR(INDEX(Recipes!$C:$C,MATCH(C630,Recipes!$A:$A,0)),""))</f>
        <v/>
      </c>
      <c r="L630" s="12" t="str">
        <f aca="false">IF(AND(A630='Grocery List'!$B$3,E630="Yes"),COUNTIFS($A$4:A630,'Grocery List'!$B$3,$E$4:E630,"Yes"),"")</f>
        <v/>
      </c>
    </row>
    <row r="631" customFormat="false" ht="15" hidden="false" customHeight="false" outlineLevel="0" collapsed="false">
      <c r="A631" s="16"/>
      <c r="D631" s="12" t="str">
        <f aca="false">IF(C631="","",IFERROR(INDEX(Recipes!$B:$B,MATCH(C631,Recipes!$A:$A,0)),"⚠ unknown recipe_id"))</f>
        <v/>
      </c>
      <c r="K631" s="12" t="str">
        <f aca="false">IF(C631="","",IFERROR(INDEX(Recipes!$C:$C,MATCH(C631,Recipes!$A:$A,0)),""))</f>
        <v/>
      </c>
      <c r="L631" s="12" t="str">
        <f aca="false">IF(AND(A631='Grocery List'!$B$3,E631="Yes"),COUNTIFS($A$4:A631,'Grocery List'!$B$3,$E$4:E631,"Yes"),"")</f>
        <v/>
      </c>
    </row>
    <row r="632" customFormat="false" ht="15" hidden="false" customHeight="false" outlineLevel="0" collapsed="false">
      <c r="A632" s="16"/>
      <c r="D632" s="12" t="str">
        <f aca="false">IF(C632="","",IFERROR(INDEX(Recipes!$B:$B,MATCH(C632,Recipes!$A:$A,0)),"⚠ unknown recipe_id"))</f>
        <v/>
      </c>
      <c r="K632" s="12" t="str">
        <f aca="false">IF(C632="","",IFERROR(INDEX(Recipes!$C:$C,MATCH(C632,Recipes!$A:$A,0)),""))</f>
        <v/>
      </c>
      <c r="L632" s="12" t="str">
        <f aca="false">IF(AND(A632='Grocery List'!$B$3,E632="Yes"),COUNTIFS($A$4:A632,'Grocery List'!$B$3,$E$4:E632,"Yes"),"")</f>
        <v/>
      </c>
    </row>
    <row r="633" customFormat="false" ht="15" hidden="false" customHeight="false" outlineLevel="0" collapsed="false">
      <c r="A633" s="16"/>
      <c r="D633" s="12" t="str">
        <f aca="false">IF(C633="","",IFERROR(INDEX(Recipes!$B:$B,MATCH(C633,Recipes!$A:$A,0)),"⚠ unknown recipe_id"))</f>
        <v/>
      </c>
      <c r="K633" s="12" t="str">
        <f aca="false">IF(C633="","",IFERROR(INDEX(Recipes!$C:$C,MATCH(C633,Recipes!$A:$A,0)),""))</f>
        <v/>
      </c>
      <c r="L633" s="12" t="str">
        <f aca="false">IF(AND(A633='Grocery List'!$B$3,E633="Yes"),COUNTIFS($A$4:A633,'Grocery List'!$B$3,$E$4:E633,"Yes"),"")</f>
        <v/>
      </c>
    </row>
    <row r="634" customFormat="false" ht="15" hidden="false" customHeight="false" outlineLevel="0" collapsed="false">
      <c r="A634" s="16"/>
      <c r="D634" s="12" t="str">
        <f aca="false">IF(C634="","",IFERROR(INDEX(Recipes!$B:$B,MATCH(C634,Recipes!$A:$A,0)),"⚠ unknown recipe_id"))</f>
        <v/>
      </c>
      <c r="K634" s="12" t="str">
        <f aca="false">IF(C634="","",IFERROR(INDEX(Recipes!$C:$C,MATCH(C634,Recipes!$A:$A,0)),""))</f>
        <v/>
      </c>
      <c r="L634" s="12" t="str">
        <f aca="false">IF(AND(A634='Grocery List'!$B$3,E634="Yes"),COUNTIFS($A$4:A634,'Grocery List'!$B$3,$E$4:E634,"Yes"),"")</f>
        <v/>
      </c>
    </row>
    <row r="635" customFormat="false" ht="15" hidden="false" customHeight="false" outlineLevel="0" collapsed="false">
      <c r="A635" s="16"/>
      <c r="D635" s="12" t="str">
        <f aca="false">IF(C635="","",IFERROR(INDEX(Recipes!$B:$B,MATCH(C635,Recipes!$A:$A,0)),"⚠ unknown recipe_id"))</f>
        <v/>
      </c>
      <c r="K635" s="12" t="str">
        <f aca="false">IF(C635="","",IFERROR(INDEX(Recipes!$C:$C,MATCH(C635,Recipes!$A:$A,0)),""))</f>
        <v/>
      </c>
      <c r="L635" s="12" t="str">
        <f aca="false">IF(AND(A635='Grocery List'!$B$3,E635="Yes"),COUNTIFS($A$4:A635,'Grocery List'!$B$3,$E$4:E635,"Yes"),"")</f>
        <v/>
      </c>
    </row>
    <row r="636" customFormat="false" ht="15" hidden="false" customHeight="false" outlineLevel="0" collapsed="false">
      <c r="A636" s="16"/>
      <c r="D636" s="12" t="str">
        <f aca="false">IF(C636="","",IFERROR(INDEX(Recipes!$B:$B,MATCH(C636,Recipes!$A:$A,0)),"⚠ unknown recipe_id"))</f>
        <v/>
      </c>
      <c r="K636" s="12" t="str">
        <f aca="false">IF(C636="","",IFERROR(INDEX(Recipes!$C:$C,MATCH(C636,Recipes!$A:$A,0)),""))</f>
        <v/>
      </c>
      <c r="L636" s="12" t="str">
        <f aca="false">IF(AND(A636='Grocery List'!$B$3,E636="Yes"),COUNTIFS($A$4:A636,'Grocery List'!$B$3,$E$4:E636,"Yes"),"")</f>
        <v/>
      </c>
    </row>
    <row r="637" customFormat="false" ht="15" hidden="false" customHeight="false" outlineLevel="0" collapsed="false">
      <c r="A637" s="16"/>
      <c r="D637" s="12" t="str">
        <f aca="false">IF(C637="","",IFERROR(INDEX(Recipes!$B:$B,MATCH(C637,Recipes!$A:$A,0)),"⚠ unknown recipe_id"))</f>
        <v/>
      </c>
      <c r="K637" s="12" t="str">
        <f aca="false">IF(C637="","",IFERROR(INDEX(Recipes!$C:$C,MATCH(C637,Recipes!$A:$A,0)),""))</f>
        <v/>
      </c>
      <c r="L637" s="12" t="str">
        <f aca="false">IF(AND(A637='Grocery List'!$B$3,E637="Yes"),COUNTIFS($A$4:A637,'Grocery List'!$B$3,$E$4:E637,"Yes"),"")</f>
        <v/>
      </c>
    </row>
    <row r="638" customFormat="false" ht="15" hidden="false" customHeight="false" outlineLevel="0" collapsed="false">
      <c r="A638" s="16"/>
      <c r="D638" s="12" t="str">
        <f aca="false">IF(C638="","",IFERROR(INDEX(Recipes!$B:$B,MATCH(C638,Recipes!$A:$A,0)),"⚠ unknown recipe_id"))</f>
        <v/>
      </c>
      <c r="K638" s="12" t="str">
        <f aca="false">IF(C638="","",IFERROR(INDEX(Recipes!$C:$C,MATCH(C638,Recipes!$A:$A,0)),""))</f>
        <v/>
      </c>
      <c r="L638" s="12" t="str">
        <f aca="false">IF(AND(A638='Grocery List'!$B$3,E638="Yes"),COUNTIFS($A$4:A638,'Grocery List'!$B$3,$E$4:E638,"Yes"),"")</f>
        <v/>
      </c>
    </row>
    <row r="639" customFormat="false" ht="15" hidden="false" customHeight="false" outlineLevel="0" collapsed="false">
      <c r="A639" s="16"/>
      <c r="D639" s="12" t="str">
        <f aca="false">IF(C639="","",IFERROR(INDEX(Recipes!$B:$B,MATCH(C639,Recipes!$A:$A,0)),"⚠ unknown recipe_id"))</f>
        <v/>
      </c>
      <c r="K639" s="12" t="str">
        <f aca="false">IF(C639="","",IFERROR(INDEX(Recipes!$C:$C,MATCH(C639,Recipes!$A:$A,0)),""))</f>
        <v/>
      </c>
      <c r="L639" s="12" t="str">
        <f aca="false">IF(AND(A639='Grocery List'!$B$3,E639="Yes"),COUNTIFS($A$4:A639,'Grocery List'!$B$3,$E$4:E639,"Yes"),"")</f>
        <v/>
      </c>
    </row>
    <row r="640" customFormat="false" ht="15" hidden="false" customHeight="false" outlineLevel="0" collapsed="false">
      <c r="A640" s="16"/>
      <c r="D640" s="12" t="str">
        <f aca="false">IF(C640="","",IFERROR(INDEX(Recipes!$B:$B,MATCH(C640,Recipes!$A:$A,0)),"⚠ unknown recipe_id"))</f>
        <v/>
      </c>
      <c r="K640" s="12" t="str">
        <f aca="false">IF(C640="","",IFERROR(INDEX(Recipes!$C:$C,MATCH(C640,Recipes!$A:$A,0)),""))</f>
        <v/>
      </c>
      <c r="L640" s="12" t="str">
        <f aca="false">IF(AND(A640='Grocery List'!$B$3,E640="Yes"),COUNTIFS($A$4:A640,'Grocery List'!$B$3,$E$4:E640,"Yes"),"")</f>
        <v/>
      </c>
    </row>
    <row r="641" customFormat="false" ht="15" hidden="false" customHeight="false" outlineLevel="0" collapsed="false">
      <c r="A641" s="16"/>
      <c r="D641" s="12" t="str">
        <f aca="false">IF(C641="","",IFERROR(INDEX(Recipes!$B:$B,MATCH(C641,Recipes!$A:$A,0)),"⚠ unknown recipe_id"))</f>
        <v/>
      </c>
      <c r="K641" s="12" t="str">
        <f aca="false">IF(C641="","",IFERROR(INDEX(Recipes!$C:$C,MATCH(C641,Recipes!$A:$A,0)),""))</f>
        <v/>
      </c>
      <c r="L641" s="12" t="str">
        <f aca="false">IF(AND(A641='Grocery List'!$B$3,E641="Yes"),COUNTIFS($A$4:A641,'Grocery List'!$B$3,$E$4:E641,"Yes"),"")</f>
        <v/>
      </c>
    </row>
    <row r="642" customFormat="false" ht="15" hidden="false" customHeight="false" outlineLevel="0" collapsed="false">
      <c r="A642" s="16"/>
      <c r="D642" s="12" t="str">
        <f aca="false">IF(C642="","",IFERROR(INDEX(Recipes!$B:$B,MATCH(C642,Recipes!$A:$A,0)),"⚠ unknown recipe_id"))</f>
        <v/>
      </c>
      <c r="K642" s="12" t="str">
        <f aca="false">IF(C642="","",IFERROR(INDEX(Recipes!$C:$C,MATCH(C642,Recipes!$A:$A,0)),""))</f>
        <v/>
      </c>
      <c r="L642" s="12" t="str">
        <f aca="false">IF(AND(A642='Grocery List'!$B$3,E642="Yes"),COUNTIFS($A$4:A642,'Grocery List'!$B$3,$E$4:E642,"Yes"),"")</f>
        <v/>
      </c>
    </row>
    <row r="643" customFormat="false" ht="15" hidden="false" customHeight="false" outlineLevel="0" collapsed="false">
      <c r="A643" s="16"/>
      <c r="D643" s="12" t="str">
        <f aca="false">IF(C643="","",IFERROR(INDEX(Recipes!$B:$B,MATCH(C643,Recipes!$A:$A,0)),"⚠ unknown recipe_id"))</f>
        <v/>
      </c>
      <c r="K643" s="12" t="str">
        <f aca="false">IF(C643="","",IFERROR(INDEX(Recipes!$C:$C,MATCH(C643,Recipes!$A:$A,0)),""))</f>
        <v/>
      </c>
      <c r="L643" s="12" t="str">
        <f aca="false">IF(AND(A643='Grocery List'!$B$3,E643="Yes"),COUNTIFS($A$4:A643,'Grocery List'!$B$3,$E$4:E643,"Yes"),"")</f>
        <v/>
      </c>
    </row>
    <row r="644" customFormat="false" ht="15" hidden="false" customHeight="false" outlineLevel="0" collapsed="false">
      <c r="A644" s="16"/>
      <c r="D644" s="12" t="str">
        <f aca="false">IF(C644="","",IFERROR(INDEX(Recipes!$B:$B,MATCH(C644,Recipes!$A:$A,0)),"⚠ unknown recipe_id"))</f>
        <v/>
      </c>
      <c r="K644" s="12" t="str">
        <f aca="false">IF(C644="","",IFERROR(INDEX(Recipes!$C:$C,MATCH(C644,Recipes!$A:$A,0)),""))</f>
        <v/>
      </c>
      <c r="L644" s="12" t="str">
        <f aca="false">IF(AND(A644='Grocery List'!$B$3,E644="Yes"),COUNTIFS($A$4:A644,'Grocery List'!$B$3,$E$4:E644,"Yes"),"")</f>
        <v/>
      </c>
    </row>
    <row r="645" customFormat="false" ht="15" hidden="false" customHeight="false" outlineLevel="0" collapsed="false">
      <c r="A645" s="16"/>
      <c r="D645" s="12" t="str">
        <f aca="false">IF(C645="","",IFERROR(INDEX(Recipes!$B:$B,MATCH(C645,Recipes!$A:$A,0)),"⚠ unknown recipe_id"))</f>
        <v/>
      </c>
      <c r="K645" s="12" t="str">
        <f aca="false">IF(C645="","",IFERROR(INDEX(Recipes!$C:$C,MATCH(C645,Recipes!$A:$A,0)),""))</f>
        <v/>
      </c>
      <c r="L645" s="12" t="str">
        <f aca="false">IF(AND(A645='Grocery List'!$B$3,E645="Yes"),COUNTIFS($A$4:A645,'Grocery List'!$B$3,$E$4:E645,"Yes"),"")</f>
        <v/>
      </c>
    </row>
    <row r="646" customFormat="false" ht="15" hidden="false" customHeight="false" outlineLevel="0" collapsed="false">
      <c r="A646" s="16"/>
      <c r="D646" s="12" t="str">
        <f aca="false">IF(C646="","",IFERROR(INDEX(Recipes!$B:$B,MATCH(C646,Recipes!$A:$A,0)),"⚠ unknown recipe_id"))</f>
        <v/>
      </c>
      <c r="K646" s="12" t="str">
        <f aca="false">IF(C646="","",IFERROR(INDEX(Recipes!$C:$C,MATCH(C646,Recipes!$A:$A,0)),""))</f>
        <v/>
      </c>
      <c r="L646" s="12" t="str">
        <f aca="false">IF(AND(A646='Grocery List'!$B$3,E646="Yes"),COUNTIFS($A$4:A646,'Grocery List'!$B$3,$E$4:E646,"Yes"),"")</f>
        <v/>
      </c>
    </row>
    <row r="647" customFormat="false" ht="15" hidden="false" customHeight="false" outlineLevel="0" collapsed="false">
      <c r="A647" s="16"/>
      <c r="D647" s="12" t="str">
        <f aca="false">IF(C647="","",IFERROR(INDEX(Recipes!$B:$B,MATCH(C647,Recipes!$A:$A,0)),"⚠ unknown recipe_id"))</f>
        <v/>
      </c>
      <c r="K647" s="12" t="str">
        <f aca="false">IF(C647="","",IFERROR(INDEX(Recipes!$C:$C,MATCH(C647,Recipes!$A:$A,0)),""))</f>
        <v/>
      </c>
      <c r="L647" s="12" t="str">
        <f aca="false">IF(AND(A647='Grocery List'!$B$3,E647="Yes"),COUNTIFS($A$4:A647,'Grocery List'!$B$3,$E$4:E647,"Yes"),"")</f>
        <v/>
      </c>
    </row>
    <row r="648" customFormat="false" ht="15" hidden="false" customHeight="false" outlineLevel="0" collapsed="false">
      <c r="A648" s="16"/>
      <c r="D648" s="12" t="str">
        <f aca="false">IF(C648="","",IFERROR(INDEX(Recipes!$B:$B,MATCH(C648,Recipes!$A:$A,0)),"⚠ unknown recipe_id"))</f>
        <v/>
      </c>
      <c r="K648" s="12" t="str">
        <f aca="false">IF(C648="","",IFERROR(INDEX(Recipes!$C:$C,MATCH(C648,Recipes!$A:$A,0)),""))</f>
        <v/>
      </c>
      <c r="L648" s="12" t="str">
        <f aca="false">IF(AND(A648='Grocery List'!$B$3,E648="Yes"),COUNTIFS($A$4:A648,'Grocery List'!$B$3,$E$4:E648,"Yes"),"")</f>
        <v/>
      </c>
    </row>
    <row r="649" customFormat="false" ht="15" hidden="false" customHeight="false" outlineLevel="0" collapsed="false">
      <c r="A649" s="16"/>
      <c r="D649" s="12" t="str">
        <f aca="false">IF(C649="","",IFERROR(INDEX(Recipes!$B:$B,MATCH(C649,Recipes!$A:$A,0)),"⚠ unknown recipe_id"))</f>
        <v/>
      </c>
      <c r="K649" s="12" t="str">
        <f aca="false">IF(C649="","",IFERROR(INDEX(Recipes!$C:$C,MATCH(C649,Recipes!$A:$A,0)),""))</f>
        <v/>
      </c>
      <c r="L649" s="12" t="str">
        <f aca="false">IF(AND(A649='Grocery List'!$B$3,E649="Yes"),COUNTIFS($A$4:A649,'Grocery List'!$B$3,$E$4:E649,"Yes"),"")</f>
        <v/>
      </c>
    </row>
    <row r="650" customFormat="false" ht="15" hidden="false" customHeight="false" outlineLevel="0" collapsed="false">
      <c r="A650" s="16"/>
      <c r="D650" s="12" t="str">
        <f aca="false">IF(C650="","",IFERROR(INDEX(Recipes!$B:$B,MATCH(C650,Recipes!$A:$A,0)),"⚠ unknown recipe_id"))</f>
        <v/>
      </c>
      <c r="K650" s="12" t="str">
        <f aca="false">IF(C650="","",IFERROR(INDEX(Recipes!$C:$C,MATCH(C650,Recipes!$A:$A,0)),""))</f>
        <v/>
      </c>
      <c r="L650" s="12" t="str">
        <f aca="false">IF(AND(A650='Grocery List'!$B$3,E650="Yes"),COUNTIFS($A$4:A650,'Grocery List'!$B$3,$E$4:E650,"Yes"),"")</f>
        <v/>
      </c>
    </row>
    <row r="651" customFormat="false" ht="15" hidden="false" customHeight="false" outlineLevel="0" collapsed="false">
      <c r="A651" s="16"/>
      <c r="D651" s="12" t="str">
        <f aca="false">IF(C651="","",IFERROR(INDEX(Recipes!$B:$B,MATCH(C651,Recipes!$A:$A,0)),"⚠ unknown recipe_id"))</f>
        <v/>
      </c>
      <c r="K651" s="12" t="str">
        <f aca="false">IF(C651="","",IFERROR(INDEX(Recipes!$C:$C,MATCH(C651,Recipes!$A:$A,0)),""))</f>
        <v/>
      </c>
      <c r="L651" s="12" t="str">
        <f aca="false">IF(AND(A651='Grocery List'!$B$3,E651="Yes"),COUNTIFS($A$4:A651,'Grocery List'!$B$3,$E$4:E651,"Yes"),"")</f>
        <v/>
      </c>
    </row>
    <row r="652" customFormat="false" ht="15" hidden="false" customHeight="false" outlineLevel="0" collapsed="false">
      <c r="A652" s="16"/>
      <c r="D652" s="12" t="str">
        <f aca="false">IF(C652="","",IFERROR(INDEX(Recipes!$B:$B,MATCH(C652,Recipes!$A:$A,0)),"⚠ unknown recipe_id"))</f>
        <v/>
      </c>
      <c r="K652" s="12" t="str">
        <f aca="false">IF(C652="","",IFERROR(INDEX(Recipes!$C:$C,MATCH(C652,Recipes!$A:$A,0)),""))</f>
        <v/>
      </c>
      <c r="L652" s="12" t="str">
        <f aca="false">IF(AND(A652='Grocery List'!$B$3,E652="Yes"),COUNTIFS($A$4:A652,'Grocery List'!$B$3,$E$4:E652,"Yes"),"")</f>
        <v/>
      </c>
    </row>
    <row r="653" customFormat="false" ht="15" hidden="false" customHeight="false" outlineLevel="0" collapsed="false">
      <c r="A653" s="16"/>
      <c r="D653" s="12" t="str">
        <f aca="false">IF(C653="","",IFERROR(INDEX(Recipes!$B:$B,MATCH(C653,Recipes!$A:$A,0)),"⚠ unknown recipe_id"))</f>
        <v/>
      </c>
      <c r="K653" s="12" t="str">
        <f aca="false">IF(C653="","",IFERROR(INDEX(Recipes!$C:$C,MATCH(C653,Recipes!$A:$A,0)),""))</f>
        <v/>
      </c>
      <c r="L653" s="12" t="str">
        <f aca="false">IF(AND(A653='Grocery List'!$B$3,E653="Yes"),COUNTIFS($A$4:A653,'Grocery List'!$B$3,$E$4:E653,"Yes"),"")</f>
        <v/>
      </c>
    </row>
    <row r="654" customFormat="false" ht="15" hidden="false" customHeight="false" outlineLevel="0" collapsed="false">
      <c r="A654" s="16"/>
      <c r="D654" s="12" t="str">
        <f aca="false">IF(C654="","",IFERROR(INDEX(Recipes!$B:$B,MATCH(C654,Recipes!$A:$A,0)),"⚠ unknown recipe_id"))</f>
        <v/>
      </c>
      <c r="K654" s="12" t="str">
        <f aca="false">IF(C654="","",IFERROR(INDEX(Recipes!$C:$C,MATCH(C654,Recipes!$A:$A,0)),""))</f>
        <v/>
      </c>
      <c r="L654" s="12" t="str">
        <f aca="false">IF(AND(A654='Grocery List'!$B$3,E654="Yes"),COUNTIFS($A$4:A654,'Grocery List'!$B$3,$E$4:E654,"Yes"),"")</f>
        <v/>
      </c>
    </row>
    <row r="655" customFormat="false" ht="15" hidden="false" customHeight="false" outlineLevel="0" collapsed="false">
      <c r="A655" s="16"/>
      <c r="D655" s="12" t="str">
        <f aca="false">IF(C655="","",IFERROR(INDEX(Recipes!$B:$B,MATCH(C655,Recipes!$A:$A,0)),"⚠ unknown recipe_id"))</f>
        <v/>
      </c>
      <c r="K655" s="12" t="str">
        <f aca="false">IF(C655="","",IFERROR(INDEX(Recipes!$C:$C,MATCH(C655,Recipes!$A:$A,0)),""))</f>
        <v/>
      </c>
      <c r="L655" s="12" t="str">
        <f aca="false">IF(AND(A655='Grocery List'!$B$3,E655="Yes"),COUNTIFS($A$4:A655,'Grocery List'!$B$3,$E$4:E655,"Yes"),"")</f>
        <v/>
      </c>
    </row>
    <row r="656" customFormat="false" ht="15" hidden="false" customHeight="false" outlineLevel="0" collapsed="false">
      <c r="A656" s="16"/>
      <c r="D656" s="12" t="str">
        <f aca="false">IF(C656="","",IFERROR(INDEX(Recipes!$B:$B,MATCH(C656,Recipes!$A:$A,0)),"⚠ unknown recipe_id"))</f>
        <v/>
      </c>
      <c r="K656" s="12" t="str">
        <f aca="false">IF(C656="","",IFERROR(INDEX(Recipes!$C:$C,MATCH(C656,Recipes!$A:$A,0)),""))</f>
        <v/>
      </c>
      <c r="L656" s="12" t="str">
        <f aca="false">IF(AND(A656='Grocery List'!$B$3,E656="Yes"),COUNTIFS($A$4:A656,'Grocery List'!$B$3,$E$4:E656,"Yes"),"")</f>
        <v/>
      </c>
    </row>
    <row r="657" customFormat="false" ht="15" hidden="false" customHeight="false" outlineLevel="0" collapsed="false">
      <c r="A657" s="16"/>
      <c r="D657" s="12" t="str">
        <f aca="false">IF(C657="","",IFERROR(INDEX(Recipes!$B:$B,MATCH(C657,Recipes!$A:$A,0)),"⚠ unknown recipe_id"))</f>
        <v/>
      </c>
      <c r="K657" s="12" t="str">
        <f aca="false">IF(C657="","",IFERROR(INDEX(Recipes!$C:$C,MATCH(C657,Recipes!$A:$A,0)),""))</f>
        <v/>
      </c>
      <c r="L657" s="12" t="str">
        <f aca="false">IF(AND(A657='Grocery List'!$B$3,E657="Yes"),COUNTIFS($A$4:A657,'Grocery List'!$B$3,$E$4:E657,"Yes"),"")</f>
        <v/>
      </c>
    </row>
    <row r="658" customFormat="false" ht="15" hidden="false" customHeight="false" outlineLevel="0" collapsed="false">
      <c r="A658" s="16"/>
      <c r="D658" s="12" t="str">
        <f aca="false">IF(C658="","",IFERROR(INDEX(Recipes!$B:$B,MATCH(C658,Recipes!$A:$A,0)),"⚠ unknown recipe_id"))</f>
        <v/>
      </c>
      <c r="K658" s="12" t="str">
        <f aca="false">IF(C658="","",IFERROR(INDEX(Recipes!$C:$C,MATCH(C658,Recipes!$A:$A,0)),""))</f>
        <v/>
      </c>
      <c r="L658" s="12" t="str">
        <f aca="false">IF(AND(A658='Grocery List'!$B$3,E658="Yes"),COUNTIFS($A$4:A658,'Grocery List'!$B$3,$E$4:E658,"Yes"),"")</f>
        <v/>
      </c>
    </row>
    <row r="659" customFormat="false" ht="15" hidden="false" customHeight="false" outlineLevel="0" collapsed="false">
      <c r="A659" s="16"/>
      <c r="D659" s="12" t="str">
        <f aca="false">IF(C659="","",IFERROR(INDEX(Recipes!$B:$B,MATCH(C659,Recipes!$A:$A,0)),"⚠ unknown recipe_id"))</f>
        <v/>
      </c>
      <c r="K659" s="12" t="str">
        <f aca="false">IF(C659="","",IFERROR(INDEX(Recipes!$C:$C,MATCH(C659,Recipes!$A:$A,0)),""))</f>
        <v/>
      </c>
      <c r="L659" s="12" t="str">
        <f aca="false">IF(AND(A659='Grocery List'!$B$3,E659="Yes"),COUNTIFS($A$4:A659,'Grocery List'!$B$3,$E$4:E659,"Yes"),"")</f>
        <v/>
      </c>
    </row>
    <row r="660" customFormat="false" ht="15" hidden="false" customHeight="false" outlineLevel="0" collapsed="false">
      <c r="A660" s="16"/>
      <c r="D660" s="12" t="str">
        <f aca="false">IF(C660="","",IFERROR(INDEX(Recipes!$B:$B,MATCH(C660,Recipes!$A:$A,0)),"⚠ unknown recipe_id"))</f>
        <v/>
      </c>
      <c r="K660" s="12" t="str">
        <f aca="false">IF(C660="","",IFERROR(INDEX(Recipes!$C:$C,MATCH(C660,Recipes!$A:$A,0)),""))</f>
        <v/>
      </c>
      <c r="L660" s="12" t="str">
        <f aca="false">IF(AND(A660='Grocery List'!$B$3,E660="Yes"),COUNTIFS($A$4:A660,'Grocery List'!$B$3,$E$4:E660,"Yes"),"")</f>
        <v/>
      </c>
    </row>
    <row r="661" customFormat="false" ht="15" hidden="false" customHeight="false" outlineLevel="0" collapsed="false">
      <c r="A661" s="16"/>
      <c r="D661" s="12" t="str">
        <f aca="false">IF(C661="","",IFERROR(INDEX(Recipes!$B:$B,MATCH(C661,Recipes!$A:$A,0)),"⚠ unknown recipe_id"))</f>
        <v/>
      </c>
      <c r="K661" s="12" t="str">
        <f aca="false">IF(C661="","",IFERROR(INDEX(Recipes!$C:$C,MATCH(C661,Recipes!$A:$A,0)),""))</f>
        <v/>
      </c>
      <c r="L661" s="12" t="str">
        <f aca="false">IF(AND(A661='Grocery List'!$B$3,E661="Yes"),COUNTIFS($A$4:A661,'Grocery List'!$B$3,$E$4:E661,"Yes"),"")</f>
        <v/>
      </c>
    </row>
    <row r="662" customFormat="false" ht="15" hidden="false" customHeight="false" outlineLevel="0" collapsed="false">
      <c r="A662" s="16"/>
      <c r="D662" s="12" t="str">
        <f aca="false">IF(C662="","",IFERROR(INDEX(Recipes!$B:$B,MATCH(C662,Recipes!$A:$A,0)),"⚠ unknown recipe_id"))</f>
        <v/>
      </c>
      <c r="K662" s="12" t="str">
        <f aca="false">IF(C662="","",IFERROR(INDEX(Recipes!$C:$C,MATCH(C662,Recipes!$A:$A,0)),""))</f>
        <v/>
      </c>
      <c r="L662" s="12" t="str">
        <f aca="false">IF(AND(A662='Grocery List'!$B$3,E662="Yes"),COUNTIFS($A$4:A662,'Grocery List'!$B$3,$E$4:E662,"Yes"),"")</f>
        <v/>
      </c>
    </row>
    <row r="663" customFormat="false" ht="15" hidden="false" customHeight="false" outlineLevel="0" collapsed="false">
      <c r="A663" s="16"/>
      <c r="D663" s="12" t="str">
        <f aca="false">IF(C663="","",IFERROR(INDEX(Recipes!$B:$B,MATCH(C663,Recipes!$A:$A,0)),"⚠ unknown recipe_id"))</f>
        <v/>
      </c>
      <c r="K663" s="12" t="str">
        <f aca="false">IF(C663="","",IFERROR(INDEX(Recipes!$C:$C,MATCH(C663,Recipes!$A:$A,0)),""))</f>
        <v/>
      </c>
      <c r="L663" s="12" t="str">
        <f aca="false">IF(AND(A663='Grocery List'!$B$3,E663="Yes"),COUNTIFS($A$4:A663,'Grocery List'!$B$3,$E$4:E663,"Yes"),"")</f>
        <v/>
      </c>
    </row>
    <row r="664" customFormat="false" ht="15" hidden="false" customHeight="false" outlineLevel="0" collapsed="false">
      <c r="A664" s="16"/>
      <c r="D664" s="12" t="str">
        <f aca="false">IF(C664="","",IFERROR(INDEX(Recipes!$B:$B,MATCH(C664,Recipes!$A:$A,0)),"⚠ unknown recipe_id"))</f>
        <v/>
      </c>
      <c r="K664" s="12" t="str">
        <f aca="false">IF(C664="","",IFERROR(INDEX(Recipes!$C:$C,MATCH(C664,Recipes!$A:$A,0)),""))</f>
        <v/>
      </c>
      <c r="L664" s="12" t="str">
        <f aca="false">IF(AND(A664='Grocery List'!$B$3,E664="Yes"),COUNTIFS($A$4:A664,'Grocery List'!$B$3,$E$4:E664,"Yes"),"")</f>
        <v/>
      </c>
    </row>
    <row r="665" customFormat="false" ht="15" hidden="false" customHeight="false" outlineLevel="0" collapsed="false">
      <c r="A665" s="16"/>
      <c r="D665" s="12" t="str">
        <f aca="false">IF(C665="","",IFERROR(INDEX(Recipes!$B:$B,MATCH(C665,Recipes!$A:$A,0)),"⚠ unknown recipe_id"))</f>
        <v/>
      </c>
      <c r="K665" s="12" t="str">
        <f aca="false">IF(C665="","",IFERROR(INDEX(Recipes!$C:$C,MATCH(C665,Recipes!$A:$A,0)),""))</f>
        <v/>
      </c>
      <c r="L665" s="12" t="str">
        <f aca="false">IF(AND(A665='Grocery List'!$B$3,E665="Yes"),COUNTIFS($A$4:A665,'Grocery List'!$B$3,$E$4:E665,"Yes"),"")</f>
        <v/>
      </c>
    </row>
    <row r="666" customFormat="false" ht="15" hidden="false" customHeight="false" outlineLevel="0" collapsed="false">
      <c r="A666" s="16"/>
      <c r="D666" s="12" t="str">
        <f aca="false">IF(C666="","",IFERROR(INDEX(Recipes!$B:$B,MATCH(C666,Recipes!$A:$A,0)),"⚠ unknown recipe_id"))</f>
        <v/>
      </c>
      <c r="K666" s="12" t="str">
        <f aca="false">IF(C666="","",IFERROR(INDEX(Recipes!$C:$C,MATCH(C666,Recipes!$A:$A,0)),""))</f>
        <v/>
      </c>
      <c r="L666" s="12" t="str">
        <f aca="false">IF(AND(A666='Grocery List'!$B$3,E666="Yes"),COUNTIFS($A$4:A666,'Grocery List'!$B$3,$E$4:E666,"Yes"),"")</f>
        <v/>
      </c>
    </row>
    <row r="667" customFormat="false" ht="15" hidden="false" customHeight="false" outlineLevel="0" collapsed="false">
      <c r="A667" s="16"/>
      <c r="D667" s="12" t="str">
        <f aca="false">IF(C667="","",IFERROR(INDEX(Recipes!$B:$B,MATCH(C667,Recipes!$A:$A,0)),"⚠ unknown recipe_id"))</f>
        <v/>
      </c>
      <c r="K667" s="12" t="str">
        <f aca="false">IF(C667="","",IFERROR(INDEX(Recipes!$C:$C,MATCH(C667,Recipes!$A:$A,0)),""))</f>
        <v/>
      </c>
      <c r="L667" s="12" t="str">
        <f aca="false">IF(AND(A667='Grocery List'!$B$3,E667="Yes"),COUNTIFS($A$4:A667,'Grocery List'!$B$3,$E$4:E667,"Yes"),"")</f>
        <v/>
      </c>
    </row>
    <row r="668" customFormat="false" ht="15" hidden="false" customHeight="false" outlineLevel="0" collapsed="false">
      <c r="A668" s="16"/>
      <c r="D668" s="12" t="str">
        <f aca="false">IF(C668="","",IFERROR(INDEX(Recipes!$B:$B,MATCH(C668,Recipes!$A:$A,0)),"⚠ unknown recipe_id"))</f>
        <v/>
      </c>
      <c r="K668" s="12" t="str">
        <f aca="false">IF(C668="","",IFERROR(INDEX(Recipes!$C:$C,MATCH(C668,Recipes!$A:$A,0)),""))</f>
        <v/>
      </c>
      <c r="L668" s="12" t="str">
        <f aca="false">IF(AND(A668='Grocery List'!$B$3,E668="Yes"),COUNTIFS($A$4:A668,'Grocery List'!$B$3,$E$4:E668,"Yes"),"")</f>
        <v/>
      </c>
    </row>
    <row r="669" customFormat="false" ht="15" hidden="false" customHeight="false" outlineLevel="0" collapsed="false">
      <c r="A669" s="16"/>
      <c r="D669" s="12" t="str">
        <f aca="false">IF(C669="","",IFERROR(INDEX(Recipes!$B:$B,MATCH(C669,Recipes!$A:$A,0)),"⚠ unknown recipe_id"))</f>
        <v/>
      </c>
      <c r="K669" s="12" t="str">
        <f aca="false">IF(C669="","",IFERROR(INDEX(Recipes!$C:$C,MATCH(C669,Recipes!$A:$A,0)),""))</f>
        <v/>
      </c>
      <c r="L669" s="12" t="str">
        <f aca="false">IF(AND(A669='Grocery List'!$B$3,E669="Yes"),COUNTIFS($A$4:A669,'Grocery List'!$B$3,$E$4:E669,"Yes"),"")</f>
        <v/>
      </c>
    </row>
    <row r="670" customFormat="false" ht="15" hidden="false" customHeight="false" outlineLevel="0" collapsed="false">
      <c r="A670" s="16"/>
      <c r="D670" s="12" t="str">
        <f aca="false">IF(C670="","",IFERROR(INDEX(Recipes!$B:$B,MATCH(C670,Recipes!$A:$A,0)),"⚠ unknown recipe_id"))</f>
        <v/>
      </c>
      <c r="K670" s="12" t="str">
        <f aca="false">IF(C670="","",IFERROR(INDEX(Recipes!$C:$C,MATCH(C670,Recipes!$A:$A,0)),""))</f>
        <v/>
      </c>
      <c r="L670" s="12" t="str">
        <f aca="false">IF(AND(A670='Grocery List'!$B$3,E670="Yes"),COUNTIFS($A$4:A670,'Grocery List'!$B$3,$E$4:E670,"Yes"),"")</f>
        <v/>
      </c>
    </row>
    <row r="671" customFormat="false" ht="15" hidden="false" customHeight="false" outlineLevel="0" collapsed="false">
      <c r="A671" s="16"/>
      <c r="D671" s="12" t="str">
        <f aca="false">IF(C671="","",IFERROR(INDEX(Recipes!$B:$B,MATCH(C671,Recipes!$A:$A,0)),"⚠ unknown recipe_id"))</f>
        <v/>
      </c>
      <c r="K671" s="12" t="str">
        <f aca="false">IF(C671="","",IFERROR(INDEX(Recipes!$C:$C,MATCH(C671,Recipes!$A:$A,0)),""))</f>
        <v/>
      </c>
      <c r="L671" s="12" t="str">
        <f aca="false">IF(AND(A671='Grocery List'!$B$3,E671="Yes"),COUNTIFS($A$4:A671,'Grocery List'!$B$3,$E$4:E671,"Yes"),"")</f>
        <v/>
      </c>
    </row>
    <row r="672" customFormat="false" ht="15" hidden="false" customHeight="false" outlineLevel="0" collapsed="false">
      <c r="A672" s="16"/>
      <c r="D672" s="12" t="str">
        <f aca="false">IF(C672="","",IFERROR(INDEX(Recipes!$B:$B,MATCH(C672,Recipes!$A:$A,0)),"⚠ unknown recipe_id"))</f>
        <v/>
      </c>
      <c r="K672" s="12" t="str">
        <f aca="false">IF(C672="","",IFERROR(INDEX(Recipes!$C:$C,MATCH(C672,Recipes!$A:$A,0)),""))</f>
        <v/>
      </c>
      <c r="L672" s="12" t="str">
        <f aca="false">IF(AND(A672='Grocery List'!$B$3,E672="Yes"),COUNTIFS($A$4:A672,'Grocery List'!$B$3,$E$4:E672,"Yes"),"")</f>
        <v/>
      </c>
    </row>
    <row r="673" customFormat="false" ht="15" hidden="false" customHeight="false" outlineLevel="0" collapsed="false">
      <c r="A673" s="16"/>
      <c r="D673" s="12" t="str">
        <f aca="false">IF(C673="","",IFERROR(INDEX(Recipes!$B:$B,MATCH(C673,Recipes!$A:$A,0)),"⚠ unknown recipe_id"))</f>
        <v/>
      </c>
      <c r="K673" s="12" t="str">
        <f aca="false">IF(C673="","",IFERROR(INDEX(Recipes!$C:$C,MATCH(C673,Recipes!$A:$A,0)),""))</f>
        <v/>
      </c>
      <c r="L673" s="12" t="str">
        <f aca="false">IF(AND(A673='Grocery List'!$B$3,E673="Yes"),COUNTIFS($A$4:A673,'Grocery List'!$B$3,$E$4:E673,"Yes"),"")</f>
        <v/>
      </c>
    </row>
    <row r="674" customFormat="false" ht="15" hidden="false" customHeight="false" outlineLevel="0" collapsed="false">
      <c r="A674" s="16"/>
      <c r="D674" s="12" t="str">
        <f aca="false">IF(C674="","",IFERROR(INDEX(Recipes!$B:$B,MATCH(C674,Recipes!$A:$A,0)),"⚠ unknown recipe_id"))</f>
        <v/>
      </c>
      <c r="K674" s="12" t="str">
        <f aca="false">IF(C674="","",IFERROR(INDEX(Recipes!$C:$C,MATCH(C674,Recipes!$A:$A,0)),""))</f>
        <v/>
      </c>
      <c r="L674" s="12" t="str">
        <f aca="false">IF(AND(A674='Grocery List'!$B$3,E674="Yes"),COUNTIFS($A$4:A674,'Grocery List'!$B$3,$E$4:E674,"Yes"),"")</f>
        <v/>
      </c>
    </row>
    <row r="675" customFormat="false" ht="15" hidden="false" customHeight="false" outlineLevel="0" collapsed="false">
      <c r="A675" s="16"/>
      <c r="D675" s="12" t="str">
        <f aca="false">IF(C675="","",IFERROR(INDEX(Recipes!$B:$B,MATCH(C675,Recipes!$A:$A,0)),"⚠ unknown recipe_id"))</f>
        <v/>
      </c>
      <c r="K675" s="12" t="str">
        <f aca="false">IF(C675="","",IFERROR(INDEX(Recipes!$C:$C,MATCH(C675,Recipes!$A:$A,0)),""))</f>
        <v/>
      </c>
      <c r="L675" s="12" t="str">
        <f aca="false">IF(AND(A675='Grocery List'!$B$3,E675="Yes"),COUNTIFS($A$4:A675,'Grocery List'!$B$3,$E$4:E675,"Yes"),"")</f>
        <v/>
      </c>
    </row>
    <row r="676" customFormat="false" ht="15" hidden="false" customHeight="false" outlineLevel="0" collapsed="false">
      <c r="A676" s="16"/>
      <c r="D676" s="12" t="str">
        <f aca="false">IF(C676="","",IFERROR(INDEX(Recipes!$B:$B,MATCH(C676,Recipes!$A:$A,0)),"⚠ unknown recipe_id"))</f>
        <v/>
      </c>
      <c r="K676" s="12" t="str">
        <f aca="false">IF(C676="","",IFERROR(INDEX(Recipes!$C:$C,MATCH(C676,Recipes!$A:$A,0)),""))</f>
        <v/>
      </c>
      <c r="L676" s="12" t="str">
        <f aca="false">IF(AND(A676='Grocery List'!$B$3,E676="Yes"),COUNTIFS($A$4:A676,'Grocery List'!$B$3,$E$4:E676,"Yes"),"")</f>
        <v/>
      </c>
    </row>
    <row r="677" customFormat="false" ht="15" hidden="false" customHeight="false" outlineLevel="0" collapsed="false">
      <c r="A677" s="16"/>
      <c r="D677" s="12" t="str">
        <f aca="false">IF(C677="","",IFERROR(INDEX(Recipes!$B:$B,MATCH(C677,Recipes!$A:$A,0)),"⚠ unknown recipe_id"))</f>
        <v/>
      </c>
      <c r="K677" s="12" t="str">
        <f aca="false">IF(C677="","",IFERROR(INDEX(Recipes!$C:$C,MATCH(C677,Recipes!$A:$A,0)),""))</f>
        <v/>
      </c>
      <c r="L677" s="12" t="str">
        <f aca="false">IF(AND(A677='Grocery List'!$B$3,E677="Yes"),COUNTIFS($A$4:A677,'Grocery List'!$B$3,$E$4:E677,"Yes"),"")</f>
        <v/>
      </c>
    </row>
    <row r="678" customFormat="false" ht="15" hidden="false" customHeight="false" outlineLevel="0" collapsed="false">
      <c r="A678" s="16"/>
      <c r="D678" s="12" t="str">
        <f aca="false">IF(C678="","",IFERROR(INDEX(Recipes!$B:$B,MATCH(C678,Recipes!$A:$A,0)),"⚠ unknown recipe_id"))</f>
        <v/>
      </c>
      <c r="K678" s="12" t="str">
        <f aca="false">IF(C678="","",IFERROR(INDEX(Recipes!$C:$C,MATCH(C678,Recipes!$A:$A,0)),""))</f>
        <v/>
      </c>
      <c r="L678" s="12" t="str">
        <f aca="false">IF(AND(A678='Grocery List'!$B$3,E678="Yes"),COUNTIFS($A$4:A678,'Grocery List'!$B$3,$E$4:E678,"Yes"),"")</f>
        <v/>
      </c>
    </row>
    <row r="679" customFormat="false" ht="15" hidden="false" customHeight="false" outlineLevel="0" collapsed="false">
      <c r="A679" s="16"/>
      <c r="D679" s="12" t="str">
        <f aca="false">IF(C679="","",IFERROR(INDEX(Recipes!$B:$B,MATCH(C679,Recipes!$A:$A,0)),"⚠ unknown recipe_id"))</f>
        <v/>
      </c>
      <c r="K679" s="12" t="str">
        <f aca="false">IF(C679="","",IFERROR(INDEX(Recipes!$C:$C,MATCH(C679,Recipes!$A:$A,0)),""))</f>
        <v/>
      </c>
      <c r="L679" s="12" t="str">
        <f aca="false">IF(AND(A679='Grocery List'!$B$3,E679="Yes"),COUNTIFS($A$4:A679,'Grocery List'!$B$3,$E$4:E679,"Yes"),"")</f>
        <v/>
      </c>
    </row>
    <row r="680" customFormat="false" ht="15" hidden="false" customHeight="false" outlineLevel="0" collapsed="false">
      <c r="A680" s="16"/>
      <c r="D680" s="12" t="str">
        <f aca="false">IF(C680="","",IFERROR(INDEX(Recipes!$B:$B,MATCH(C680,Recipes!$A:$A,0)),"⚠ unknown recipe_id"))</f>
        <v/>
      </c>
      <c r="K680" s="12" t="str">
        <f aca="false">IF(C680="","",IFERROR(INDEX(Recipes!$C:$C,MATCH(C680,Recipes!$A:$A,0)),""))</f>
        <v/>
      </c>
      <c r="L680" s="12" t="str">
        <f aca="false">IF(AND(A680='Grocery List'!$B$3,E680="Yes"),COUNTIFS($A$4:A680,'Grocery List'!$B$3,$E$4:E680,"Yes"),"")</f>
        <v/>
      </c>
    </row>
    <row r="681" customFormat="false" ht="15" hidden="false" customHeight="false" outlineLevel="0" collapsed="false">
      <c r="A681" s="16"/>
      <c r="D681" s="12" t="str">
        <f aca="false">IF(C681="","",IFERROR(INDEX(Recipes!$B:$B,MATCH(C681,Recipes!$A:$A,0)),"⚠ unknown recipe_id"))</f>
        <v/>
      </c>
      <c r="K681" s="12" t="str">
        <f aca="false">IF(C681="","",IFERROR(INDEX(Recipes!$C:$C,MATCH(C681,Recipes!$A:$A,0)),""))</f>
        <v/>
      </c>
      <c r="L681" s="12" t="str">
        <f aca="false">IF(AND(A681='Grocery List'!$B$3,E681="Yes"),COUNTIFS($A$4:A681,'Grocery List'!$B$3,$E$4:E681,"Yes"),"")</f>
        <v/>
      </c>
    </row>
    <row r="682" customFormat="false" ht="15" hidden="false" customHeight="false" outlineLevel="0" collapsed="false">
      <c r="A682" s="16"/>
      <c r="D682" s="12" t="str">
        <f aca="false">IF(C682="","",IFERROR(INDEX(Recipes!$B:$B,MATCH(C682,Recipes!$A:$A,0)),"⚠ unknown recipe_id"))</f>
        <v/>
      </c>
      <c r="K682" s="12" t="str">
        <f aca="false">IF(C682="","",IFERROR(INDEX(Recipes!$C:$C,MATCH(C682,Recipes!$A:$A,0)),""))</f>
        <v/>
      </c>
      <c r="L682" s="12" t="str">
        <f aca="false">IF(AND(A682='Grocery List'!$B$3,E682="Yes"),COUNTIFS($A$4:A682,'Grocery List'!$B$3,$E$4:E682,"Yes"),"")</f>
        <v/>
      </c>
    </row>
    <row r="683" customFormat="false" ht="15" hidden="false" customHeight="false" outlineLevel="0" collapsed="false">
      <c r="A683" s="16"/>
      <c r="D683" s="12" t="str">
        <f aca="false">IF(C683="","",IFERROR(INDEX(Recipes!$B:$B,MATCH(C683,Recipes!$A:$A,0)),"⚠ unknown recipe_id"))</f>
        <v/>
      </c>
      <c r="K683" s="12" t="str">
        <f aca="false">IF(C683="","",IFERROR(INDEX(Recipes!$C:$C,MATCH(C683,Recipes!$A:$A,0)),""))</f>
        <v/>
      </c>
      <c r="L683" s="12" t="str">
        <f aca="false">IF(AND(A683='Grocery List'!$B$3,E683="Yes"),COUNTIFS($A$4:A683,'Grocery List'!$B$3,$E$4:E683,"Yes"),"")</f>
        <v/>
      </c>
    </row>
    <row r="684" customFormat="false" ht="15" hidden="false" customHeight="false" outlineLevel="0" collapsed="false">
      <c r="A684" s="16"/>
      <c r="D684" s="12" t="str">
        <f aca="false">IF(C684="","",IFERROR(INDEX(Recipes!$B:$B,MATCH(C684,Recipes!$A:$A,0)),"⚠ unknown recipe_id"))</f>
        <v/>
      </c>
      <c r="K684" s="12" t="str">
        <f aca="false">IF(C684="","",IFERROR(INDEX(Recipes!$C:$C,MATCH(C684,Recipes!$A:$A,0)),""))</f>
        <v/>
      </c>
      <c r="L684" s="12" t="str">
        <f aca="false">IF(AND(A684='Grocery List'!$B$3,E684="Yes"),COUNTIFS($A$4:A684,'Grocery List'!$B$3,$E$4:E684,"Yes"),"")</f>
        <v/>
      </c>
    </row>
    <row r="685" customFormat="false" ht="15" hidden="false" customHeight="false" outlineLevel="0" collapsed="false">
      <c r="A685" s="16"/>
      <c r="D685" s="12" t="str">
        <f aca="false">IF(C685="","",IFERROR(INDEX(Recipes!$B:$B,MATCH(C685,Recipes!$A:$A,0)),"⚠ unknown recipe_id"))</f>
        <v/>
      </c>
      <c r="K685" s="12" t="str">
        <f aca="false">IF(C685="","",IFERROR(INDEX(Recipes!$C:$C,MATCH(C685,Recipes!$A:$A,0)),""))</f>
        <v/>
      </c>
      <c r="L685" s="12" t="str">
        <f aca="false">IF(AND(A685='Grocery List'!$B$3,E685="Yes"),COUNTIFS($A$4:A685,'Grocery List'!$B$3,$E$4:E685,"Yes"),"")</f>
        <v/>
      </c>
    </row>
    <row r="686" customFormat="false" ht="15" hidden="false" customHeight="false" outlineLevel="0" collapsed="false">
      <c r="A686" s="16"/>
      <c r="D686" s="12" t="str">
        <f aca="false">IF(C686="","",IFERROR(INDEX(Recipes!$B:$B,MATCH(C686,Recipes!$A:$A,0)),"⚠ unknown recipe_id"))</f>
        <v/>
      </c>
      <c r="K686" s="12" t="str">
        <f aca="false">IF(C686="","",IFERROR(INDEX(Recipes!$C:$C,MATCH(C686,Recipes!$A:$A,0)),""))</f>
        <v/>
      </c>
      <c r="L686" s="12" t="str">
        <f aca="false">IF(AND(A686='Grocery List'!$B$3,E686="Yes"),COUNTIFS($A$4:A686,'Grocery List'!$B$3,$E$4:E686,"Yes"),"")</f>
        <v/>
      </c>
    </row>
    <row r="687" customFormat="false" ht="15" hidden="false" customHeight="false" outlineLevel="0" collapsed="false">
      <c r="A687" s="16"/>
      <c r="D687" s="12" t="str">
        <f aca="false">IF(C687="","",IFERROR(INDEX(Recipes!$B:$B,MATCH(C687,Recipes!$A:$A,0)),"⚠ unknown recipe_id"))</f>
        <v/>
      </c>
      <c r="K687" s="12" t="str">
        <f aca="false">IF(C687="","",IFERROR(INDEX(Recipes!$C:$C,MATCH(C687,Recipes!$A:$A,0)),""))</f>
        <v/>
      </c>
      <c r="L687" s="12" t="str">
        <f aca="false">IF(AND(A687='Grocery List'!$B$3,E687="Yes"),COUNTIFS($A$4:A687,'Grocery List'!$B$3,$E$4:E687,"Yes"),"")</f>
        <v/>
      </c>
    </row>
    <row r="688" customFormat="false" ht="15" hidden="false" customHeight="false" outlineLevel="0" collapsed="false">
      <c r="A688" s="16"/>
      <c r="D688" s="12" t="str">
        <f aca="false">IF(C688="","",IFERROR(INDEX(Recipes!$B:$B,MATCH(C688,Recipes!$A:$A,0)),"⚠ unknown recipe_id"))</f>
        <v/>
      </c>
      <c r="K688" s="12" t="str">
        <f aca="false">IF(C688="","",IFERROR(INDEX(Recipes!$C:$C,MATCH(C688,Recipes!$A:$A,0)),""))</f>
        <v/>
      </c>
      <c r="L688" s="12" t="str">
        <f aca="false">IF(AND(A688='Grocery List'!$B$3,E688="Yes"),COUNTIFS($A$4:A688,'Grocery List'!$B$3,$E$4:E688,"Yes"),"")</f>
        <v/>
      </c>
    </row>
    <row r="689" customFormat="false" ht="15" hidden="false" customHeight="false" outlineLevel="0" collapsed="false">
      <c r="A689" s="16"/>
      <c r="D689" s="12" t="str">
        <f aca="false">IF(C689="","",IFERROR(INDEX(Recipes!$B:$B,MATCH(C689,Recipes!$A:$A,0)),"⚠ unknown recipe_id"))</f>
        <v/>
      </c>
      <c r="K689" s="12" t="str">
        <f aca="false">IF(C689="","",IFERROR(INDEX(Recipes!$C:$C,MATCH(C689,Recipes!$A:$A,0)),""))</f>
        <v/>
      </c>
      <c r="L689" s="12" t="str">
        <f aca="false">IF(AND(A689='Grocery List'!$B$3,E689="Yes"),COUNTIFS($A$4:A689,'Grocery List'!$B$3,$E$4:E689,"Yes"),"")</f>
        <v/>
      </c>
    </row>
    <row r="690" customFormat="false" ht="15" hidden="false" customHeight="false" outlineLevel="0" collapsed="false">
      <c r="A690" s="16"/>
      <c r="D690" s="12" t="str">
        <f aca="false">IF(C690="","",IFERROR(INDEX(Recipes!$B:$B,MATCH(C690,Recipes!$A:$A,0)),"⚠ unknown recipe_id"))</f>
        <v/>
      </c>
      <c r="K690" s="12" t="str">
        <f aca="false">IF(C690="","",IFERROR(INDEX(Recipes!$C:$C,MATCH(C690,Recipes!$A:$A,0)),""))</f>
        <v/>
      </c>
      <c r="L690" s="12" t="str">
        <f aca="false">IF(AND(A690='Grocery List'!$B$3,E690="Yes"),COUNTIFS($A$4:A690,'Grocery List'!$B$3,$E$4:E690,"Yes"),"")</f>
        <v/>
      </c>
    </row>
    <row r="691" customFormat="false" ht="15" hidden="false" customHeight="false" outlineLevel="0" collapsed="false">
      <c r="A691" s="16"/>
      <c r="D691" s="12" t="str">
        <f aca="false">IF(C691="","",IFERROR(INDEX(Recipes!$B:$B,MATCH(C691,Recipes!$A:$A,0)),"⚠ unknown recipe_id"))</f>
        <v/>
      </c>
      <c r="K691" s="12" t="str">
        <f aca="false">IF(C691="","",IFERROR(INDEX(Recipes!$C:$C,MATCH(C691,Recipes!$A:$A,0)),""))</f>
        <v/>
      </c>
      <c r="L691" s="12" t="str">
        <f aca="false">IF(AND(A691='Grocery List'!$B$3,E691="Yes"),COUNTIFS($A$4:A691,'Grocery List'!$B$3,$E$4:E691,"Yes"),"")</f>
        <v/>
      </c>
    </row>
    <row r="692" customFormat="false" ht="15" hidden="false" customHeight="false" outlineLevel="0" collapsed="false">
      <c r="A692" s="16"/>
      <c r="D692" s="12" t="str">
        <f aca="false">IF(C692="","",IFERROR(INDEX(Recipes!$B:$B,MATCH(C692,Recipes!$A:$A,0)),"⚠ unknown recipe_id"))</f>
        <v/>
      </c>
      <c r="K692" s="12" t="str">
        <f aca="false">IF(C692="","",IFERROR(INDEX(Recipes!$C:$C,MATCH(C692,Recipes!$A:$A,0)),""))</f>
        <v/>
      </c>
      <c r="L692" s="12" t="str">
        <f aca="false">IF(AND(A692='Grocery List'!$B$3,E692="Yes"),COUNTIFS($A$4:A692,'Grocery List'!$B$3,$E$4:E692,"Yes"),"")</f>
        <v/>
      </c>
    </row>
    <row r="693" customFormat="false" ht="15" hidden="false" customHeight="false" outlineLevel="0" collapsed="false">
      <c r="A693" s="16"/>
      <c r="D693" s="12" t="str">
        <f aca="false">IF(C693="","",IFERROR(INDEX(Recipes!$B:$B,MATCH(C693,Recipes!$A:$A,0)),"⚠ unknown recipe_id"))</f>
        <v/>
      </c>
      <c r="K693" s="12" t="str">
        <f aca="false">IF(C693="","",IFERROR(INDEX(Recipes!$C:$C,MATCH(C693,Recipes!$A:$A,0)),""))</f>
        <v/>
      </c>
      <c r="L693" s="12" t="str">
        <f aca="false">IF(AND(A693='Grocery List'!$B$3,E693="Yes"),COUNTIFS($A$4:A693,'Grocery List'!$B$3,$E$4:E693,"Yes"),"")</f>
        <v/>
      </c>
    </row>
    <row r="694" customFormat="false" ht="15" hidden="false" customHeight="false" outlineLevel="0" collapsed="false">
      <c r="A694" s="16"/>
      <c r="D694" s="12" t="str">
        <f aca="false">IF(C694="","",IFERROR(INDEX(Recipes!$B:$B,MATCH(C694,Recipes!$A:$A,0)),"⚠ unknown recipe_id"))</f>
        <v/>
      </c>
      <c r="K694" s="12" t="str">
        <f aca="false">IF(C694="","",IFERROR(INDEX(Recipes!$C:$C,MATCH(C694,Recipes!$A:$A,0)),""))</f>
        <v/>
      </c>
      <c r="L694" s="12" t="str">
        <f aca="false">IF(AND(A694='Grocery List'!$B$3,E694="Yes"),COUNTIFS($A$4:A694,'Grocery List'!$B$3,$E$4:E694,"Yes"),"")</f>
        <v/>
      </c>
    </row>
    <row r="695" customFormat="false" ht="15" hidden="false" customHeight="false" outlineLevel="0" collapsed="false">
      <c r="A695" s="16"/>
      <c r="D695" s="12" t="str">
        <f aca="false">IF(C695="","",IFERROR(INDEX(Recipes!$B:$B,MATCH(C695,Recipes!$A:$A,0)),"⚠ unknown recipe_id"))</f>
        <v/>
      </c>
      <c r="K695" s="12" t="str">
        <f aca="false">IF(C695="","",IFERROR(INDEX(Recipes!$C:$C,MATCH(C695,Recipes!$A:$A,0)),""))</f>
        <v/>
      </c>
      <c r="L695" s="12" t="str">
        <f aca="false">IF(AND(A695='Grocery List'!$B$3,E695="Yes"),COUNTIFS($A$4:A695,'Grocery List'!$B$3,$E$4:E695,"Yes"),"")</f>
        <v/>
      </c>
    </row>
    <row r="696" customFormat="false" ht="15" hidden="false" customHeight="false" outlineLevel="0" collapsed="false">
      <c r="A696" s="16"/>
      <c r="D696" s="12" t="str">
        <f aca="false">IF(C696="","",IFERROR(INDEX(Recipes!$B:$B,MATCH(C696,Recipes!$A:$A,0)),"⚠ unknown recipe_id"))</f>
        <v/>
      </c>
      <c r="K696" s="12" t="str">
        <f aca="false">IF(C696="","",IFERROR(INDEX(Recipes!$C:$C,MATCH(C696,Recipes!$A:$A,0)),""))</f>
        <v/>
      </c>
      <c r="L696" s="12" t="str">
        <f aca="false">IF(AND(A696='Grocery List'!$B$3,E696="Yes"),COUNTIFS($A$4:A696,'Grocery List'!$B$3,$E$4:E696,"Yes"),"")</f>
        <v/>
      </c>
    </row>
    <row r="697" customFormat="false" ht="15" hidden="false" customHeight="false" outlineLevel="0" collapsed="false">
      <c r="A697" s="16"/>
      <c r="D697" s="12" t="str">
        <f aca="false">IF(C697="","",IFERROR(INDEX(Recipes!$B:$B,MATCH(C697,Recipes!$A:$A,0)),"⚠ unknown recipe_id"))</f>
        <v/>
      </c>
      <c r="K697" s="12" t="str">
        <f aca="false">IF(C697="","",IFERROR(INDEX(Recipes!$C:$C,MATCH(C697,Recipes!$A:$A,0)),""))</f>
        <v/>
      </c>
      <c r="L697" s="12" t="str">
        <f aca="false">IF(AND(A697='Grocery List'!$B$3,E697="Yes"),COUNTIFS($A$4:A697,'Grocery List'!$B$3,$E$4:E697,"Yes"),"")</f>
        <v/>
      </c>
    </row>
    <row r="698" customFormat="false" ht="15" hidden="false" customHeight="false" outlineLevel="0" collapsed="false">
      <c r="A698" s="16"/>
      <c r="D698" s="12" t="str">
        <f aca="false">IF(C698="","",IFERROR(INDEX(Recipes!$B:$B,MATCH(C698,Recipes!$A:$A,0)),"⚠ unknown recipe_id"))</f>
        <v/>
      </c>
      <c r="K698" s="12" t="str">
        <f aca="false">IF(C698="","",IFERROR(INDEX(Recipes!$C:$C,MATCH(C698,Recipes!$A:$A,0)),""))</f>
        <v/>
      </c>
      <c r="L698" s="12" t="str">
        <f aca="false">IF(AND(A698='Grocery List'!$B$3,E698="Yes"),COUNTIFS($A$4:A698,'Grocery List'!$B$3,$E$4:E698,"Yes"),"")</f>
        <v/>
      </c>
    </row>
    <row r="699" customFormat="false" ht="15" hidden="false" customHeight="false" outlineLevel="0" collapsed="false">
      <c r="A699" s="16"/>
      <c r="D699" s="12" t="str">
        <f aca="false">IF(C699="","",IFERROR(INDEX(Recipes!$B:$B,MATCH(C699,Recipes!$A:$A,0)),"⚠ unknown recipe_id"))</f>
        <v/>
      </c>
      <c r="K699" s="12" t="str">
        <f aca="false">IF(C699="","",IFERROR(INDEX(Recipes!$C:$C,MATCH(C699,Recipes!$A:$A,0)),""))</f>
        <v/>
      </c>
      <c r="L699" s="12" t="str">
        <f aca="false">IF(AND(A699='Grocery List'!$B$3,E699="Yes"),COUNTIFS($A$4:A699,'Grocery List'!$B$3,$E$4:E699,"Yes"),"")</f>
        <v/>
      </c>
    </row>
    <row r="700" customFormat="false" ht="15" hidden="false" customHeight="false" outlineLevel="0" collapsed="false">
      <c r="A700" s="16"/>
      <c r="D700" s="12" t="str">
        <f aca="false">IF(C700="","",IFERROR(INDEX(Recipes!$B:$B,MATCH(C700,Recipes!$A:$A,0)),"⚠ unknown recipe_id"))</f>
        <v/>
      </c>
      <c r="K700" s="12" t="str">
        <f aca="false">IF(C700="","",IFERROR(INDEX(Recipes!$C:$C,MATCH(C700,Recipes!$A:$A,0)),""))</f>
        <v/>
      </c>
      <c r="L700" s="12" t="str">
        <f aca="false">IF(AND(A700='Grocery List'!$B$3,E700="Yes"),COUNTIFS($A$4:A700,'Grocery List'!$B$3,$E$4:E700,"Yes"),"")</f>
        <v/>
      </c>
    </row>
    <row r="701" customFormat="false" ht="15" hidden="false" customHeight="false" outlineLevel="0" collapsed="false">
      <c r="A701" s="16"/>
      <c r="D701" s="12" t="str">
        <f aca="false">IF(C701="","",IFERROR(INDEX(Recipes!$B:$B,MATCH(C701,Recipes!$A:$A,0)),"⚠ unknown recipe_id"))</f>
        <v/>
      </c>
      <c r="K701" s="12" t="str">
        <f aca="false">IF(C701="","",IFERROR(INDEX(Recipes!$C:$C,MATCH(C701,Recipes!$A:$A,0)),""))</f>
        <v/>
      </c>
      <c r="L701" s="12" t="str">
        <f aca="false">IF(AND(A701='Grocery List'!$B$3,E701="Yes"),COUNTIFS($A$4:A701,'Grocery List'!$B$3,$E$4:E701,"Yes"),"")</f>
        <v/>
      </c>
    </row>
    <row r="702" customFormat="false" ht="15" hidden="false" customHeight="false" outlineLevel="0" collapsed="false">
      <c r="A702" s="16"/>
      <c r="D702" s="12" t="str">
        <f aca="false">IF(C702="","",IFERROR(INDEX(Recipes!$B:$B,MATCH(C702,Recipes!$A:$A,0)),"⚠ unknown recipe_id"))</f>
        <v/>
      </c>
      <c r="K702" s="12" t="str">
        <f aca="false">IF(C702="","",IFERROR(INDEX(Recipes!$C:$C,MATCH(C702,Recipes!$A:$A,0)),""))</f>
        <v/>
      </c>
      <c r="L702" s="12" t="str">
        <f aca="false">IF(AND(A702='Grocery List'!$B$3,E702="Yes"),COUNTIFS($A$4:A702,'Grocery List'!$B$3,$E$4:E702,"Yes"),"")</f>
        <v/>
      </c>
    </row>
    <row r="703" customFormat="false" ht="15" hidden="false" customHeight="false" outlineLevel="0" collapsed="false">
      <c r="A703" s="16"/>
      <c r="D703" s="12" t="str">
        <f aca="false">IF(C703="","",IFERROR(INDEX(Recipes!$B:$B,MATCH(C703,Recipes!$A:$A,0)),"⚠ unknown recipe_id"))</f>
        <v/>
      </c>
      <c r="K703" s="12" t="str">
        <f aca="false">IF(C703="","",IFERROR(INDEX(Recipes!$C:$C,MATCH(C703,Recipes!$A:$A,0)),""))</f>
        <v/>
      </c>
      <c r="L703" s="12" t="str">
        <f aca="false">IF(AND(A703='Grocery List'!$B$3,E703="Yes"),COUNTIFS($A$4:A703,'Grocery List'!$B$3,$E$4:E703,"Yes"),"")</f>
        <v/>
      </c>
    </row>
    <row r="704" customFormat="false" ht="15" hidden="false" customHeight="false" outlineLevel="0" collapsed="false">
      <c r="A704" s="16"/>
      <c r="D704" s="12" t="str">
        <f aca="false">IF(C704="","",IFERROR(INDEX(Recipes!$B:$B,MATCH(C704,Recipes!$A:$A,0)),"⚠ unknown recipe_id"))</f>
        <v/>
      </c>
      <c r="K704" s="12" t="str">
        <f aca="false">IF(C704="","",IFERROR(INDEX(Recipes!$C:$C,MATCH(C704,Recipes!$A:$A,0)),""))</f>
        <v/>
      </c>
      <c r="L704" s="12" t="str">
        <f aca="false">IF(AND(A704='Grocery List'!$B$3,E704="Yes"),COUNTIFS($A$4:A704,'Grocery List'!$B$3,$E$4:E704,"Yes"),"")</f>
        <v/>
      </c>
    </row>
    <row r="705" customFormat="false" ht="15" hidden="false" customHeight="false" outlineLevel="0" collapsed="false">
      <c r="A705" s="16"/>
      <c r="D705" s="12" t="str">
        <f aca="false">IF(C705="","",IFERROR(INDEX(Recipes!$B:$B,MATCH(C705,Recipes!$A:$A,0)),"⚠ unknown recipe_id"))</f>
        <v/>
      </c>
      <c r="K705" s="12" t="str">
        <f aca="false">IF(C705="","",IFERROR(INDEX(Recipes!$C:$C,MATCH(C705,Recipes!$A:$A,0)),""))</f>
        <v/>
      </c>
      <c r="L705" s="12" t="str">
        <f aca="false">IF(AND(A705='Grocery List'!$B$3,E705="Yes"),COUNTIFS($A$4:A705,'Grocery List'!$B$3,$E$4:E705,"Yes"),"")</f>
        <v/>
      </c>
    </row>
    <row r="706" customFormat="false" ht="15" hidden="false" customHeight="false" outlineLevel="0" collapsed="false">
      <c r="A706" s="16"/>
      <c r="D706" s="12" t="str">
        <f aca="false">IF(C706="","",IFERROR(INDEX(Recipes!$B:$B,MATCH(C706,Recipes!$A:$A,0)),"⚠ unknown recipe_id"))</f>
        <v/>
      </c>
      <c r="K706" s="12" t="str">
        <f aca="false">IF(C706="","",IFERROR(INDEX(Recipes!$C:$C,MATCH(C706,Recipes!$A:$A,0)),""))</f>
        <v/>
      </c>
      <c r="L706" s="12" t="str">
        <f aca="false">IF(AND(A706='Grocery List'!$B$3,E706="Yes"),COUNTIFS($A$4:A706,'Grocery List'!$B$3,$E$4:E706,"Yes"),"")</f>
        <v/>
      </c>
    </row>
    <row r="707" customFormat="false" ht="15" hidden="false" customHeight="false" outlineLevel="0" collapsed="false">
      <c r="A707" s="16"/>
      <c r="D707" s="12" t="str">
        <f aca="false">IF(C707="","",IFERROR(INDEX(Recipes!$B:$B,MATCH(C707,Recipes!$A:$A,0)),"⚠ unknown recipe_id"))</f>
        <v/>
      </c>
      <c r="K707" s="12" t="str">
        <f aca="false">IF(C707="","",IFERROR(INDEX(Recipes!$C:$C,MATCH(C707,Recipes!$A:$A,0)),""))</f>
        <v/>
      </c>
      <c r="L707" s="12" t="str">
        <f aca="false">IF(AND(A707='Grocery List'!$B$3,E707="Yes"),COUNTIFS($A$4:A707,'Grocery List'!$B$3,$E$4:E707,"Yes"),"")</f>
        <v/>
      </c>
    </row>
    <row r="708" customFormat="false" ht="15" hidden="false" customHeight="false" outlineLevel="0" collapsed="false">
      <c r="A708" s="16"/>
      <c r="D708" s="12" t="str">
        <f aca="false">IF(C708="","",IFERROR(INDEX(Recipes!$B:$B,MATCH(C708,Recipes!$A:$A,0)),"⚠ unknown recipe_id"))</f>
        <v/>
      </c>
      <c r="K708" s="12" t="str">
        <f aca="false">IF(C708="","",IFERROR(INDEX(Recipes!$C:$C,MATCH(C708,Recipes!$A:$A,0)),""))</f>
        <v/>
      </c>
      <c r="L708" s="12" t="str">
        <f aca="false">IF(AND(A708='Grocery List'!$B$3,E708="Yes"),COUNTIFS($A$4:A708,'Grocery List'!$B$3,$E$4:E708,"Yes"),"")</f>
        <v/>
      </c>
    </row>
    <row r="709" customFormat="false" ht="15" hidden="false" customHeight="false" outlineLevel="0" collapsed="false">
      <c r="A709" s="16"/>
      <c r="D709" s="12" t="str">
        <f aca="false">IF(C709="","",IFERROR(INDEX(Recipes!$B:$B,MATCH(C709,Recipes!$A:$A,0)),"⚠ unknown recipe_id"))</f>
        <v/>
      </c>
      <c r="K709" s="12" t="str">
        <f aca="false">IF(C709="","",IFERROR(INDEX(Recipes!$C:$C,MATCH(C709,Recipes!$A:$A,0)),""))</f>
        <v/>
      </c>
      <c r="L709" s="12" t="str">
        <f aca="false">IF(AND(A709='Grocery List'!$B$3,E709="Yes"),COUNTIFS($A$4:A709,'Grocery List'!$B$3,$E$4:E709,"Yes"),"")</f>
        <v/>
      </c>
    </row>
    <row r="710" customFormat="false" ht="15" hidden="false" customHeight="false" outlineLevel="0" collapsed="false">
      <c r="A710" s="16"/>
      <c r="D710" s="12" t="str">
        <f aca="false">IF(C710="","",IFERROR(INDEX(Recipes!$B:$B,MATCH(C710,Recipes!$A:$A,0)),"⚠ unknown recipe_id"))</f>
        <v/>
      </c>
      <c r="K710" s="12" t="str">
        <f aca="false">IF(C710="","",IFERROR(INDEX(Recipes!$C:$C,MATCH(C710,Recipes!$A:$A,0)),""))</f>
        <v/>
      </c>
      <c r="L710" s="12" t="str">
        <f aca="false">IF(AND(A710='Grocery List'!$B$3,E710="Yes"),COUNTIFS($A$4:A710,'Grocery List'!$B$3,$E$4:E710,"Yes"),"")</f>
        <v/>
      </c>
    </row>
    <row r="711" customFormat="false" ht="15" hidden="false" customHeight="false" outlineLevel="0" collapsed="false">
      <c r="A711" s="16"/>
      <c r="D711" s="12" t="str">
        <f aca="false">IF(C711="","",IFERROR(INDEX(Recipes!$B:$B,MATCH(C711,Recipes!$A:$A,0)),"⚠ unknown recipe_id"))</f>
        <v/>
      </c>
      <c r="K711" s="12" t="str">
        <f aca="false">IF(C711="","",IFERROR(INDEX(Recipes!$C:$C,MATCH(C711,Recipes!$A:$A,0)),""))</f>
        <v/>
      </c>
      <c r="L711" s="12" t="str">
        <f aca="false">IF(AND(A711='Grocery List'!$B$3,E711="Yes"),COUNTIFS($A$4:A711,'Grocery List'!$B$3,$E$4:E711,"Yes"),"")</f>
        <v/>
      </c>
    </row>
    <row r="712" customFormat="false" ht="15" hidden="false" customHeight="false" outlineLevel="0" collapsed="false">
      <c r="A712" s="16"/>
      <c r="D712" s="12" t="str">
        <f aca="false">IF(C712="","",IFERROR(INDEX(Recipes!$B:$B,MATCH(C712,Recipes!$A:$A,0)),"⚠ unknown recipe_id"))</f>
        <v/>
      </c>
      <c r="K712" s="12" t="str">
        <f aca="false">IF(C712="","",IFERROR(INDEX(Recipes!$C:$C,MATCH(C712,Recipes!$A:$A,0)),""))</f>
        <v/>
      </c>
      <c r="L712" s="12" t="str">
        <f aca="false">IF(AND(A712='Grocery List'!$B$3,E712="Yes"),COUNTIFS($A$4:A712,'Grocery List'!$B$3,$E$4:E712,"Yes"),"")</f>
        <v/>
      </c>
    </row>
    <row r="713" customFormat="false" ht="15" hidden="false" customHeight="false" outlineLevel="0" collapsed="false">
      <c r="A713" s="16"/>
      <c r="D713" s="12" t="str">
        <f aca="false">IF(C713="","",IFERROR(INDEX(Recipes!$B:$B,MATCH(C713,Recipes!$A:$A,0)),"⚠ unknown recipe_id"))</f>
        <v/>
      </c>
      <c r="K713" s="12" t="str">
        <f aca="false">IF(C713="","",IFERROR(INDEX(Recipes!$C:$C,MATCH(C713,Recipes!$A:$A,0)),""))</f>
        <v/>
      </c>
      <c r="L713" s="12" t="str">
        <f aca="false">IF(AND(A713='Grocery List'!$B$3,E713="Yes"),COUNTIFS($A$4:A713,'Grocery List'!$B$3,$E$4:E713,"Yes"),"")</f>
        <v/>
      </c>
    </row>
    <row r="714" customFormat="false" ht="15" hidden="false" customHeight="false" outlineLevel="0" collapsed="false">
      <c r="A714" s="16"/>
      <c r="D714" s="12" t="str">
        <f aca="false">IF(C714="","",IFERROR(INDEX(Recipes!$B:$B,MATCH(C714,Recipes!$A:$A,0)),"⚠ unknown recipe_id"))</f>
        <v/>
      </c>
      <c r="K714" s="12" t="str">
        <f aca="false">IF(C714="","",IFERROR(INDEX(Recipes!$C:$C,MATCH(C714,Recipes!$A:$A,0)),""))</f>
        <v/>
      </c>
      <c r="L714" s="12" t="str">
        <f aca="false">IF(AND(A714='Grocery List'!$B$3,E714="Yes"),COUNTIFS($A$4:A714,'Grocery List'!$B$3,$E$4:E714,"Yes"),"")</f>
        <v/>
      </c>
    </row>
    <row r="715" customFormat="false" ht="15" hidden="false" customHeight="false" outlineLevel="0" collapsed="false">
      <c r="A715" s="16"/>
      <c r="D715" s="12" t="str">
        <f aca="false">IF(C715="","",IFERROR(INDEX(Recipes!$B:$B,MATCH(C715,Recipes!$A:$A,0)),"⚠ unknown recipe_id"))</f>
        <v/>
      </c>
      <c r="K715" s="12" t="str">
        <f aca="false">IF(C715="","",IFERROR(INDEX(Recipes!$C:$C,MATCH(C715,Recipes!$A:$A,0)),""))</f>
        <v/>
      </c>
      <c r="L715" s="12" t="str">
        <f aca="false">IF(AND(A715='Grocery List'!$B$3,E715="Yes"),COUNTIFS($A$4:A715,'Grocery List'!$B$3,$E$4:E715,"Yes"),"")</f>
        <v/>
      </c>
    </row>
    <row r="716" customFormat="false" ht="15" hidden="false" customHeight="false" outlineLevel="0" collapsed="false">
      <c r="A716" s="16"/>
      <c r="D716" s="12" t="str">
        <f aca="false">IF(C716="","",IFERROR(INDEX(Recipes!$B:$B,MATCH(C716,Recipes!$A:$A,0)),"⚠ unknown recipe_id"))</f>
        <v/>
      </c>
      <c r="K716" s="12" t="str">
        <f aca="false">IF(C716="","",IFERROR(INDEX(Recipes!$C:$C,MATCH(C716,Recipes!$A:$A,0)),""))</f>
        <v/>
      </c>
      <c r="L716" s="12" t="str">
        <f aca="false">IF(AND(A716='Grocery List'!$B$3,E716="Yes"),COUNTIFS($A$4:A716,'Grocery List'!$B$3,$E$4:E716,"Yes"),"")</f>
        <v/>
      </c>
    </row>
    <row r="717" customFormat="false" ht="15" hidden="false" customHeight="false" outlineLevel="0" collapsed="false">
      <c r="A717" s="16"/>
      <c r="D717" s="12" t="str">
        <f aca="false">IF(C717="","",IFERROR(INDEX(Recipes!$B:$B,MATCH(C717,Recipes!$A:$A,0)),"⚠ unknown recipe_id"))</f>
        <v/>
      </c>
      <c r="K717" s="12" t="str">
        <f aca="false">IF(C717="","",IFERROR(INDEX(Recipes!$C:$C,MATCH(C717,Recipes!$A:$A,0)),""))</f>
        <v/>
      </c>
      <c r="L717" s="12" t="str">
        <f aca="false">IF(AND(A717='Grocery List'!$B$3,E717="Yes"),COUNTIFS($A$4:A717,'Grocery List'!$B$3,$E$4:E717,"Yes"),"")</f>
        <v/>
      </c>
    </row>
    <row r="718" customFormat="false" ht="15" hidden="false" customHeight="false" outlineLevel="0" collapsed="false">
      <c r="A718" s="16"/>
      <c r="D718" s="12" t="str">
        <f aca="false">IF(C718="","",IFERROR(INDEX(Recipes!$B:$B,MATCH(C718,Recipes!$A:$A,0)),"⚠ unknown recipe_id"))</f>
        <v/>
      </c>
      <c r="K718" s="12" t="str">
        <f aca="false">IF(C718="","",IFERROR(INDEX(Recipes!$C:$C,MATCH(C718,Recipes!$A:$A,0)),""))</f>
        <v/>
      </c>
      <c r="L718" s="12" t="str">
        <f aca="false">IF(AND(A718='Grocery List'!$B$3,E718="Yes"),COUNTIFS($A$4:A718,'Grocery List'!$B$3,$E$4:E718,"Yes"),"")</f>
        <v/>
      </c>
    </row>
    <row r="719" customFormat="false" ht="15" hidden="false" customHeight="false" outlineLevel="0" collapsed="false">
      <c r="A719" s="16"/>
      <c r="D719" s="12" t="str">
        <f aca="false">IF(C719="","",IFERROR(INDEX(Recipes!$B:$B,MATCH(C719,Recipes!$A:$A,0)),"⚠ unknown recipe_id"))</f>
        <v/>
      </c>
      <c r="K719" s="12" t="str">
        <f aca="false">IF(C719="","",IFERROR(INDEX(Recipes!$C:$C,MATCH(C719,Recipes!$A:$A,0)),""))</f>
        <v/>
      </c>
      <c r="L719" s="12" t="str">
        <f aca="false">IF(AND(A719='Grocery List'!$B$3,E719="Yes"),COUNTIFS($A$4:A719,'Grocery List'!$B$3,$E$4:E719,"Yes"),"")</f>
        <v/>
      </c>
    </row>
    <row r="720" customFormat="false" ht="15" hidden="false" customHeight="false" outlineLevel="0" collapsed="false">
      <c r="A720" s="16"/>
      <c r="D720" s="12" t="str">
        <f aca="false">IF(C720="","",IFERROR(INDEX(Recipes!$B:$B,MATCH(C720,Recipes!$A:$A,0)),"⚠ unknown recipe_id"))</f>
        <v/>
      </c>
      <c r="K720" s="12" t="str">
        <f aca="false">IF(C720="","",IFERROR(INDEX(Recipes!$C:$C,MATCH(C720,Recipes!$A:$A,0)),""))</f>
        <v/>
      </c>
      <c r="L720" s="12" t="str">
        <f aca="false">IF(AND(A720='Grocery List'!$B$3,E720="Yes"),COUNTIFS($A$4:A720,'Grocery List'!$B$3,$E$4:E720,"Yes"),"")</f>
        <v/>
      </c>
    </row>
    <row r="721" customFormat="false" ht="15" hidden="false" customHeight="false" outlineLevel="0" collapsed="false">
      <c r="A721" s="16"/>
      <c r="D721" s="12" t="str">
        <f aca="false">IF(C721="","",IFERROR(INDEX(Recipes!$B:$B,MATCH(C721,Recipes!$A:$A,0)),"⚠ unknown recipe_id"))</f>
        <v/>
      </c>
      <c r="K721" s="12" t="str">
        <f aca="false">IF(C721="","",IFERROR(INDEX(Recipes!$C:$C,MATCH(C721,Recipes!$A:$A,0)),""))</f>
        <v/>
      </c>
      <c r="L721" s="12" t="str">
        <f aca="false">IF(AND(A721='Grocery List'!$B$3,E721="Yes"),COUNTIFS($A$4:A721,'Grocery List'!$B$3,$E$4:E721,"Yes"),"")</f>
        <v/>
      </c>
    </row>
    <row r="722" customFormat="false" ht="15" hidden="false" customHeight="false" outlineLevel="0" collapsed="false">
      <c r="A722" s="16"/>
      <c r="D722" s="12" t="str">
        <f aca="false">IF(C722="","",IFERROR(INDEX(Recipes!$B:$B,MATCH(C722,Recipes!$A:$A,0)),"⚠ unknown recipe_id"))</f>
        <v/>
      </c>
      <c r="K722" s="12" t="str">
        <f aca="false">IF(C722="","",IFERROR(INDEX(Recipes!$C:$C,MATCH(C722,Recipes!$A:$A,0)),""))</f>
        <v/>
      </c>
      <c r="L722" s="12" t="str">
        <f aca="false">IF(AND(A722='Grocery List'!$B$3,E722="Yes"),COUNTIFS($A$4:A722,'Grocery List'!$B$3,$E$4:E722,"Yes"),"")</f>
        <v/>
      </c>
    </row>
    <row r="723" customFormat="false" ht="15" hidden="false" customHeight="false" outlineLevel="0" collapsed="false">
      <c r="A723" s="16"/>
      <c r="D723" s="12" t="str">
        <f aca="false">IF(C723="","",IFERROR(INDEX(Recipes!$B:$B,MATCH(C723,Recipes!$A:$A,0)),"⚠ unknown recipe_id"))</f>
        <v/>
      </c>
      <c r="K723" s="12" t="str">
        <f aca="false">IF(C723="","",IFERROR(INDEX(Recipes!$C:$C,MATCH(C723,Recipes!$A:$A,0)),""))</f>
        <v/>
      </c>
      <c r="L723" s="12" t="str">
        <f aca="false">IF(AND(A723='Grocery List'!$B$3,E723="Yes"),COUNTIFS($A$4:A723,'Grocery List'!$B$3,$E$4:E723,"Yes"),"")</f>
        <v/>
      </c>
    </row>
    <row r="724" customFormat="false" ht="15" hidden="false" customHeight="false" outlineLevel="0" collapsed="false">
      <c r="A724" s="16"/>
      <c r="D724" s="12" t="str">
        <f aca="false">IF(C724="","",IFERROR(INDEX(Recipes!$B:$B,MATCH(C724,Recipes!$A:$A,0)),"⚠ unknown recipe_id"))</f>
        <v/>
      </c>
      <c r="K724" s="12" t="str">
        <f aca="false">IF(C724="","",IFERROR(INDEX(Recipes!$C:$C,MATCH(C724,Recipes!$A:$A,0)),""))</f>
        <v/>
      </c>
      <c r="L724" s="12" t="str">
        <f aca="false">IF(AND(A724='Grocery List'!$B$3,E724="Yes"),COUNTIFS($A$4:A724,'Grocery List'!$B$3,$E$4:E724,"Yes"),"")</f>
        <v/>
      </c>
    </row>
    <row r="725" customFormat="false" ht="15" hidden="false" customHeight="false" outlineLevel="0" collapsed="false">
      <c r="A725" s="16"/>
      <c r="D725" s="12" t="str">
        <f aca="false">IF(C725="","",IFERROR(INDEX(Recipes!$B:$B,MATCH(C725,Recipes!$A:$A,0)),"⚠ unknown recipe_id"))</f>
        <v/>
      </c>
      <c r="K725" s="12" t="str">
        <f aca="false">IF(C725="","",IFERROR(INDEX(Recipes!$C:$C,MATCH(C725,Recipes!$A:$A,0)),""))</f>
        <v/>
      </c>
      <c r="L725" s="12" t="str">
        <f aca="false">IF(AND(A725='Grocery List'!$B$3,E725="Yes"),COUNTIFS($A$4:A725,'Grocery List'!$B$3,$E$4:E725,"Yes"),"")</f>
        <v/>
      </c>
    </row>
    <row r="726" customFormat="false" ht="15" hidden="false" customHeight="false" outlineLevel="0" collapsed="false">
      <c r="A726" s="16"/>
      <c r="D726" s="12" t="str">
        <f aca="false">IF(C726="","",IFERROR(INDEX(Recipes!$B:$B,MATCH(C726,Recipes!$A:$A,0)),"⚠ unknown recipe_id"))</f>
        <v/>
      </c>
      <c r="K726" s="12" t="str">
        <f aca="false">IF(C726="","",IFERROR(INDEX(Recipes!$C:$C,MATCH(C726,Recipes!$A:$A,0)),""))</f>
        <v/>
      </c>
      <c r="L726" s="12" t="str">
        <f aca="false">IF(AND(A726='Grocery List'!$B$3,E726="Yes"),COUNTIFS($A$4:A726,'Grocery List'!$B$3,$E$4:E726,"Yes"),"")</f>
        <v/>
      </c>
    </row>
    <row r="727" customFormat="false" ht="15" hidden="false" customHeight="false" outlineLevel="0" collapsed="false">
      <c r="A727" s="16"/>
      <c r="D727" s="12" t="str">
        <f aca="false">IF(C727="","",IFERROR(INDEX(Recipes!$B:$B,MATCH(C727,Recipes!$A:$A,0)),"⚠ unknown recipe_id"))</f>
        <v/>
      </c>
      <c r="K727" s="12" t="str">
        <f aca="false">IF(C727="","",IFERROR(INDEX(Recipes!$C:$C,MATCH(C727,Recipes!$A:$A,0)),""))</f>
        <v/>
      </c>
      <c r="L727" s="12" t="str">
        <f aca="false">IF(AND(A727='Grocery List'!$B$3,E727="Yes"),COUNTIFS($A$4:A727,'Grocery List'!$B$3,$E$4:E727,"Yes"),"")</f>
        <v/>
      </c>
    </row>
    <row r="728" customFormat="false" ht="15" hidden="false" customHeight="false" outlineLevel="0" collapsed="false">
      <c r="A728" s="16"/>
      <c r="D728" s="12" t="str">
        <f aca="false">IF(C728="","",IFERROR(INDEX(Recipes!$B:$B,MATCH(C728,Recipes!$A:$A,0)),"⚠ unknown recipe_id"))</f>
        <v/>
      </c>
      <c r="K728" s="12" t="str">
        <f aca="false">IF(C728="","",IFERROR(INDEX(Recipes!$C:$C,MATCH(C728,Recipes!$A:$A,0)),""))</f>
        <v/>
      </c>
      <c r="L728" s="12" t="str">
        <f aca="false">IF(AND(A728='Grocery List'!$B$3,E728="Yes"),COUNTIFS($A$4:A728,'Grocery List'!$B$3,$E$4:E728,"Yes"),"")</f>
        <v/>
      </c>
    </row>
    <row r="729" customFormat="false" ht="15" hidden="false" customHeight="false" outlineLevel="0" collapsed="false">
      <c r="A729" s="16"/>
      <c r="D729" s="12" t="str">
        <f aca="false">IF(C729="","",IFERROR(INDEX(Recipes!$B:$B,MATCH(C729,Recipes!$A:$A,0)),"⚠ unknown recipe_id"))</f>
        <v/>
      </c>
      <c r="K729" s="12" t="str">
        <f aca="false">IF(C729="","",IFERROR(INDEX(Recipes!$C:$C,MATCH(C729,Recipes!$A:$A,0)),""))</f>
        <v/>
      </c>
      <c r="L729" s="12" t="str">
        <f aca="false">IF(AND(A729='Grocery List'!$B$3,E729="Yes"),COUNTIFS($A$4:A729,'Grocery List'!$B$3,$E$4:E729,"Yes"),"")</f>
        <v/>
      </c>
    </row>
    <row r="730" customFormat="false" ht="15" hidden="false" customHeight="false" outlineLevel="0" collapsed="false">
      <c r="A730" s="16"/>
      <c r="D730" s="12" t="str">
        <f aca="false">IF(C730="","",IFERROR(INDEX(Recipes!$B:$B,MATCH(C730,Recipes!$A:$A,0)),"⚠ unknown recipe_id"))</f>
        <v/>
      </c>
      <c r="K730" s="12" t="str">
        <f aca="false">IF(C730="","",IFERROR(INDEX(Recipes!$C:$C,MATCH(C730,Recipes!$A:$A,0)),""))</f>
        <v/>
      </c>
      <c r="L730" s="12" t="str">
        <f aca="false">IF(AND(A730='Grocery List'!$B$3,E730="Yes"),COUNTIFS($A$4:A730,'Grocery List'!$B$3,$E$4:E730,"Yes"),"")</f>
        <v/>
      </c>
    </row>
    <row r="731" customFormat="false" ht="15" hidden="false" customHeight="false" outlineLevel="0" collapsed="false">
      <c r="A731" s="16"/>
      <c r="D731" s="12" t="str">
        <f aca="false">IF(C731="","",IFERROR(INDEX(Recipes!$B:$B,MATCH(C731,Recipes!$A:$A,0)),"⚠ unknown recipe_id"))</f>
        <v/>
      </c>
      <c r="K731" s="12" t="str">
        <f aca="false">IF(C731="","",IFERROR(INDEX(Recipes!$C:$C,MATCH(C731,Recipes!$A:$A,0)),""))</f>
        <v/>
      </c>
      <c r="L731" s="12" t="str">
        <f aca="false">IF(AND(A731='Grocery List'!$B$3,E731="Yes"),COUNTIFS($A$4:A731,'Grocery List'!$B$3,$E$4:E731,"Yes"),"")</f>
        <v/>
      </c>
    </row>
    <row r="732" customFormat="false" ht="15" hidden="false" customHeight="false" outlineLevel="0" collapsed="false">
      <c r="A732" s="16"/>
      <c r="D732" s="12" t="str">
        <f aca="false">IF(C732="","",IFERROR(INDEX(Recipes!$B:$B,MATCH(C732,Recipes!$A:$A,0)),"⚠ unknown recipe_id"))</f>
        <v/>
      </c>
      <c r="K732" s="12" t="str">
        <f aca="false">IF(C732="","",IFERROR(INDEX(Recipes!$C:$C,MATCH(C732,Recipes!$A:$A,0)),""))</f>
        <v/>
      </c>
      <c r="L732" s="12" t="str">
        <f aca="false">IF(AND(A732='Grocery List'!$B$3,E732="Yes"),COUNTIFS($A$4:A732,'Grocery List'!$B$3,$E$4:E732,"Yes"),"")</f>
        <v/>
      </c>
    </row>
    <row r="733" customFormat="false" ht="15" hidden="false" customHeight="false" outlineLevel="0" collapsed="false">
      <c r="A733" s="16"/>
      <c r="D733" s="12" t="str">
        <f aca="false">IF(C733="","",IFERROR(INDEX(Recipes!$B:$B,MATCH(C733,Recipes!$A:$A,0)),"⚠ unknown recipe_id"))</f>
        <v/>
      </c>
      <c r="K733" s="12" t="str">
        <f aca="false">IF(C733="","",IFERROR(INDEX(Recipes!$C:$C,MATCH(C733,Recipes!$A:$A,0)),""))</f>
        <v/>
      </c>
      <c r="L733" s="12" t="str">
        <f aca="false">IF(AND(A733='Grocery List'!$B$3,E733="Yes"),COUNTIFS($A$4:A733,'Grocery List'!$B$3,$E$4:E733,"Yes"),"")</f>
        <v/>
      </c>
    </row>
    <row r="734" customFormat="false" ht="15" hidden="false" customHeight="false" outlineLevel="0" collapsed="false">
      <c r="A734" s="16"/>
      <c r="D734" s="12" t="str">
        <f aca="false">IF(C734="","",IFERROR(INDEX(Recipes!$B:$B,MATCH(C734,Recipes!$A:$A,0)),"⚠ unknown recipe_id"))</f>
        <v/>
      </c>
      <c r="K734" s="12" t="str">
        <f aca="false">IF(C734="","",IFERROR(INDEX(Recipes!$C:$C,MATCH(C734,Recipes!$A:$A,0)),""))</f>
        <v/>
      </c>
      <c r="L734" s="12" t="str">
        <f aca="false">IF(AND(A734='Grocery List'!$B$3,E734="Yes"),COUNTIFS($A$4:A734,'Grocery List'!$B$3,$E$4:E734,"Yes"),"")</f>
        <v/>
      </c>
    </row>
    <row r="735" customFormat="false" ht="15" hidden="false" customHeight="false" outlineLevel="0" collapsed="false">
      <c r="A735" s="16"/>
      <c r="D735" s="12" t="str">
        <f aca="false">IF(C735="","",IFERROR(INDEX(Recipes!$B:$B,MATCH(C735,Recipes!$A:$A,0)),"⚠ unknown recipe_id"))</f>
        <v/>
      </c>
      <c r="K735" s="12" t="str">
        <f aca="false">IF(C735="","",IFERROR(INDEX(Recipes!$C:$C,MATCH(C735,Recipes!$A:$A,0)),""))</f>
        <v/>
      </c>
      <c r="L735" s="12" t="str">
        <f aca="false">IF(AND(A735='Grocery List'!$B$3,E735="Yes"),COUNTIFS($A$4:A735,'Grocery List'!$B$3,$E$4:E735,"Yes"),"")</f>
        <v/>
      </c>
    </row>
    <row r="736" customFormat="false" ht="15" hidden="false" customHeight="false" outlineLevel="0" collapsed="false">
      <c r="A736" s="16"/>
      <c r="D736" s="12" t="str">
        <f aca="false">IF(C736="","",IFERROR(INDEX(Recipes!$B:$B,MATCH(C736,Recipes!$A:$A,0)),"⚠ unknown recipe_id"))</f>
        <v/>
      </c>
      <c r="K736" s="12" t="str">
        <f aca="false">IF(C736="","",IFERROR(INDEX(Recipes!$C:$C,MATCH(C736,Recipes!$A:$A,0)),""))</f>
        <v/>
      </c>
      <c r="L736" s="12" t="str">
        <f aca="false">IF(AND(A736='Grocery List'!$B$3,E736="Yes"),COUNTIFS($A$4:A736,'Grocery List'!$B$3,$E$4:E736,"Yes"),"")</f>
        <v/>
      </c>
    </row>
    <row r="737" customFormat="false" ht="15" hidden="false" customHeight="false" outlineLevel="0" collapsed="false">
      <c r="A737" s="16"/>
      <c r="D737" s="12" t="str">
        <f aca="false">IF(C737="","",IFERROR(INDEX(Recipes!$B:$B,MATCH(C737,Recipes!$A:$A,0)),"⚠ unknown recipe_id"))</f>
        <v/>
      </c>
      <c r="K737" s="12" t="str">
        <f aca="false">IF(C737="","",IFERROR(INDEX(Recipes!$C:$C,MATCH(C737,Recipes!$A:$A,0)),""))</f>
        <v/>
      </c>
      <c r="L737" s="12" t="str">
        <f aca="false">IF(AND(A737='Grocery List'!$B$3,E737="Yes"),COUNTIFS($A$4:A737,'Grocery List'!$B$3,$E$4:E737,"Yes"),"")</f>
        <v/>
      </c>
    </row>
    <row r="738" customFormat="false" ht="15" hidden="false" customHeight="false" outlineLevel="0" collapsed="false">
      <c r="A738" s="16"/>
      <c r="D738" s="12" t="str">
        <f aca="false">IF(C738="","",IFERROR(INDEX(Recipes!$B:$B,MATCH(C738,Recipes!$A:$A,0)),"⚠ unknown recipe_id"))</f>
        <v/>
      </c>
      <c r="K738" s="12" t="str">
        <f aca="false">IF(C738="","",IFERROR(INDEX(Recipes!$C:$C,MATCH(C738,Recipes!$A:$A,0)),""))</f>
        <v/>
      </c>
      <c r="L738" s="12" t="str">
        <f aca="false">IF(AND(A738='Grocery List'!$B$3,E738="Yes"),COUNTIFS($A$4:A738,'Grocery List'!$B$3,$E$4:E738,"Yes"),"")</f>
        <v/>
      </c>
    </row>
    <row r="739" customFormat="false" ht="15" hidden="false" customHeight="false" outlineLevel="0" collapsed="false">
      <c r="A739" s="16"/>
      <c r="D739" s="12" t="str">
        <f aca="false">IF(C739="","",IFERROR(INDEX(Recipes!$B:$B,MATCH(C739,Recipes!$A:$A,0)),"⚠ unknown recipe_id"))</f>
        <v/>
      </c>
      <c r="K739" s="12" t="str">
        <f aca="false">IF(C739="","",IFERROR(INDEX(Recipes!$C:$C,MATCH(C739,Recipes!$A:$A,0)),""))</f>
        <v/>
      </c>
      <c r="L739" s="12" t="str">
        <f aca="false">IF(AND(A739='Grocery List'!$B$3,E739="Yes"),COUNTIFS($A$4:A739,'Grocery List'!$B$3,$E$4:E739,"Yes"),"")</f>
        <v/>
      </c>
    </row>
    <row r="740" customFormat="false" ht="15" hidden="false" customHeight="false" outlineLevel="0" collapsed="false">
      <c r="A740" s="16"/>
      <c r="D740" s="12" t="str">
        <f aca="false">IF(C740="","",IFERROR(INDEX(Recipes!$B:$B,MATCH(C740,Recipes!$A:$A,0)),"⚠ unknown recipe_id"))</f>
        <v/>
      </c>
      <c r="K740" s="12" t="str">
        <f aca="false">IF(C740="","",IFERROR(INDEX(Recipes!$C:$C,MATCH(C740,Recipes!$A:$A,0)),""))</f>
        <v/>
      </c>
      <c r="L740" s="12" t="str">
        <f aca="false">IF(AND(A740='Grocery List'!$B$3,E740="Yes"),COUNTIFS($A$4:A740,'Grocery List'!$B$3,$E$4:E740,"Yes"),"")</f>
        <v/>
      </c>
    </row>
    <row r="741" customFormat="false" ht="15" hidden="false" customHeight="false" outlineLevel="0" collapsed="false">
      <c r="A741" s="16"/>
      <c r="D741" s="12" t="str">
        <f aca="false">IF(C741="","",IFERROR(INDEX(Recipes!$B:$B,MATCH(C741,Recipes!$A:$A,0)),"⚠ unknown recipe_id"))</f>
        <v/>
      </c>
      <c r="K741" s="12" t="str">
        <f aca="false">IF(C741="","",IFERROR(INDEX(Recipes!$C:$C,MATCH(C741,Recipes!$A:$A,0)),""))</f>
        <v/>
      </c>
      <c r="L741" s="12" t="str">
        <f aca="false">IF(AND(A741='Grocery List'!$B$3,E741="Yes"),COUNTIFS($A$4:A741,'Grocery List'!$B$3,$E$4:E741,"Yes"),"")</f>
        <v/>
      </c>
    </row>
    <row r="742" customFormat="false" ht="15" hidden="false" customHeight="false" outlineLevel="0" collapsed="false">
      <c r="A742" s="16"/>
      <c r="D742" s="12" t="str">
        <f aca="false">IF(C742="","",IFERROR(INDEX(Recipes!$B:$B,MATCH(C742,Recipes!$A:$A,0)),"⚠ unknown recipe_id"))</f>
        <v/>
      </c>
      <c r="K742" s="12" t="str">
        <f aca="false">IF(C742="","",IFERROR(INDEX(Recipes!$C:$C,MATCH(C742,Recipes!$A:$A,0)),""))</f>
        <v/>
      </c>
      <c r="L742" s="12" t="str">
        <f aca="false">IF(AND(A742='Grocery List'!$B$3,E742="Yes"),COUNTIFS($A$4:A742,'Grocery List'!$B$3,$E$4:E742,"Yes"),"")</f>
        <v/>
      </c>
    </row>
    <row r="743" customFormat="false" ht="15" hidden="false" customHeight="false" outlineLevel="0" collapsed="false">
      <c r="A743" s="16"/>
      <c r="D743" s="12" t="str">
        <f aca="false">IF(C743="","",IFERROR(INDEX(Recipes!$B:$B,MATCH(C743,Recipes!$A:$A,0)),"⚠ unknown recipe_id"))</f>
        <v/>
      </c>
      <c r="K743" s="12" t="str">
        <f aca="false">IF(C743="","",IFERROR(INDEX(Recipes!$C:$C,MATCH(C743,Recipes!$A:$A,0)),""))</f>
        <v/>
      </c>
      <c r="L743" s="12" t="str">
        <f aca="false">IF(AND(A743='Grocery List'!$B$3,E743="Yes"),COUNTIFS($A$4:A743,'Grocery List'!$B$3,$E$4:E743,"Yes"),"")</f>
        <v/>
      </c>
    </row>
    <row r="744" customFormat="false" ht="15" hidden="false" customHeight="false" outlineLevel="0" collapsed="false">
      <c r="A744" s="16"/>
      <c r="D744" s="12" t="str">
        <f aca="false">IF(C744="","",IFERROR(INDEX(Recipes!$B:$B,MATCH(C744,Recipes!$A:$A,0)),"⚠ unknown recipe_id"))</f>
        <v/>
      </c>
      <c r="K744" s="12" t="str">
        <f aca="false">IF(C744="","",IFERROR(INDEX(Recipes!$C:$C,MATCH(C744,Recipes!$A:$A,0)),""))</f>
        <v/>
      </c>
      <c r="L744" s="12" t="str">
        <f aca="false">IF(AND(A744='Grocery List'!$B$3,E744="Yes"),COUNTIFS($A$4:A744,'Grocery List'!$B$3,$E$4:E744,"Yes"),"")</f>
        <v/>
      </c>
    </row>
    <row r="745" customFormat="false" ht="15" hidden="false" customHeight="false" outlineLevel="0" collapsed="false">
      <c r="A745" s="16"/>
      <c r="D745" s="12" t="str">
        <f aca="false">IF(C745="","",IFERROR(INDEX(Recipes!$B:$B,MATCH(C745,Recipes!$A:$A,0)),"⚠ unknown recipe_id"))</f>
        <v/>
      </c>
      <c r="K745" s="12" t="str">
        <f aca="false">IF(C745="","",IFERROR(INDEX(Recipes!$C:$C,MATCH(C745,Recipes!$A:$A,0)),""))</f>
        <v/>
      </c>
      <c r="L745" s="12" t="str">
        <f aca="false">IF(AND(A745='Grocery List'!$B$3,E745="Yes"),COUNTIFS($A$4:A745,'Grocery List'!$B$3,$E$4:E745,"Yes"),"")</f>
        <v/>
      </c>
    </row>
    <row r="746" customFormat="false" ht="15" hidden="false" customHeight="false" outlineLevel="0" collapsed="false">
      <c r="A746" s="16"/>
      <c r="D746" s="12" t="str">
        <f aca="false">IF(C746="","",IFERROR(INDEX(Recipes!$B:$B,MATCH(C746,Recipes!$A:$A,0)),"⚠ unknown recipe_id"))</f>
        <v/>
      </c>
      <c r="K746" s="12" t="str">
        <f aca="false">IF(C746="","",IFERROR(INDEX(Recipes!$C:$C,MATCH(C746,Recipes!$A:$A,0)),""))</f>
        <v/>
      </c>
      <c r="L746" s="12" t="str">
        <f aca="false">IF(AND(A746='Grocery List'!$B$3,E746="Yes"),COUNTIFS($A$4:A746,'Grocery List'!$B$3,$E$4:E746,"Yes"),"")</f>
        <v/>
      </c>
    </row>
    <row r="747" customFormat="false" ht="15" hidden="false" customHeight="false" outlineLevel="0" collapsed="false">
      <c r="A747" s="16"/>
      <c r="D747" s="12" t="str">
        <f aca="false">IF(C747="","",IFERROR(INDEX(Recipes!$B:$B,MATCH(C747,Recipes!$A:$A,0)),"⚠ unknown recipe_id"))</f>
        <v/>
      </c>
      <c r="K747" s="12" t="str">
        <f aca="false">IF(C747="","",IFERROR(INDEX(Recipes!$C:$C,MATCH(C747,Recipes!$A:$A,0)),""))</f>
        <v/>
      </c>
      <c r="L747" s="12" t="str">
        <f aca="false">IF(AND(A747='Grocery List'!$B$3,E747="Yes"),COUNTIFS($A$4:A747,'Grocery List'!$B$3,$E$4:E747,"Yes"),"")</f>
        <v/>
      </c>
    </row>
    <row r="748" customFormat="false" ht="15" hidden="false" customHeight="false" outlineLevel="0" collapsed="false">
      <c r="A748" s="16"/>
      <c r="D748" s="12" t="str">
        <f aca="false">IF(C748="","",IFERROR(INDEX(Recipes!$B:$B,MATCH(C748,Recipes!$A:$A,0)),"⚠ unknown recipe_id"))</f>
        <v/>
      </c>
      <c r="K748" s="12" t="str">
        <f aca="false">IF(C748="","",IFERROR(INDEX(Recipes!$C:$C,MATCH(C748,Recipes!$A:$A,0)),""))</f>
        <v/>
      </c>
      <c r="L748" s="12" t="str">
        <f aca="false">IF(AND(A748='Grocery List'!$B$3,E748="Yes"),COUNTIFS($A$4:A748,'Grocery List'!$B$3,$E$4:E748,"Yes"),"")</f>
        <v/>
      </c>
    </row>
    <row r="749" customFormat="false" ht="15" hidden="false" customHeight="false" outlineLevel="0" collapsed="false">
      <c r="A749" s="16"/>
      <c r="D749" s="12" t="str">
        <f aca="false">IF(C749="","",IFERROR(INDEX(Recipes!$B:$B,MATCH(C749,Recipes!$A:$A,0)),"⚠ unknown recipe_id"))</f>
        <v/>
      </c>
      <c r="K749" s="12" t="str">
        <f aca="false">IF(C749="","",IFERROR(INDEX(Recipes!$C:$C,MATCH(C749,Recipes!$A:$A,0)),""))</f>
        <v/>
      </c>
      <c r="L749" s="12" t="str">
        <f aca="false">IF(AND(A749='Grocery List'!$B$3,E749="Yes"),COUNTIFS($A$4:A749,'Grocery List'!$B$3,$E$4:E749,"Yes"),"")</f>
        <v/>
      </c>
    </row>
    <row r="750" customFormat="false" ht="15" hidden="false" customHeight="false" outlineLevel="0" collapsed="false">
      <c r="A750" s="16"/>
      <c r="D750" s="12" t="str">
        <f aca="false">IF(C750="","",IFERROR(INDEX(Recipes!$B:$B,MATCH(C750,Recipes!$A:$A,0)),"⚠ unknown recipe_id"))</f>
        <v/>
      </c>
      <c r="K750" s="12" t="str">
        <f aca="false">IF(C750="","",IFERROR(INDEX(Recipes!$C:$C,MATCH(C750,Recipes!$A:$A,0)),""))</f>
        <v/>
      </c>
      <c r="L750" s="12" t="str">
        <f aca="false">IF(AND(A750='Grocery List'!$B$3,E750="Yes"),COUNTIFS($A$4:A750,'Grocery List'!$B$3,$E$4:E750,"Yes"),"")</f>
        <v/>
      </c>
    </row>
    <row r="751" customFormat="false" ht="15" hidden="false" customHeight="false" outlineLevel="0" collapsed="false">
      <c r="A751" s="16"/>
      <c r="D751" s="12" t="str">
        <f aca="false">IF(C751="","",IFERROR(INDEX(Recipes!$B:$B,MATCH(C751,Recipes!$A:$A,0)),"⚠ unknown recipe_id"))</f>
        <v/>
      </c>
      <c r="K751" s="12" t="str">
        <f aca="false">IF(C751="","",IFERROR(INDEX(Recipes!$C:$C,MATCH(C751,Recipes!$A:$A,0)),""))</f>
        <v/>
      </c>
      <c r="L751" s="12" t="str">
        <f aca="false">IF(AND(A751='Grocery List'!$B$3,E751="Yes"),COUNTIFS($A$4:A751,'Grocery List'!$B$3,$E$4:E751,"Yes"),"")</f>
        <v/>
      </c>
    </row>
    <row r="752" customFormat="false" ht="15" hidden="false" customHeight="false" outlineLevel="0" collapsed="false">
      <c r="A752" s="16"/>
      <c r="D752" s="12" t="str">
        <f aca="false">IF(C752="","",IFERROR(INDEX(Recipes!$B:$B,MATCH(C752,Recipes!$A:$A,0)),"⚠ unknown recipe_id"))</f>
        <v/>
      </c>
      <c r="K752" s="12" t="str">
        <f aca="false">IF(C752="","",IFERROR(INDEX(Recipes!$C:$C,MATCH(C752,Recipes!$A:$A,0)),""))</f>
        <v/>
      </c>
      <c r="L752" s="12" t="str">
        <f aca="false">IF(AND(A752='Grocery List'!$B$3,E752="Yes"),COUNTIFS($A$4:A752,'Grocery List'!$B$3,$E$4:E752,"Yes"),"")</f>
        <v/>
      </c>
    </row>
    <row r="753" customFormat="false" ht="15" hidden="false" customHeight="false" outlineLevel="0" collapsed="false">
      <c r="A753" s="16"/>
      <c r="D753" s="12" t="str">
        <f aca="false">IF(C753="","",IFERROR(INDEX(Recipes!$B:$B,MATCH(C753,Recipes!$A:$A,0)),"⚠ unknown recipe_id"))</f>
        <v/>
      </c>
      <c r="K753" s="12" t="str">
        <f aca="false">IF(C753="","",IFERROR(INDEX(Recipes!$C:$C,MATCH(C753,Recipes!$A:$A,0)),""))</f>
        <v/>
      </c>
      <c r="L753" s="12" t="str">
        <f aca="false">IF(AND(A753='Grocery List'!$B$3,E753="Yes"),COUNTIFS($A$4:A753,'Grocery List'!$B$3,$E$4:E753,"Yes"),"")</f>
        <v/>
      </c>
    </row>
    <row r="754" customFormat="false" ht="15" hidden="false" customHeight="false" outlineLevel="0" collapsed="false">
      <c r="A754" s="16"/>
      <c r="D754" s="12" t="str">
        <f aca="false">IF(C754="","",IFERROR(INDEX(Recipes!$B:$B,MATCH(C754,Recipes!$A:$A,0)),"⚠ unknown recipe_id"))</f>
        <v/>
      </c>
      <c r="K754" s="12" t="str">
        <f aca="false">IF(C754="","",IFERROR(INDEX(Recipes!$C:$C,MATCH(C754,Recipes!$A:$A,0)),""))</f>
        <v/>
      </c>
      <c r="L754" s="12" t="str">
        <f aca="false">IF(AND(A754='Grocery List'!$B$3,E754="Yes"),COUNTIFS($A$4:A754,'Grocery List'!$B$3,$E$4:E754,"Yes"),"")</f>
        <v/>
      </c>
    </row>
    <row r="755" customFormat="false" ht="15" hidden="false" customHeight="false" outlineLevel="0" collapsed="false">
      <c r="A755" s="16"/>
      <c r="D755" s="12" t="str">
        <f aca="false">IF(C755="","",IFERROR(INDEX(Recipes!$B:$B,MATCH(C755,Recipes!$A:$A,0)),"⚠ unknown recipe_id"))</f>
        <v/>
      </c>
      <c r="K755" s="12" t="str">
        <f aca="false">IF(C755="","",IFERROR(INDEX(Recipes!$C:$C,MATCH(C755,Recipes!$A:$A,0)),""))</f>
        <v/>
      </c>
      <c r="L755" s="12" t="str">
        <f aca="false">IF(AND(A755='Grocery List'!$B$3,E755="Yes"),COUNTIFS($A$4:A755,'Grocery List'!$B$3,$E$4:E755,"Yes"),"")</f>
        <v/>
      </c>
    </row>
    <row r="756" customFormat="false" ht="15" hidden="false" customHeight="false" outlineLevel="0" collapsed="false">
      <c r="A756" s="16"/>
      <c r="D756" s="12" t="str">
        <f aca="false">IF(C756="","",IFERROR(INDEX(Recipes!$B:$B,MATCH(C756,Recipes!$A:$A,0)),"⚠ unknown recipe_id"))</f>
        <v/>
      </c>
      <c r="K756" s="12" t="str">
        <f aca="false">IF(C756="","",IFERROR(INDEX(Recipes!$C:$C,MATCH(C756,Recipes!$A:$A,0)),""))</f>
        <v/>
      </c>
      <c r="L756" s="12" t="str">
        <f aca="false">IF(AND(A756='Grocery List'!$B$3,E756="Yes"),COUNTIFS($A$4:A756,'Grocery List'!$B$3,$E$4:E756,"Yes"),"")</f>
        <v/>
      </c>
    </row>
    <row r="757" customFormat="false" ht="15" hidden="false" customHeight="false" outlineLevel="0" collapsed="false">
      <c r="A757" s="16"/>
      <c r="D757" s="12" t="str">
        <f aca="false">IF(C757="","",IFERROR(INDEX(Recipes!$B:$B,MATCH(C757,Recipes!$A:$A,0)),"⚠ unknown recipe_id"))</f>
        <v/>
      </c>
      <c r="K757" s="12" t="str">
        <f aca="false">IF(C757="","",IFERROR(INDEX(Recipes!$C:$C,MATCH(C757,Recipes!$A:$A,0)),""))</f>
        <v/>
      </c>
      <c r="L757" s="12" t="str">
        <f aca="false">IF(AND(A757='Grocery List'!$B$3,E757="Yes"),COUNTIFS($A$4:A757,'Grocery List'!$B$3,$E$4:E757,"Yes"),"")</f>
        <v/>
      </c>
    </row>
    <row r="758" customFormat="false" ht="15" hidden="false" customHeight="false" outlineLevel="0" collapsed="false">
      <c r="A758" s="16"/>
      <c r="D758" s="12" t="str">
        <f aca="false">IF(C758="","",IFERROR(INDEX(Recipes!$B:$B,MATCH(C758,Recipes!$A:$A,0)),"⚠ unknown recipe_id"))</f>
        <v/>
      </c>
      <c r="K758" s="12" t="str">
        <f aca="false">IF(C758="","",IFERROR(INDEX(Recipes!$C:$C,MATCH(C758,Recipes!$A:$A,0)),""))</f>
        <v/>
      </c>
      <c r="L758" s="12" t="str">
        <f aca="false">IF(AND(A758='Grocery List'!$B$3,E758="Yes"),COUNTIFS($A$4:A758,'Grocery List'!$B$3,$E$4:E758,"Yes"),"")</f>
        <v/>
      </c>
    </row>
    <row r="759" customFormat="false" ht="15" hidden="false" customHeight="false" outlineLevel="0" collapsed="false">
      <c r="A759" s="16"/>
      <c r="D759" s="12" t="str">
        <f aca="false">IF(C759="","",IFERROR(INDEX(Recipes!$B:$B,MATCH(C759,Recipes!$A:$A,0)),"⚠ unknown recipe_id"))</f>
        <v/>
      </c>
      <c r="K759" s="12" t="str">
        <f aca="false">IF(C759="","",IFERROR(INDEX(Recipes!$C:$C,MATCH(C759,Recipes!$A:$A,0)),""))</f>
        <v/>
      </c>
      <c r="L759" s="12" t="str">
        <f aca="false">IF(AND(A759='Grocery List'!$B$3,E759="Yes"),COUNTIFS($A$4:A759,'Grocery List'!$B$3,$E$4:E759,"Yes"),"")</f>
        <v/>
      </c>
    </row>
    <row r="760" customFormat="false" ht="15" hidden="false" customHeight="false" outlineLevel="0" collapsed="false">
      <c r="A760" s="16"/>
      <c r="D760" s="12" t="str">
        <f aca="false">IF(C760="","",IFERROR(INDEX(Recipes!$B:$B,MATCH(C760,Recipes!$A:$A,0)),"⚠ unknown recipe_id"))</f>
        <v/>
      </c>
      <c r="K760" s="12" t="str">
        <f aca="false">IF(C760="","",IFERROR(INDEX(Recipes!$C:$C,MATCH(C760,Recipes!$A:$A,0)),""))</f>
        <v/>
      </c>
      <c r="L760" s="12" t="str">
        <f aca="false">IF(AND(A760='Grocery List'!$B$3,E760="Yes"),COUNTIFS($A$4:A760,'Grocery List'!$B$3,$E$4:E760,"Yes"),"")</f>
        <v/>
      </c>
    </row>
    <row r="761" customFormat="false" ht="15" hidden="false" customHeight="false" outlineLevel="0" collapsed="false">
      <c r="A761" s="16"/>
      <c r="D761" s="12" t="str">
        <f aca="false">IF(C761="","",IFERROR(INDEX(Recipes!$B:$B,MATCH(C761,Recipes!$A:$A,0)),"⚠ unknown recipe_id"))</f>
        <v/>
      </c>
      <c r="K761" s="12" t="str">
        <f aca="false">IF(C761="","",IFERROR(INDEX(Recipes!$C:$C,MATCH(C761,Recipes!$A:$A,0)),""))</f>
        <v/>
      </c>
      <c r="L761" s="12" t="str">
        <f aca="false">IF(AND(A761='Grocery List'!$B$3,E761="Yes"),COUNTIFS($A$4:A761,'Grocery List'!$B$3,$E$4:E761,"Yes"),"")</f>
        <v/>
      </c>
    </row>
    <row r="762" customFormat="false" ht="15" hidden="false" customHeight="false" outlineLevel="0" collapsed="false">
      <c r="A762" s="16"/>
      <c r="D762" s="12" t="str">
        <f aca="false">IF(C762="","",IFERROR(INDEX(Recipes!$B:$B,MATCH(C762,Recipes!$A:$A,0)),"⚠ unknown recipe_id"))</f>
        <v/>
      </c>
      <c r="K762" s="12" t="str">
        <f aca="false">IF(C762="","",IFERROR(INDEX(Recipes!$C:$C,MATCH(C762,Recipes!$A:$A,0)),""))</f>
        <v/>
      </c>
      <c r="L762" s="12" t="str">
        <f aca="false">IF(AND(A762='Grocery List'!$B$3,E762="Yes"),COUNTIFS($A$4:A762,'Grocery List'!$B$3,$E$4:E762,"Yes"),"")</f>
        <v/>
      </c>
    </row>
    <row r="763" customFormat="false" ht="15" hidden="false" customHeight="false" outlineLevel="0" collapsed="false">
      <c r="A763" s="16"/>
      <c r="D763" s="12" t="str">
        <f aca="false">IF(C763="","",IFERROR(INDEX(Recipes!$B:$B,MATCH(C763,Recipes!$A:$A,0)),"⚠ unknown recipe_id"))</f>
        <v/>
      </c>
      <c r="K763" s="12" t="str">
        <f aca="false">IF(C763="","",IFERROR(INDEX(Recipes!$C:$C,MATCH(C763,Recipes!$A:$A,0)),""))</f>
        <v/>
      </c>
      <c r="L763" s="12" t="str">
        <f aca="false">IF(AND(A763='Grocery List'!$B$3,E763="Yes"),COUNTIFS($A$4:A763,'Grocery List'!$B$3,$E$4:E763,"Yes"),"")</f>
        <v/>
      </c>
    </row>
    <row r="764" customFormat="false" ht="15" hidden="false" customHeight="false" outlineLevel="0" collapsed="false">
      <c r="A764" s="16"/>
      <c r="D764" s="12" t="str">
        <f aca="false">IF(C764="","",IFERROR(INDEX(Recipes!$B:$B,MATCH(C764,Recipes!$A:$A,0)),"⚠ unknown recipe_id"))</f>
        <v/>
      </c>
      <c r="K764" s="12" t="str">
        <f aca="false">IF(C764="","",IFERROR(INDEX(Recipes!$C:$C,MATCH(C764,Recipes!$A:$A,0)),""))</f>
        <v/>
      </c>
      <c r="L764" s="12" t="str">
        <f aca="false">IF(AND(A764='Grocery List'!$B$3,E764="Yes"),COUNTIFS($A$4:A764,'Grocery List'!$B$3,$E$4:E764,"Yes"),"")</f>
        <v/>
      </c>
    </row>
    <row r="765" customFormat="false" ht="15" hidden="false" customHeight="false" outlineLevel="0" collapsed="false">
      <c r="A765" s="16"/>
      <c r="D765" s="12" t="str">
        <f aca="false">IF(C765="","",IFERROR(INDEX(Recipes!$B:$B,MATCH(C765,Recipes!$A:$A,0)),"⚠ unknown recipe_id"))</f>
        <v/>
      </c>
      <c r="K765" s="12" t="str">
        <f aca="false">IF(C765="","",IFERROR(INDEX(Recipes!$C:$C,MATCH(C765,Recipes!$A:$A,0)),""))</f>
        <v/>
      </c>
      <c r="L765" s="12" t="str">
        <f aca="false">IF(AND(A765='Grocery List'!$B$3,E765="Yes"),COUNTIFS($A$4:A765,'Grocery List'!$B$3,$E$4:E765,"Yes"),"")</f>
        <v/>
      </c>
    </row>
    <row r="766" customFormat="false" ht="15" hidden="false" customHeight="false" outlineLevel="0" collapsed="false">
      <c r="A766" s="16"/>
      <c r="D766" s="12" t="str">
        <f aca="false">IF(C766="","",IFERROR(INDEX(Recipes!$B:$B,MATCH(C766,Recipes!$A:$A,0)),"⚠ unknown recipe_id"))</f>
        <v/>
      </c>
      <c r="K766" s="12" t="str">
        <f aca="false">IF(C766="","",IFERROR(INDEX(Recipes!$C:$C,MATCH(C766,Recipes!$A:$A,0)),""))</f>
        <v/>
      </c>
      <c r="L766" s="12" t="str">
        <f aca="false">IF(AND(A766='Grocery List'!$B$3,E766="Yes"),COUNTIFS($A$4:A766,'Grocery List'!$B$3,$E$4:E766,"Yes"),"")</f>
        <v/>
      </c>
    </row>
    <row r="767" customFormat="false" ht="15" hidden="false" customHeight="false" outlineLevel="0" collapsed="false">
      <c r="A767" s="16"/>
      <c r="D767" s="12" t="str">
        <f aca="false">IF(C767="","",IFERROR(INDEX(Recipes!$B:$B,MATCH(C767,Recipes!$A:$A,0)),"⚠ unknown recipe_id"))</f>
        <v/>
      </c>
      <c r="K767" s="12" t="str">
        <f aca="false">IF(C767="","",IFERROR(INDEX(Recipes!$C:$C,MATCH(C767,Recipes!$A:$A,0)),""))</f>
        <v/>
      </c>
      <c r="L767" s="12" t="str">
        <f aca="false">IF(AND(A767='Grocery List'!$B$3,E767="Yes"),COUNTIFS($A$4:A767,'Grocery List'!$B$3,$E$4:E767,"Yes"),"")</f>
        <v/>
      </c>
    </row>
    <row r="768" customFormat="false" ht="15" hidden="false" customHeight="false" outlineLevel="0" collapsed="false">
      <c r="A768" s="16"/>
      <c r="D768" s="12" t="str">
        <f aca="false">IF(C768="","",IFERROR(INDEX(Recipes!$B:$B,MATCH(C768,Recipes!$A:$A,0)),"⚠ unknown recipe_id"))</f>
        <v/>
      </c>
      <c r="K768" s="12" t="str">
        <f aca="false">IF(C768="","",IFERROR(INDEX(Recipes!$C:$C,MATCH(C768,Recipes!$A:$A,0)),""))</f>
        <v/>
      </c>
      <c r="L768" s="12" t="str">
        <f aca="false">IF(AND(A768='Grocery List'!$B$3,E768="Yes"),COUNTIFS($A$4:A768,'Grocery List'!$B$3,$E$4:E768,"Yes"),"")</f>
        <v/>
      </c>
    </row>
    <row r="769" customFormat="false" ht="15" hidden="false" customHeight="false" outlineLevel="0" collapsed="false">
      <c r="A769" s="16"/>
      <c r="D769" s="12" t="str">
        <f aca="false">IF(C769="","",IFERROR(INDEX(Recipes!$B:$B,MATCH(C769,Recipes!$A:$A,0)),"⚠ unknown recipe_id"))</f>
        <v/>
      </c>
      <c r="K769" s="12" t="str">
        <f aca="false">IF(C769="","",IFERROR(INDEX(Recipes!$C:$C,MATCH(C769,Recipes!$A:$A,0)),""))</f>
        <v/>
      </c>
      <c r="L769" s="12" t="str">
        <f aca="false">IF(AND(A769='Grocery List'!$B$3,E769="Yes"),COUNTIFS($A$4:A769,'Grocery List'!$B$3,$E$4:E769,"Yes"),"")</f>
        <v/>
      </c>
    </row>
    <row r="770" customFormat="false" ht="15" hidden="false" customHeight="false" outlineLevel="0" collapsed="false">
      <c r="A770" s="16"/>
      <c r="D770" s="12" t="str">
        <f aca="false">IF(C770="","",IFERROR(INDEX(Recipes!$B:$B,MATCH(C770,Recipes!$A:$A,0)),"⚠ unknown recipe_id"))</f>
        <v/>
      </c>
      <c r="K770" s="12" t="str">
        <f aca="false">IF(C770="","",IFERROR(INDEX(Recipes!$C:$C,MATCH(C770,Recipes!$A:$A,0)),""))</f>
        <v/>
      </c>
      <c r="L770" s="12" t="str">
        <f aca="false">IF(AND(A770='Grocery List'!$B$3,E770="Yes"),COUNTIFS($A$4:A770,'Grocery List'!$B$3,$E$4:E770,"Yes"),"")</f>
        <v/>
      </c>
    </row>
    <row r="771" customFormat="false" ht="15" hidden="false" customHeight="false" outlineLevel="0" collapsed="false">
      <c r="A771" s="16"/>
      <c r="D771" s="12" t="str">
        <f aca="false">IF(C771="","",IFERROR(INDEX(Recipes!$B:$B,MATCH(C771,Recipes!$A:$A,0)),"⚠ unknown recipe_id"))</f>
        <v/>
      </c>
      <c r="K771" s="12" t="str">
        <f aca="false">IF(C771="","",IFERROR(INDEX(Recipes!$C:$C,MATCH(C771,Recipes!$A:$A,0)),""))</f>
        <v/>
      </c>
      <c r="L771" s="12" t="str">
        <f aca="false">IF(AND(A771='Grocery List'!$B$3,E771="Yes"),COUNTIFS($A$4:A771,'Grocery List'!$B$3,$E$4:E771,"Yes"),"")</f>
        <v/>
      </c>
    </row>
    <row r="772" customFormat="false" ht="15" hidden="false" customHeight="false" outlineLevel="0" collapsed="false">
      <c r="A772" s="16"/>
      <c r="D772" s="12" t="str">
        <f aca="false">IF(C772="","",IFERROR(INDEX(Recipes!$B:$B,MATCH(C772,Recipes!$A:$A,0)),"⚠ unknown recipe_id"))</f>
        <v/>
      </c>
      <c r="K772" s="12" t="str">
        <f aca="false">IF(C772="","",IFERROR(INDEX(Recipes!$C:$C,MATCH(C772,Recipes!$A:$A,0)),""))</f>
        <v/>
      </c>
      <c r="L772" s="12" t="str">
        <f aca="false">IF(AND(A772='Grocery List'!$B$3,E772="Yes"),COUNTIFS($A$4:A772,'Grocery List'!$B$3,$E$4:E772,"Yes"),"")</f>
        <v/>
      </c>
    </row>
    <row r="773" customFormat="false" ht="15" hidden="false" customHeight="false" outlineLevel="0" collapsed="false">
      <c r="A773" s="16"/>
      <c r="D773" s="12" t="str">
        <f aca="false">IF(C773="","",IFERROR(INDEX(Recipes!$B:$B,MATCH(C773,Recipes!$A:$A,0)),"⚠ unknown recipe_id"))</f>
        <v/>
      </c>
      <c r="K773" s="12" t="str">
        <f aca="false">IF(C773="","",IFERROR(INDEX(Recipes!$C:$C,MATCH(C773,Recipes!$A:$A,0)),""))</f>
        <v/>
      </c>
      <c r="L773" s="12" t="str">
        <f aca="false">IF(AND(A773='Grocery List'!$B$3,E773="Yes"),COUNTIFS($A$4:A773,'Grocery List'!$B$3,$E$4:E773,"Yes"),"")</f>
        <v/>
      </c>
    </row>
    <row r="774" customFormat="false" ht="15" hidden="false" customHeight="false" outlineLevel="0" collapsed="false">
      <c r="A774" s="16"/>
      <c r="D774" s="12" t="str">
        <f aca="false">IF(C774="","",IFERROR(INDEX(Recipes!$B:$B,MATCH(C774,Recipes!$A:$A,0)),"⚠ unknown recipe_id"))</f>
        <v/>
      </c>
      <c r="K774" s="12" t="str">
        <f aca="false">IF(C774="","",IFERROR(INDEX(Recipes!$C:$C,MATCH(C774,Recipes!$A:$A,0)),""))</f>
        <v/>
      </c>
      <c r="L774" s="12" t="str">
        <f aca="false">IF(AND(A774='Grocery List'!$B$3,E774="Yes"),COUNTIFS($A$4:A774,'Grocery List'!$B$3,$E$4:E774,"Yes"),"")</f>
        <v/>
      </c>
    </row>
    <row r="775" customFormat="false" ht="15" hidden="false" customHeight="false" outlineLevel="0" collapsed="false">
      <c r="A775" s="16"/>
      <c r="D775" s="12" t="str">
        <f aca="false">IF(C775="","",IFERROR(INDEX(Recipes!$B:$B,MATCH(C775,Recipes!$A:$A,0)),"⚠ unknown recipe_id"))</f>
        <v/>
      </c>
      <c r="K775" s="12" t="str">
        <f aca="false">IF(C775="","",IFERROR(INDEX(Recipes!$C:$C,MATCH(C775,Recipes!$A:$A,0)),""))</f>
        <v/>
      </c>
      <c r="L775" s="12" t="str">
        <f aca="false">IF(AND(A775='Grocery List'!$B$3,E775="Yes"),COUNTIFS($A$4:A775,'Grocery List'!$B$3,$E$4:E775,"Yes"),"")</f>
        <v/>
      </c>
    </row>
    <row r="776" customFormat="false" ht="15" hidden="false" customHeight="false" outlineLevel="0" collapsed="false">
      <c r="A776" s="16"/>
      <c r="D776" s="12" t="str">
        <f aca="false">IF(C776="","",IFERROR(INDEX(Recipes!$B:$B,MATCH(C776,Recipes!$A:$A,0)),"⚠ unknown recipe_id"))</f>
        <v/>
      </c>
      <c r="K776" s="12" t="str">
        <f aca="false">IF(C776="","",IFERROR(INDEX(Recipes!$C:$C,MATCH(C776,Recipes!$A:$A,0)),""))</f>
        <v/>
      </c>
      <c r="L776" s="12" t="str">
        <f aca="false">IF(AND(A776='Grocery List'!$B$3,E776="Yes"),COUNTIFS($A$4:A776,'Grocery List'!$B$3,$E$4:E776,"Yes"),"")</f>
        <v/>
      </c>
    </row>
    <row r="777" customFormat="false" ht="15" hidden="false" customHeight="false" outlineLevel="0" collapsed="false">
      <c r="A777" s="16"/>
      <c r="D777" s="12" t="str">
        <f aca="false">IF(C777="","",IFERROR(INDEX(Recipes!$B:$B,MATCH(C777,Recipes!$A:$A,0)),"⚠ unknown recipe_id"))</f>
        <v/>
      </c>
      <c r="K777" s="12" t="str">
        <f aca="false">IF(C777="","",IFERROR(INDEX(Recipes!$C:$C,MATCH(C777,Recipes!$A:$A,0)),""))</f>
        <v/>
      </c>
      <c r="L777" s="12" t="str">
        <f aca="false">IF(AND(A777='Grocery List'!$B$3,E777="Yes"),COUNTIFS($A$4:A777,'Grocery List'!$B$3,$E$4:E777,"Yes"),"")</f>
        <v/>
      </c>
    </row>
    <row r="778" customFormat="false" ht="15" hidden="false" customHeight="false" outlineLevel="0" collapsed="false">
      <c r="A778" s="16"/>
      <c r="D778" s="12" t="str">
        <f aca="false">IF(C778="","",IFERROR(INDEX(Recipes!$B:$B,MATCH(C778,Recipes!$A:$A,0)),"⚠ unknown recipe_id"))</f>
        <v/>
      </c>
      <c r="K778" s="12" t="str">
        <f aca="false">IF(C778="","",IFERROR(INDEX(Recipes!$C:$C,MATCH(C778,Recipes!$A:$A,0)),""))</f>
        <v/>
      </c>
      <c r="L778" s="12" t="str">
        <f aca="false">IF(AND(A778='Grocery List'!$B$3,E778="Yes"),COUNTIFS($A$4:A778,'Grocery List'!$B$3,$E$4:E778,"Yes"),"")</f>
        <v/>
      </c>
    </row>
    <row r="779" customFormat="false" ht="15" hidden="false" customHeight="false" outlineLevel="0" collapsed="false">
      <c r="A779" s="16"/>
      <c r="D779" s="12" t="str">
        <f aca="false">IF(C779="","",IFERROR(INDEX(Recipes!$B:$B,MATCH(C779,Recipes!$A:$A,0)),"⚠ unknown recipe_id"))</f>
        <v/>
      </c>
      <c r="K779" s="12" t="str">
        <f aca="false">IF(C779="","",IFERROR(INDEX(Recipes!$C:$C,MATCH(C779,Recipes!$A:$A,0)),""))</f>
        <v/>
      </c>
      <c r="L779" s="12" t="str">
        <f aca="false">IF(AND(A779='Grocery List'!$B$3,E779="Yes"),COUNTIFS($A$4:A779,'Grocery List'!$B$3,$E$4:E779,"Yes"),"")</f>
        <v/>
      </c>
    </row>
    <row r="780" customFormat="false" ht="15" hidden="false" customHeight="false" outlineLevel="0" collapsed="false">
      <c r="A780" s="16"/>
      <c r="D780" s="12" t="str">
        <f aca="false">IF(C780="","",IFERROR(INDEX(Recipes!$B:$B,MATCH(C780,Recipes!$A:$A,0)),"⚠ unknown recipe_id"))</f>
        <v/>
      </c>
      <c r="K780" s="12" t="str">
        <f aca="false">IF(C780="","",IFERROR(INDEX(Recipes!$C:$C,MATCH(C780,Recipes!$A:$A,0)),""))</f>
        <v/>
      </c>
      <c r="L780" s="12" t="str">
        <f aca="false">IF(AND(A780='Grocery List'!$B$3,E780="Yes"),COUNTIFS($A$4:A780,'Grocery List'!$B$3,$E$4:E780,"Yes"),"")</f>
        <v/>
      </c>
    </row>
    <row r="781" customFormat="false" ht="15" hidden="false" customHeight="false" outlineLevel="0" collapsed="false">
      <c r="A781" s="16"/>
      <c r="D781" s="12" t="str">
        <f aca="false">IF(C781="","",IFERROR(INDEX(Recipes!$B:$B,MATCH(C781,Recipes!$A:$A,0)),"⚠ unknown recipe_id"))</f>
        <v/>
      </c>
      <c r="K781" s="12" t="str">
        <f aca="false">IF(C781="","",IFERROR(INDEX(Recipes!$C:$C,MATCH(C781,Recipes!$A:$A,0)),""))</f>
        <v/>
      </c>
      <c r="L781" s="12" t="str">
        <f aca="false">IF(AND(A781='Grocery List'!$B$3,E781="Yes"),COUNTIFS($A$4:A781,'Grocery List'!$B$3,$E$4:E781,"Yes"),"")</f>
        <v/>
      </c>
    </row>
    <row r="782" customFormat="false" ht="15" hidden="false" customHeight="false" outlineLevel="0" collapsed="false">
      <c r="A782" s="16"/>
      <c r="D782" s="12" t="str">
        <f aca="false">IF(C782="","",IFERROR(INDEX(Recipes!$B:$B,MATCH(C782,Recipes!$A:$A,0)),"⚠ unknown recipe_id"))</f>
        <v/>
      </c>
      <c r="K782" s="12" t="str">
        <f aca="false">IF(C782="","",IFERROR(INDEX(Recipes!$C:$C,MATCH(C782,Recipes!$A:$A,0)),""))</f>
        <v/>
      </c>
      <c r="L782" s="12" t="str">
        <f aca="false">IF(AND(A782='Grocery List'!$B$3,E782="Yes"),COUNTIFS($A$4:A782,'Grocery List'!$B$3,$E$4:E782,"Yes"),"")</f>
        <v/>
      </c>
    </row>
    <row r="783" customFormat="false" ht="15" hidden="false" customHeight="false" outlineLevel="0" collapsed="false">
      <c r="A783" s="16"/>
      <c r="D783" s="12" t="str">
        <f aca="false">IF(C783="","",IFERROR(INDEX(Recipes!$B:$B,MATCH(C783,Recipes!$A:$A,0)),"⚠ unknown recipe_id"))</f>
        <v/>
      </c>
      <c r="K783" s="12" t="str">
        <f aca="false">IF(C783="","",IFERROR(INDEX(Recipes!$C:$C,MATCH(C783,Recipes!$A:$A,0)),""))</f>
        <v/>
      </c>
      <c r="L783" s="12" t="str">
        <f aca="false">IF(AND(A783='Grocery List'!$B$3,E783="Yes"),COUNTIFS($A$4:A783,'Grocery List'!$B$3,$E$4:E783,"Yes"),"")</f>
        <v/>
      </c>
    </row>
    <row r="784" customFormat="false" ht="15" hidden="false" customHeight="false" outlineLevel="0" collapsed="false">
      <c r="A784" s="16"/>
      <c r="D784" s="12" t="str">
        <f aca="false">IF(C784="","",IFERROR(INDEX(Recipes!$B:$B,MATCH(C784,Recipes!$A:$A,0)),"⚠ unknown recipe_id"))</f>
        <v/>
      </c>
      <c r="K784" s="12" t="str">
        <f aca="false">IF(C784="","",IFERROR(INDEX(Recipes!$C:$C,MATCH(C784,Recipes!$A:$A,0)),""))</f>
        <v/>
      </c>
      <c r="L784" s="12" t="str">
        <f aca="false">IF(AND(A784='Grocery List'!$B$3,E784="Yes"),COUNTIFS($A$4:A784,'Grocery List'!$B$3,$E$4:E784,"Yes"),"")</f>
        <v/>
      </c>
    </row>
    <row r="785" customFormat="false" ht="15" hidden="false" customHeight="false" outlineLevel="0" collapsed="false">
      <c r="A785" s="16"/>
      <c r="D785" s="12" t="str">
        <f aca="false">IF(C785="","",IFERROR(INDEX(Recipes!$B:$B,MATCH(C785,Recipes!$A:$A,0)),"⚠ unknown recipe_id"))</f>
        <v/>
      </c>
      <c r="K785" s="12" t="str">
        <f aca="false">IF(C785="","",IFERROR(INDEX(Recipes!$C:$C,MATCH(C785,Recipes!$A:$A,0)),""))</f>
        <v/>
      </c>
      <c r="L785" s="12" t="str">
        <f aca="false">IF(AND(A785='Grocery List'!$B$3,E785="Yes"),COUNTIFS($A$4:A785,'Grocery List'!$B$3,$E$4:E785,"Yes"),"")</f>
        <v/>
      </c>
    </row>
    <row r="786" customFormat="false" ht="15" hidden="false" customHeight="false" outlineLevel="0" collapsed="false">
      <c r="A786" s="16"/>
      <c r="D786" s="12" t="str">
        <f aca="false">IF(C786="","",IFERROR(INDEX(Recipes!$B:$B,MATCH(C786,Recipes!$A:$A,0)),"⚠ unknown recipe_id"))</f>
        <v/>
      </c>
      <c r="K786" s="12" t="str">
        <f aca="false">IF(C786="","",IFERROR(INDEX(Recipes!$C:$C,MATCH(C786,Recipes!$A:$A,0)),""))</f>
        <v/>
      </c>
      <c r="L786" s="12" t="str">
        <f aca="false">IF(AND(A786='Grocery List'!$B$3,E786="Yes"),COUNTIFS($A$4:A786,'Grocery List'!$B$3,$E$4:E786,"Yes"),"")</f>
        <v/>
      </c>
    </row>
    <row r="787" customFormat="false" ht="15" hidden="false" customHeight="false" outlineLevel="0" collapsed="false">
      <c r="A787" s="16"/>
      <c r="D787" s="12" t="str">
        <f aca="false">IF(C787="","",IFERROR(INDEX(Recipes!$B:$B,MATCH(C787,Recipes!$A:$A,0)),"⚠ unknown recipe_id"))</f>
        <v/>
      </c>
      <c r="K787" s="12" t="str">
        <f aca="false">IF(C787="","",IFERROR(INDEX(Recipes!$C:$C,MATCH(C787,Recipes!$A:$A,0)),""))</f>
        <v/>
      </c>
      <c r="L787" s="12" t="str">
        <f aca="false">IF(AND(A787='Grocery List'!$B$3,E787="Yes"),COUNTIFS($A$4:A787,'Grocery List'!$B$3,$E$4:E787,"Yes"),"")</f>
        <v/>
      </c>
    </row>
    <row r="788" customFormat="false" ht="15" hidden="false" customHeight="false" outlineLevel="0" collapsed="false">
      <c r="A788" s="16"/>
      <c r="D788" s="12" t="str">
        <f aca="false">IF(C788="","",IFERROR(INDEX(Recipes!$B:$B,MATCH(C788,Recipes!$A:$A,0)),"⚠ unknown recipe_id"))</f>
        <v/>
      </c>
      <c r="K788" s="12" t="str">
        <f aca="false">IF(C788="","",IFERROR(INDEX(Recipes!$C:$C,MATCH(C788,Recipes!$A:$A,0)),""))</f>
        <v/>
      </c>
      <c r="L788" s="12" t="str">
        <f aca="false">IF(AND(A788='Grocery List'!$B$3,E788="Yes"),COUNTIFS($A$4:A788,'Grocery List'!$B$3,$E$4:E788,"Yes"),"")</f>
        <v/>
      </c>
    </row>
    <row r="789" customFormat="false" ht="15" hidden="false" customHeight="false" outlineLevel="0" collapsed="false">
      <c r="A789" s="16"/>
      <c r="D789" s="12" t="str">
        <f aca="false">IF(C789="","",IFERROR(INDEX(Recipes!$B:$B,MATCH(C789,Recipes!$A:$A,0)),"⚠ unknown recipe_id"))</f>
        <v/>
      </c>
      <c r="K789" s="12" t="str">
        <f aca="false">IF(C789="","",IFERROR(INDEX(Recipes!$C:$C,MATCH(C789,Recipes!$A:$A,0)),""))</f>
        <v/>
      </c>
      <c r="L789" s="12" t="str">
        <f aca="false">IF(AND(A789='Grocery List'!$B$3,E789="Yes"),COUNTIFS($A$4:A789,'Grocery List'!$B$3,$E$4:E789,"Yes"),"")</f>
        <v/>
      </c>
    </row>
    <row r="790" customFormat="false" ht="15" hidden="false" customHeight="false" outlineLevel="0" collapsed="false">
      <c r="A790" s="16"/>
      <c r="D790" s="12" t="str">
        <f aca="false">IF(C790="","",IFERROR(INDEX(Recipes!$B:$B,MATCH(C790,Recipes!$A:$A,0)),"⚠ unknown recipe_id"))</f>
        <v/>
      </c>
      <c r="K790" s="12" t="str">
        <f aca="false">IF(C790="","",IFERROR(INDEX(Recipes!$C:$C,MATCH(C790,Recipes!$A:$A,0)),""))</f>
        <v/>
      </c>
      <c r="L790" s="12" t="str">
        <f aca="false">IF(AND(A790='Grocery List'!$B$3,E790="Yes"),COUNTIFS($A$4:A790,'Grocery List'!$B$3,$E$4:E790,"Yes"),"")</f>
        <v/>
      </c>
    </row>
    <row r="791" customFormat="false" ht="15" hidden="false" customHeight="false" outlineLevel="0" collapsed="false">
      <c r="A791" s="16"/>
      <c r="D791" s="12" t="str">
        <f aca="false">IF(C791="","",IFERROR(INDEX(Recipes!$B:$B,MATCH(C791,Recipes!$A:$A,0)),"⚠ unknown recipe_id"))</f>
        <v/>
      </c>
      <c r="K791" s="12" t="str">
        <f aca="false">IF(C791="","",IFERROR(INDEX(Recipes!$C:$C,MATCH(C791,Recipes!$A:$A,0)),""))</f>
        <v/>
      </c>
      <c r="L791" s="12" t="str">
        <f aca="false">IF(AND(A791='Grocery List'!$B$3,E791="Yes"),COUNTIFS($A$4:A791,'Grocery List'!$B$3,$E$4:E791,"Yes"),"")</f>
        <v/>
      </c>
    </row>
    <row r="792" customFormat="false" ht="15" hidden="false" customHeight="false" outlineLevel="0" collapsed="false">
      <c r="A792" s="16"/>
      <c r="D792" s="12" t="str">
        <f aca="false">IF(C792="","",IFERROR(INDEX(Recipes!$B:$B,MATCH(C792,Recipes!$A:$A,0)),"⚠ unknown recipe_id"))</f>
        <v/>
      </c>
      <c r="K792" s="12" t="str">
        <f aca="false">IF(C792="","",IFERROR(INDEX(Recipes!$C:$C,MATCH(C792,Recipes!$A:$A,0)),""))</f>
        <v/>
      </c>
      <c r="L792" s="12" t="str">
        <f aca="false">IF(AND(A792='Grocery List'!$B$3,E792="Yes"),COUNTIFS($A$4:A792,'Grocery List'!$B$3,$E$4:E792,"Yes"),"")</f>
        <v/>
      </c>
    </row>
    <row r="793" customFormat="false" ht="15" hidden="false" customHeight="false" outlineLevel="0" collapsed="false">
      <c r="A793" s="16"/>
      <c r="D793" s="12" t="str">
        <f aca="false">IF(C793="","",IFERROR(INDEX(Recipes!$B:$B,MATCH(C793,Recipes!$A:$A,0)),"⚠ unknown recipe_id"))</f>
        <v/>
      </c>
      <c r="K793" s="12" t="str">
        <f aca="false">IF(C793="","",IFERROR(INDEX(Recipes!$C:$C,MATCH(C793,Recipes!$A:$A,0)),""))</f>
        <v/>
      </c>
      <c r="L793" s="12" t="str">
        <f aca="false">IF(AND(A793='Grocery List'!$B$3,E793="Yes"),COUNTIFS($A$4:A793,'Grocery List'!$B$3,$E$4:E793,"Yes"),"")</f>
        <v/>
      </c>
    </row>
    <row r="794" customFormat="false" ht="15" hidden="false" customHeight="false" outlineLevel="0" collapsed="false">
      <c r="A794" s="16"/>
      <c r="D794" s="12" t="str">
        <f aca="false">IF(C794="","",IFERROR(INDEX(Recipes!$B:$B,MATCH(C794,Recipes!$A:$A,0)),"⚠ unknown recipe_id"))</f>
        <v/>
      </c>
      <c r="K794" s="12" t="str">
        <f aca="false">IF(C794="","",IFERROR(INDEX(Recipes!$C:$C,MATCH(C794,Recipes!$A:$A,0)),""))</f>
        <v/>
      </c>
      <c r="L794" s="12" t="str">
        <f aca="false">IF(AND(A794='Grocery List'!$B$3,E794="Yes"),COUNTIFS($A$4:A794,'Grocery List'!$B$3,$E$4:E794,"Yes"),"")</f>
        <v/>
      </c>
    </row>
    <row r="795" customFormat="false" ht="15" hidden="false" customHeight="false" outlineLevel="0" collapsed="false">
      <c r="A795" s="16"/>
      <c r="D795" s="12" t="str">
        <f aca="false">IF(C795="","",IFERROR(INDEX(Recipes!$B:$B,MATCH(C795,Recipes!$A:$A,0)),"⚠ unknown recipe_id"))</f>
        <v/>
      </c>
      <c r="K795" s="12" t="str">
        <f aca="false">IF(C795="","",IFERROR(INDEX(Recipes!$C:$C,MATCH(C795,Recipes!$A:$A,0)),""))</f>
        <v/>
      </c>
      <c r="L795" s="12" t="str">
        <f aca="false">IF(AND(A795='Grocery List'!$B$3,E795="Yes"),COUNTIFS($A$4:A795,'Grocery List'!$B$3,$E$4:E795,"Yes"),"")</f>
        <v/>
      </c>
    </row>
    <row r="796" customFormat="false" ht="15" hidden="false" customHeight="false" outlineLevel="0" collapsed="false">
      <c r="A796" s="16"/>
      <c r="D796" s="12" t="str">
        <f aca="false">IF(C796="","",IFERROR(INDEX(Recipes!$B:$B,MATCH(C796,Recipes!$A:$A,0)),"⚠ unknown recipe_id"))</f>
        <v/>
      </c>
      <c r="K796" s="12" t="str">
        <f aca="false">IF(C796="","",IFERROR(INDEX(Recipes!$C:$C,MATCH(C796,Recipes!$A:$A,0)),""))</f>
        <v/>
      </c>
      <c r="L796" s="12" t="str">
        <f aca="false">IF(AND(A796='Grocery List'!$B$3,E796="Yes"),COUNTIFS($A$4:A796,'Grocery List'!$B$3,$E$4:E796,"Yes"),"")</f>
        <v/>
      </c>
    </row>
    <row r="797" customFormat="false" ht="15" hidden="false" customHeight="false" outlineLevel="0" collapsed="false">
      <c r="A797" s="16"/>
      <c r="D797" s="12" t="str">
        <f aca="false">IF(C797="","",IFERROR(INDEX(Recipes!$B:$B,MATCH(C797,Recipes!$A:$A,0)),"⚠ unknown recipe_id"))</f>
        <v/>
      </c>
      <c r="K797" s="12" t="str">
        <f aca="false">IF(C797="","",IFERROR(INDEX(Recipes!$C:$C,MATCH(C797,Recipes!$A:$A,0)),""))</f>
        <v/>
      </c>
      <c r="L797" s="12" t="str">
        <f aca="false">IF(AND(A797='Grocery List'!$B$3,E797="Yes"),COUNTIFS($A$4:A797,'Grocery List'!$B$3,$E$4:E797,"Yes"),"")</f>
        <v/>
      </c>
    </row>
    <row r="798" customFormat="false" ht="15" hidden="false" customHeight="false" outlineLevel="0" collapsed="false">
      <c r="A798" s="16"/>
      <c r="D798" s="12" t="str">
        <f aca="false">IF(C798="","",IFERROR(INDEX(Recipes!$B:$B,MATCH(C798,Recipes!$A:$A,0)),"⚠ unknown recipe_id"))</f>
        <v/>
      </c>
      <c r="K798" s="12" t="str">
        <f aca="false">IF(C798="","",IFERROR(INDEX(Recipes!$C:$C,MATCH(C798,Recipes!$A:$A,0)),""))</f>
        <v/>
      </c>
      <c r="L798" s="12" t="str">
        <f aca="false">IF(AND(A798='Grocery List'!$B$3,E798="Yes"),COUNTIFS($A$4:A798,'Grocery List'!$B$3,$E$4:E798,"Yes"),"")</f>
        <v/>
      </c>
    </row>
    <row r="799" customFormat="false" ht="15" hidden="false" customHeight="false" outlineLevel="0" collapsed="false">
      <c r="A799" s="16"/>
      <c r="D799" s="12" t="str">
        <f aca="false">IF(C799="","",IFERROR(INDEX(Recipes!$B:$B,MATCH(C799,Recipes!$A:$A,0)),"⚠ unknown recipe_id"))</f>
        <v/>
      </c>
      <c r="K799" s="12" t="str">
        <f aca="false">IF(C799="","",IFERROR(INDEX(Recipes!$C:$C,MATCH(C799,Recipes!$A:$A,0)),""))</f>
        <v/>
      </c>
      <c r="L799" s="12" t="str">
        <f aca="false">IF(AND(A799='Grocery List'!$B$3,E799="Yes"),COUNTIFS($A$4:A799,'Grocery List'!$B$3,$E$4:E799,"Yes"),"")</f>
        <v/>
      </c>
    </row>
    <row r="800" customFormat="false" ht="15" hidden="false" customHeight="false" outlineLevel="0" collapsed="false">
      <c r="A800" s="16"/>
      <c r="D800" s="12" t="str">
        <f aca="false">IF(C800="","",IFERROR(INDEX(Recipes!$B:$B,MATCH(C800,Recipes!$A:$A,0)),"⚠ unknown recipe_id"))</f>
        <v/>
      </c>
      <c r="K800" s="12" t="str">
        <f aca="false">IF(C800="","",IFERROR(INDEX(Recipes!$C:$C,MATCH(C800,Recipes!$A:$A,0)),""))</f>
        <v/>
      </c>
      <c r="L800" s="12" t="str">
        <f aca="false">IF(AND(A800='Grocery List'!$B$3,E800="Yes"),COUNTIFS($A$4:A800,'Grocery List'!$B$3,$E$4:E800,"Yes"),"")</f>
        <v/>
      </c>
    </row>
    <row r="801" customFormat="false" ht="15" hidden="false" customHeight="false" outlineLevel="0" collapsed="false">
      <c r="A801" s="16"/>
      <c r="D801" s="12" t="str">
        <f aca="false">IF(C801="","",IFERROR(INDEX(Recipes!$B:$B,MATCH(C801,Recipes!$A:$A,0)),"⚠ unknown recipe_id"))</f>
        <v/>
      </c>
      <c r="K801" s="12" t="str">
        <f aca="false">IF(C801="","",IFERROR(INDEX(Recipes!$C:$C,MATCH(C801,Recipes!$A:$A,0)),""))</f>
        <v/>
      </c>
      <c r="L801" s="12" t="str">
        <f aca="false">IF(AND(A801='Grocery List'!$B$3,E801="Yes"),COUNTIFS($A$4:A801,'Grocery List'!$B$3,$E$4:E801,"Yes"),"")</f>
        <v/>
      </c>
    </row>
    <row r="802" customFormat="false" ht="15" hidden="false" customHeight="false" outlineLevel="0" collapsed="false">
      <c r="A802" s="16"/>
      <c r="D802" s="12" t="str">
        <f aca="false">IF(C802="","",IFERROR(INDEX(Recipes!$B:$B,MATCH(C802,Recipes!$A:$A,0)),"⚠ unknown recipe_id"))</f>
        <v/>
      </c>
      <c r="K802" s="12" t="str">
        <f aca="false">IF(C802="","",IFERROR(INDEX(Recipes!$C:$C,MATCH(C802,Recipes!$A:$A,0)),""))</f>
        <v/>
      </c>
      <c r="L802" s="12" t="str">
        <f aca="false">IF(AND(A802='Grocery List'!$B$3,E802="Yes"),COUNTIFS($A$4:A802,'Grocery List'!$B$3,$E$4:E802,"Yes"),"")</f>
        <v/>
      </c>
    </row>
    <row r="803" customFormat="false" ht="15" hidden="false" customHeight="false" outlineLevel="0" collapsed="false">
      <c r="A803" s="16"/>
      <c r="D803" s="12" t="str">
        <f aca="false">IF(C803="","",IFERROR(INDEX(Recipes!$B:$B,MATCH(C803,Recipes!$A:$A,0)),"⚠ unknown recipe_id"))</f>
        <v/>
      </c>
      <c r="K803" s="12" t="str">
        <f aca="false">IF(C803="","",IFERROR(INDEX(Recipes!$C:$C,MATCH(C803,Recipes!$A:$A,0)),""))</f>
        <v/>
      </c>
      <c r="L803" s="12" t="str">
        <f aca="false">IF(AND(A803='Grocery List'!$B$3,E803="Yes"),COUNTIFS($A$4:A803,'Grocery List'!$B$3,$E$4:E803,"Yes"),"")</f>
        <v/>
      </c>
    </row>
    <row r="804" customFormat="false" ht="15" hidden="false" customHeight="false" outlineLevel="0" collapsed="false">
      <c r="A804" s="16"/>
      <c r="D804" s="12" t="str">
        <f aca="false">IF(C804="","",IFERROR(INDEX(Recipes!$B:$B,MATCH(C804,Recipes!$A:$A,0)),"⚠ unknown recipe_id"))</f>
        <v/>
      </c>
      <c r="K804" s="12" t="str">
        <f aca="false">IF(C804="","",IFERROR(INDEX(Recipes!$C:$C,MATCH(C804,Recipes!$A:$A,0)),""))</f>
        <v/>
      </c>
      <c r="L804" s="12" t="str">
        <f aca="false">IF(AND(A804='Grocery List'!$B$3,E804="Yes"),COUNTIFS($A$4:A804,'Grocery List'!$B$3,$E$4:E804,"Yes"),"")</f>
        <v/>
      </c>
    </row>
    <row r="805" customFormat="false" ht="15" hidden="false" customHeight="false" outlineLevel="0" collapsed="false">
      <c r="A805" s="16"/>
      <c r="D805" s="12" t="str">
        <f aca="false">IF(C805="","",IFERROR(INDEX(Recipes!$B:$B,MATCH(C805,Recipes!$A:$A,0)),"⚠ unknown recipe_id"))</f>
        <v/>
      </c>
      <c r="K805" s="12" t="str">
        <f aca="false">IF(C805="","",IFERROR(INDEX(Recipes!$C:$C,MATCH(C805,Recipes!$A:$A,0)),""))</f>
        <v/>
      </c>
      <c r="L805" s="12" t="str">
        <f aca="false">IF(AND(A805='Grocery List'!$B$3,E805="Yes"),COUNTIFS($A$4:A805,'Grocery List'!$B$3,$E$4:E805,"Yes"),"")</f>
        <v/>
      </c>
    </row>
    <row r="806" customFormat="false" ht="15" hidden="false" customHeight="false" outlineLevel="0" collapsed="false">
      <c r="A806" s="16"/>
      <c r="D806" s="12" t="str">
        <f aca="false">IF(C806="","",IFERROR(INDEX(Recipes!$B:$B,MATCH(C806,Recipes!$A:$A,0)),"⚠ unknown recipe_id"))</f>
        <v/>
      </c>
      <c r="K806" s="12" t="str">
        <f aca="false">IF(C806="","",IFERROR(INDEX(Recipes!$C:$C,MATCH(C806,Recipes!$A:$A,0)),""))</f>
        <v/>
      </c>
      <c r="L806" s="12" t="str">
        <f aca="false">IF(AND(A806='Grocery List'!$B$3,E806="Yes"),COUNTIFS($A$4:A806,'Grocery List'!$B$3,$E$4:E806,"Yes"),"")</f>
        <v/>
      </c>
    </row>
    <row r="807" customFormat="false" ht="15" hidden="false" customHeight="false" outlineLevel="0" collapsed="false">
      <c r="A807" s="16"/>
      <c r="D807" s="12" t="str">
        <f aca="false">IF(C807="","",IFERROR(INDEX(Recipes!$B:$B,MATCH(C807,Recipes!$A:$A,0)),"⚠ unknown recipe_id"))</f>
        <v/>
      </c>
      <c r="K807" s="12" t="str">
        <f aca="false">IF(C807="","",IFERROR(INDEX(Recipes!$C:$C,MATCH(C807,Recipes!$A:$A,0)),""))</f>
        <v/>
      </c>
      <c r="L807" s="12" t="str">
        <f aca="false">IF(AND(A807='Grocery List'!$B$3,E807="Yes"),COUNTIFS($A$4:A807,'Grocery List'!$B$3,$E$4:E807,"Yes"),"")</f>
        <v/>
      </c>
    </row>
    <row r="808" customFormat="false" ht="15" hidden="false" customHeight="false" outlineLevel="0" collapsed="false">
      <c r="A808" s="16"/>
      <c r="D808" s="12" t="str">
        <f aca="false">IF(C808="","",IFERROR(INDEX(Recipes!$B:$B,MATCH(C808,Recipes!$A:$A,0)),"⚠ unknown recipe_id"))</f>
        <v/>
      </c>
      <c r="K808" s="12" t="str">
        <f aca="false">IF(C808="","",IFERROR(INDEX(Recipes!$C:$C,MATCH(C808,Recipes!$A:$A,0)),""))</f>
        <v/>
      </c>
      <c r="L808" s="12" t="str">
        <f aca="false">IF(AND(A808='Grocery List'!$B$3,E808="Yes"),COUNTIFS($A$4:A808,'Grocery List'!$B$3,$E$4:E808,"Yes"),"")</f>
        <v/>
      </c>
    </row>
    <row r="809" customFormat="false" ht="15" hidden="false" customHeight="false" outlineLevel="0" collapsed="false">
      <c r="A809" s="16"/>
      <c r="D809" s="12" t="str">
        <f aca="false">IF(C809="","",IFERROR(INDEX(Recipes!$B:$B,MATCH(C809,Recipes!$A:$A,0)),"⚠ unknown recipe_id"))</f>
        <v/>
      </c>
      <c r="K809" s="12" t="str">
        <f aca="false">IF(C809="","",IFERROR(INDEX(Recipes!$C:$C,MATCH(C809,Recipes!$A:$A,0)),""))</f>
        <v/>
      </c>
      <c r="L809" s="12" t="str">
        <f aca="false">IF(AND(A809='Grocery List'!$B$3,E809="Yes"),COUNTIFS($A$4:A809,'Grocery List'!$B$3,$E$4:E809,"Yes"),"")</f>
        <v/>
      </c>
    </row>
    <row r="810" customFormat="false" ht="15" hidden="false" customHeight="false" outlineLevel="0" collapsed="false">
      <c r="A810" s="16"/>
      <c r="D810" s="12" t="str">
        <f aca="false">IF(C810="","",IFERROR(INDEX(Recipes!$B:$B,MATCH(C810,Recipes!$A:$A,0)),"⚠ unknown recipe_id"))</f>
        <v/>
      </c>
      <c r="K810" s="12" t="str">
        <f aca="false">IF(C810="","",IFERROR(INDEX(Recipes!$C:$C,MATCH(C810,Recipes!$A:$A,0)),""))</f>
        <v/>
      </c>
      <c r="L810" s="12" t="str">
        <f aca="false">IF(AND(A810='Grocery List'!$B$3,E810="Yes"),COUNTIFS($A$4:A810,'Grocery List'!$B$3,$E$4:E810,"Yes"),"")</f>
        <v/>
      </c>
    </row>
    <row r="811" customFormat="false" ht="15" hidden="false" customHeight="false" outlineLevel="0" collapsed="false">
      <c r="A811" s="16"/>
      <c r="D811" s="12" t="str">
        <f aca="false">IF(C811="","",IFERROR(INDEX(Recipes!$B:$B,MATCH(C811,Recipes!$A:$A,0)),"⚠ unknown recipe_id"))</f>
        <v/>
      </c>
      <c r="K811" s="12" t="str">
        <f aca="false">IF(C811="","",IFERROR(INDEX(Recipes!$C:$C,MATCH(C811,Recipes!$A:$A,0)),""))</f>
        <v/>
      </c>
      <c r="L811" s="12" t="str">
        <f aca="false">IF(AND(A811='Grocery List'!$B$3,E811="Yes"),COUNTIFS($A$4:A811,'Grocery List'!$B$3,$E$4:E811,"Yes"),"")</f>
        <v/>
      </c>
    </row>
    <row r="812" customFormat="false" ht="15" hidden="false" customHeight="false" outlineLevel="0" collapsed="false">
      <c r="A812" s="16"/>
      <c r="D812" s="12" t="str">
        <f aca="false">IF(C812="","",IFERROR(INDEX(Recipes!$B:$B,MATCH(C812,Recipes!$A:$A,0)),"⚠ unknown recipe_id"))</f>
        <v/>
      </c>
      <c r="K812" s="12" t="str">
        <f aca="false">IF(C812="","",IFERROR(INDEX(Recipes!$C:$C,MATCH(C812,Recipes!$A:$A,0)),""))</f>
        <v/>
      </c>
      <c r="L812" s="12" t="str">
        <f aca="false">IF(AND(A812='Grocery List'!$B$3,E812="Yes"),COUNTIFS($A$4:A812,'Grocery List'!$B$3,$E$4:E812,"Yes"),"")</f>
        <v/>
      </c>
    </row>
    <row r="813" customFormat="false" ht="15" hidden="false" customHeight="false" outlineLevel="0" collapsed="false">
      <c r="A813" s="16"/>
      <c r="D813" s="12" t="str">
        <f aca="false">IF(C813="","",IFERROR(INDEX(Recipes!$B:$B,MATCH(C813,Recipes!$A:$A,0)),"⚠ unknown recipe_id"))</f>
        <v/>
      </c>
      <c r="K813" s="12" t="str">
        <f aca="false">IF(C813="","",IFERROR(INDEX(Recipes!$C:$C,MATCH(C813,Recipes!$A:$A,0)),""))</f>
        <v/>
      </c>
      <c r="L813" s="12" t="str">
        <f aca="false">IF(AND(A813='Grocery List'!$B$3,E813="Yes"),COUNTIFS($A$4:A813,'Grocery List'!$B$3,$E$4:E813,"Yes"),"")</f>
        <v/>
      </c>
    </row>
    <row r="814" customFormat="false" ht="15" hidden="false" customHeight="false" outlineLevel="0" collapsed="false">
      <c r="A814" s="16"/>
      <c r="D814" s="12" t="str">
        <f aca="false">IF(C814="","",IFERROR(INDEX(Recipes!$B:$B,MATCH(C814,Recipes!$A:$A,0)),"⚠ unknown recipe_id"))</f>
        <v/>
      </c>
      <c r="K814" s="12" t="str">
        <f aca="false">IF(C814="","",IFERROR(INDEX(Recipes!$C:$C,MATCH(C814,Recipes!$A:$A,0)),""))</f>
        <v/>
      </c>
      <c r="L814" s="12" t="str">
        <f aca="false">IF(AND(A814='Grocery List'!$B$3,E814="Yes"),COUNTIFS($A$4:A814,'Grocery List'!$B$3,$E$4:E814,"Yes"),"")</f>
        <v/>
      </c>
    </row>
    <row r="815" customFormat="false" ht="15" hidden="false" customHeight="false" outlineLevel="0" collapsed="false">
      <c r="A815" s="16"/>
      <c r="D815" s="12" t="str">
        <f aca="false">IF(C815="","",IFERROR(INDEX(Recipes!$B:$B,MATCH(C815,Recipes!$A:$A,0)),"⚠ unknown recipe_id"))</f>
        <v/>
      </c>
      <c r="K815" s="12" t="str">
        <f aca="false">IF(C815="","",IFERROR(INDEX(Recipes!$C:$C,MATCH(C815,Recipes!$A:$A,0)),""))</f>
        <v/>
      </c>
      <c r="L815" s="12" t="str">
        <f aca="false">IF(AND(A815='Grocery List'!$B$3,E815="Yes"),COUNTIFS($A$4:A815,'Grocery List'!$B$3,$E$4:E815,"Yes"),"")</f>
        <v/>
      </c>
    </row>
    <row r="816" customFormat="false" ht="15" hidden="false" customHeight="false" outlineLevel="0" collapsed="false">
      <c r="A816" s="16"/>
      <c r="D816" s="12" t="str">
        <f aca="false">IF(C816="","",IFERROR(INDEX(Recipes!$B:$B,MATCH(C816,Recipes!$A:$A,0)),"⚠ unknown recipe_id"))</f>
        <v/>
      </c>
      <c r="K816" s="12" t="str">
        <f aca="false">IF(C816="","",IFERROR(INDEX(Recipes!$C:$C,MATCH(C816,Recipes!$A:$A,0)),""))</f>
        <v/>
      </c>
      <c r="L816" s="12" t="str">
        <f aca="false">IF(AND(A816='Grocery List'!$B$3,E816="Yes"),COUNTIFS($A$4:A816,'Grocery List'!$B$3,$E$4:E816,"Yes"),"")</f>
        <v/>
      </c>
    </row>
    <row r="817" customFormat="false" ht="15" hidden="false" customHeight="false" outlineLevel="0" collapsed="false">
      <c r="A817" s="16"/>
      <c r="D817" s="12" t="str">
        <f aca="false">IF(C817="","",IFERROR(INDEX(Recipes!$B:$B,MATCH(C817,Recipes!$A:$A,0)),"⚠ unknown recipe_id"))</f>
        <v/>
      </c>
      <c r="K817" s="12" t="str">
        <f aca="false">IF(C817="","",IFERROR(INDEX(Recipes!$C:$C,MATCH(C817,Recipes!$A:$A,0)),""))</f>
        <v/>
      </c>
      <c r="L817" s="12" t="str">
        <f aca="false">IF(AND(A817='Grocery List'!$B$3,E817="Yes"),COUNTIFS($A$4:A817,'Grocery List'!$B$3,$E$4:E817,"Yes"),"")</f>
        <v/>
      </c>
    </row>
    <row r="818" customFormat="false" ht="15" hidden="false" customHeight="false" outlineLevel="0" collapsed="false">
      <c r="A818" s="16"/>
      <c r="D818" s="12" t="str">
        <f aca="false">IF(C818="","",IFERROR(INDEX(Recipes!$B:$B,MATCH(C818,Recipes!$A:$A,0)),"⚠ unknown recipe_id"))</f>
        <v/>
      </c>
      <c r="K818" s="12" t="str">
        <f aca="false">IF(C818="","",IFERROR(INDEX(Recipes!$C:$C,MATCH(C818,Recipes!$A:$A,0)),""))</f>
        <v/>
      </c>
      <c r="L818" s="12" t="str">
        <f aca="false">IF(AND(A818='Grocery List'!$B$3,E818="Yes"),COUNTIFS($A$4:A818,'Grocery List'!$B$3,$E$4:E818,"Yes"),"")</f>
        <v/>
      </c>
    </row>
    <row r="819" customFormat="false" ht="15" hidden="false" customHeight="false" outlineLevel="0" collapsed="false">
      <c r="A819" s="16"/>
      <c r="D819" s="12" t="str">
        <f aca="false">IF(C819="","",IFERROR(INDEX(Recipes!$B:$B,MATCH(C819,Recipes!$A:$A,0)),"⚠ unknown recipe_id"))</f>
        <v/>
      </c>
      <c r="K819" s="12" t="str">
        <f aca="false">IF(C819="","",IFERROR(INDEX(Recipes!$C:$C,MATCH(C819,Recipes!$A:$A,0)),""))</f>
        <v/>
      </c>
      <c r="L819" s="12" t="str">
        <f aca="false">IF(AND(A819='Grocery List'!$B$3,E819="Yes"),COUNTIFS($A$4:A819,'Grocery List'!$B$3,$E$4:E819,"Yes"),"")</f>
        <v/>
      </c>
    </row>
    <row r="820" customFormat="false" ht="15" hidden="false" customHeight="false" outlineLevel="0" collapsed="false">
      <c r="A820" s="16"/>
      <c r="D820" s="12" t="str">
        <f aca="false">IF(C820="","",IFERROR(INDEX(Recipes!$B:$B,MATCH(C820,Recipes!$A:$A,0)),"⚠ unknown recipe_id"))</f>
        <v/>
      </c>
      <c r="K820" s="12" t="str">
        <f aca="false">IF(C820="","",IFERROR(INDEX(Recipes!$C:$C,MATCH(C820,Recipes!$A:$A,0)),""))</f>
        <v/>
      </c>
      <c r="L820" s="12" t="str">
        <f aca="false">IF(AND(A820='Grocery List'!$B$3,E820="Yes"),COUNTIFS($A$4:A820,'Grocery List'!$B$3,$E$4:E820,"Yes"),"")</f>
        <v/>
      </c>
    </row>
    <row r="821" customFormat="false" ht="15" hidden="false" customHeight="false" outlineLevel="0" collapsed="false">
      <c r="A821" s="16"/>
      <c r="D821" s="12" t="str">
        <f aca="false">IF(C821="","",IFERROR(INDEX(Recipes!$B:$B,MATCH(C821,Recipes!$A:$A,0)),"⚠ unknown recipe_id"))</f>
        <v/>
      </c>
      <c r="K821" s="12" t="str">
        <f aca="false">IF(C821="","",IFERROR(INDEX(Recipes!$C:$C,MATCH(C821,Recipes!$A:$A,0)),""))</f>
        <v/>
      </c>
      <c r="L821" s="12" t="str">
        <f aca="false">IF(AND(A821='Grocery List'!$B$3,E821="Yes"),COUNTIFS($A$4:A821,'Grocery List'!$B$3,$E$4:E821,"Yes"),"")</f>
        <v/>
      </c>
    </row>
    <row r="822" customFormat="false" ht="15" hidden="false" customHeight="false" outlineLevel="0" collapsed="false">
      <c r="A822" s="16"/>
      <c r="D822" s="12" t="str">
        <f aca="false">IF(C822="","",IFERROR(INDEX(Recipes!$B:$B,MATCH(C822,Recipes!$A:$A,0)),"⚠ unknown recipe_id"))</f>
        <v/>
      </c>
      <c r="K822" s="12" t="str">
        <f aca="false">IF(C822="","",IFERROR(INDEX(Recipes!$C:$C,MATCH(C822,Recipes!$A:$A,0)),""))</f>
        <v/>
      </c>
      <c r="L822" s="12" t="str">
        <f aca="false">IF(AND(A822='Grocery List'!$B$3,E822="Yes"),COUNTIFS($A$4:A822,'Grocery List'!$B$3,$E$4:E822,"Yes"),"")</f>
        <v/>
      </c>
    </row>
    <row r="823" customFormat="false" ht="15" hidden="false" customHeight="false" outlineLevel="0" collapsed="false">
      <c r="A823" s="16"/>
      <c r="D823" s="12" t="str">
        <f aca="false">IF(C823="","",IFERROR(INDEX(Recipes!$B:$B,MATCH(C823,Recipes!$A:$A,0)),"⚠ unknown recipe_id"))</f>
        <v/>
      </c>
      <c r="K823" s="12" t="str">
        <f aca="false">IF(C823="","",IFERROR(INDEX(Recipes!$C:$C,MATCH(C823,Recipes!$A:$A,0)),""))</f>
        <v/>
      </c>
      <c r="L823" s="12" t="str">
        <f aca="false">IF(AND(A823='Grocery List'!$B$3,E823="Yes"),COUNTIFS($A$4:A823,'Grocery List'!$B$3,$E$4:E823,"Yes"),"")</f>
        <v/>
      </c>
    </row>
    <row r="824" customFormat="false" ht="15" hidden="false" customHeight="false" outlineLevel="0" collapsed="false">
      <c r="A824" s="16"/>
      <c r="D824" s="12" t="str">
        <f aca="false">IF(C824="","",IFERROR(INDEX(Recipes!$B:$B,MATCH(C824,Recipes!$A:$A,0)),"⚠ unknown recipe_id"))</f>
        <v/>
      </c>
      <c r="K824" s="12" t="str">
        <f aca="false">IF(C824="","",IFERROR(INDEX(Recipes!$C:$C,MATCH(C824,Recipes!$A:$A,0)),""))</f>
        <v/>
      </c>
      <c r="L824" s="12" t="str">
        <f aca="false">IF(AND(A824='Grocery List'!$B$3,E824="Yes"),COUNTIFS($A$4:A824,'Grocery List'!$B$3,$E$4:E824,"Yes"),"")</f>
        <v/>
      </c>
    </row>
    <row r="825" customFormat="false" ht="15" hidden="false" customHeight="false" outlineLevel="0" collapsed="false">
      <c r="A825" s="16"/>
      <c r="D825" s="12" t="str">
        <f aca="false">IF(C825="","",IFERROR(INDEX(Recipes!$B:$B,MATCH(C825,Recipes!$A:$A,0)),"⚠ unknown recipe_id"))</f>
        <v/>
      </c>
      <c r="K825" s="12" t="str">
        <f aca="false">IF(C825="","",IFERROR(INDEX(Recipes!$C:$C,MATCH(C825,Recipes!$A:$A,0)),""))</f>
        <v/>
      </c>
      <c r="L825" s="12" t="str">
        <f aca="false">IF(AND(A825='Grocery List'!$B$3,E825="Yes"),COUNTIFS($A$4:A825,'Grocery List'!$B$3,$E$4:E825,"Yes"),"")</f>
        <v/>
      </c>
    </row>
    <row r="826" customFormat="false" ht="15" hidden="false" customHeight="false" outlineLevel="0" collapsed="false">
      <c r="A826" s="16"/>
      <c r="D826" s="12" t="str">
        <f aca="false">IF(C826="","",IFERROR(INDEX(Recipes!$B:$B,MATCH(C826,Recipes!$A:$A,0)),"⚠ unknown recipe_id"))</f>
        <v/>
      </c>
      <c r="K826" s="12" t="str">
        <f aca="false">IF(C826="","",IFERROR(INDEX(Recipes!$C:$C,MATCH(C826,Recipes!$A:$A,0)),""))</f>
        <v/>
      </c>
      <c r="L826" s="12" t="str">
        <f aca="false">IF(AND(A826='Grocery List'!$B$3,E826="Yes"),COUNTIFS($A$4:A826,'Grocery List'!$B$3,$E$4:E826,"Yes"),"")</f>
        <v/>
      </c>
    </row>
    <row r="827" customFormat="false" ht="15" hidden="false" customHeight="false" outlineLevel="0" collapsed="false">
      <c r="A827" s="16"/>
      <c r="D827" s="12" t="str">
        <f aca="false">IF(C827="","",IFERROR(INDEX(Recipes!$B:$B,MATCH(C827,Recipes!$A:$A,0)),"⚠ unknown recipe_id"))</f>
        <v/>
      </c>
      <c r="K827" s="12" t="str">
        <f aca="false">IF(C827="","",IFERROR(INDEX(Recipes!$C:$C,MATCH(C827,Recipes!$A:$A,0)),""))</f>
        <v/>
      </c>
      <c r="L827" s="12" t="str">
        <f aca="false">IF(AND(A827='Grocery List'!$B$3,E827="Yes"),COUNTIFS($A$4:A827,'Grocery List'!$B$3,$E$4:E827,"Yes"),"")</f>
        <v/>
      </c>
    </row>
    <row r="828" customFormat="false" ht="15" hidden="false" customHeight="false" outlineLevel="0" collapsed="false">
      <c r="A828" s="16"/>
      <c r="D828" s="12" t="str">
        <f aca="false">IF(C828="","",IFERROR(INDEX(Recipes!$B:$B,MATCH(C828,Recipes!$A:$A,0)),"⚠ unknown recipe_id"))</f>
        <v/>
      </c>
      <c r="K828" s="12" t="str">
        <f aca="false">IF(C828="","",IFERROR(INDEX(Recipes!$C:$C,MATCH(C828,Recipes!$A:$A,0)),""))</f>
        <v/>
      </c>
      <c r="L828" s="12" t="str">
        <f aca="false">IF(AND(A828='Grocery List'!$B$3,E828="Yes"),COUNTIFS($A$4:A828,'Grocery List'!$B$3,$E$4:E828,"Yes"),"")</f>
        <v/>
      </c>
    </row>
    <row r="829" customFormat="false" ht="15" hidden="false" customHeight="false" outlineLevel="0" collapsed="false">
      <c r="A829" s="16"/>
      <c r="D829" s="12" t="str">
        <f aca="false">IF(C829="","",IFERROR(INDEX(Recipes!$B:$B,MATCH(C829,Recipes!$A:$A,0)),"⚠ unknown recipe_id"))</f>
        <v/>
      </c>
      <c r="K829" s="12" t="str">
        <f aca="false">IF(C829="","",IFERROR(INDEX(Recipes!$C:$C,MATCH(C829,Recipes!$A:$A,0)),""))</f>
        <v/>
      </c>
      <c r="L829" s="12" t="str">
        <f aca="false">IF(AND(A829='Grocery List'!$B$3,E829="Yes"),COUNTIFS($A$4:A829,'Grocery List'!$B$3,$E$4:E829,"Yes"),"")</f>
        <v/>
      </c>
    </row>
    <row r="830" customFormat="false" ht="15" hidden="false" customHeight="false" outlineLevel="0" collapsed="false">
      <c r="A830" s="16"/>
      <c r="D830" s="12" t="str">
        <f aca="false">IF(C830="","",IFERROR(INDEX(Recipes!$B:$B,MATCH(C830,Recipes!$A:$A,0)),"⚠ unknown recipe_id"))</f>
        <v/>
      </c>
      <c r="K830" s="12" t="str">
        <f aca="false">IF(C830="","",IFERROR(INDEX(Recipes!$C:$C,MATCH(C830,Recipes!$A:$A,0)),""))</f>
        <v/>
      </c>
      <c r="L830" s="12" t="str">
        <f aca="false">IF(AND(A830='Grocery List'!$B$3,E830="Yes"),COUNTIFS($A$4:A830,'Grocery List'!$B$3,$E$4:E830,"Yes"),"")</f>
        <v/>
      </c>
    </row>
    <row r="831" customFormat="false" ht="15" hidden="false" customHeight="false" outlineLevel="0" collapsed="false">
      <c r="A831" s="16"/>
      <c r="D831" s="12" t="str">
        <f aca="false">IF(C831="","",IFERROR(INDEX(Recipes!$B:$B,MATCH(C831,Recipes!$A:$A,0)),"⚠ unknown recipe_id"))</f>
        <v/>
      </c>
      <c r="K831" s="12" t="str">
        <f aca="false">IF(C831="","",IFERROR(INDEX(Recipes!$C:$C,MATCH(C831,Recipes!$A:$A,0)),""))</f>
        <v/>
      </c>
      <c r="L831" s="12" t="str">
        <f aca="false">IF(AND(A831='Grocery List'!$B$3,E831="Yes"),COUNTIFS($A$4:A831,'Grocery List'!$B$3,$E$4:E831,"Yes"),"")</f>
        <v/>
      </c>
    </row>
    <row r="832" customFormat="false" ht="15" hidden="false" customHeight="false" outlineLevel="0" collapsed="false">
      <c r="A832" s="16"/>
      <c r="D832" s="12" t="str">
        <f aca="false">IF(C832="","",IFERROR(INDEX(Recipes!$B:$B,MATCH(C832,Recipes!$A:$A,0)),"⚠ unknown recipe_id"))</f>
        <v/>
      </c>
      <c r="K832" s="12" t="str">
        <f aca="false">IF(C832="","",IFERROR(INDEX(Recipes!$C:$C,MATCH(C832,Recipes!$A:$A,0)),""))</f>
        <v/>
      </c>
      <c r="L832" s="12" t="str">
        <f aca="false">IF(AND(A832='Grocery List'!$B$3,E832="Yes"),COUNTIFS($A$4:A832,'Grocery List'!$B$3,$E$4:E832,"Yes"),"")</f>
        <v/>
      </c>
    </row>
    <row r="833" customFormat="false" ht="15" hidden="false" customHeight="false" outlineLevel="0" collapsed="false">
      <c r="A833" s="16"/>
      <c r="D833" s="12" t="str">
        <f aca="false">IF(C833="","",IFERROR(INDEX(Recipes!$B:$B,MATCH(C833,Recipes!$A:$A,0)),"⚠ unknown recipe_id"))</f>
        <v/>
      </c>
      <c r="K833" s="12" t="str">
        <f aca="false">IF(C833="","",IFERROR(INDEX(Recipes!$C:$C,MATCH(C833,Recipes!$A:$A,0)),""))</f>
        <v/>
      </c>
      <c r="L833" s="12" t="str">
        <f aca="false">IF(AND(A833='Grocery List'!$B$3,E833="Yes"),COUNTIFS($A$4:A833,'Grocery List'!$B$3,$E$4:E833,"Yes"),"")</f>
        <v/>
      </c>
    </row>
    <row r="834" customFormat="false" ht="15" hidden="false" customHeight="false" outlineLevel="0" collapsed="false">
      <c r="A834" s="16"/>
      <c r="D834" s="12" t="str">
        <f aca="false">IF(C834="","",IFERROR(INDEX(Recipes!$B:$B,MATCH(C834,Recipes!$A:$A,0)),"⚠ unknown recipe_id"))</f>
        <v/>
      </c>
      <c r="K834" s="12" t="str">
        <f aca="false">IF(C834="","",IFERROR(INDEX(Recipes!$C:$C,MATCH(C834,Recipes!$A:$A,0)),""))</f>
        <v/>
      </c>
      <c r="L834" s="12" t="str">
        <f aca="false">IF(AND(A834='Grocery List'!$B$3,E834="Yes"),COUNTIFS($A$4:A834,'Grocery List'!$B$3,$E$4:E834,"Yes"),"")</f>
        <v/>
      </c>
    </row>
    <row r="835" customFormat="false" ht="15" hidden="false" customHeight="false" outlineLevel="0" collapsed="false">
      <c r="A835" s="16"/>
      <c r="D835" s="12" t="str">
        <f aca="false">IF(C835="","",IFERROR(INDEX(Recipes!$B:$B,MATCH(C835,Recipes!$A:$A,0)),"⚠ unknown recipe_id"))</f>
        <v/>
      </c>
      <c r="K835" s="12" t="str">
        <f aca="false">IF(C835="","",IFERROR(INDEX(Recipes!$C:$C,MATCH(C835,Recipes!$A:$A,0)),""))</f>
        <v/>
      </c>
      <c r="L835" s="12" t="str">
        <f aca="false">IF(AND(A835='Grocery List'!$B$3,E835="Yes"),COUNTIFS($A$4:A835,'Grocery List'!$B$3,$E$4:E835,"Yes"),"")</f>
        <v/>
      </c>
    </row>
    <row r="836" customFormat="false" ht="15" hidden="false" customHeight="false" outlineLevel="0" collapsed="false">
      <c r="A836" s="16"/>
      <c r="D836" s="12" t="str">
        <f aca="false">IF(C836="","",IFERROR(INDEX(Recipes!$B:$B,MATCH(C836,Recipes!$A:$A,0)),"⚠ unknown recipe_id"))</f>
        <v/>
      </c>
      <c r="K836" s="12" t="str">
        <f aca="false">IF(C836="","",IFERROR(INDEX(Recipes!$C:$C,MATCH(C836,Recipes!$A:$A,0)),""))</f>
        <v/>
      </c>
      <c r="L836" s="12" t="str">
        <f aca="false">IF(AND(A836='Grocery List'!$B$3,E836="Yes"),COUNTIFS($A$4:A836,'Grocery List'!$B$3,$E$4:E836,"Yes"),"")</f>
        <v/>
      </c>
    </row>
    <row r="837" customFormat="false" ht="15" hidden="false" customHeight="false" outlineLevel="0" collapsed="false">
      <c r="A837" s="16"/>
      <c r="D837" s="12" t="str">
        <f aca="false">IF(C837="","",IFERROR(INDEX(Recipes!$B:$B,MATCH(C837,Recipes!$A:$A,0)),"⚠ unknown recipe_id"))</f>
        <v/>
      </c>
      <c r="K837" s="12" t="str">
        <f aca="false">IF(C837="","",IFERROR(INDEX(Recipes!$C:$C,MATCH(C837,Recipes!$A:$A,0)),""))</f>
        <v/>
      </c>
      <c r="L837" s="12" t="str">
        <f aca="false">IF(AND(A837='Grocery List'!$B$3,E837="Yes"),COUNTIFS($A$4:A837,'Grocery List'!$B$3,$E$4:E837,"Yes"),"")</f>
        <v/>
      </c>
    </row>
    <row r="838" customFormat="false" ht="15" hidden="false" customHeight="false" outlineLevel="0" collapsed="false">
      <c r="A838" s="16"/>
      <c r="D838" s="12" t="str">
        <f aca="false">IF(C838="","",IFERROR(INDEX(Recipes!$B:$B,MATCH(C838,Recipes!$A:$A,0)),"⚠ unknown recipe_id"))</f>
        <v/>
      </c>
      <c r="K838" s="12" t="str">
        <f aca="false">IF(C838="","",IFERROR(INDEX(Recipes!$C:$C,MATCH(C838,Recipes!$A:$A,0)),""))</f>
        <v/>
      </c>
      <c r="L838" s="12" t="str">
        <f aca="false">IF(AND(A838='Grocery List'!$B$3,E838="Yes"),COUNTIFS($A$4:A838,'Grocery List'!$B$3,$E$4:E838,"Yes"),"")</f>
        <v/>
      </c>
    </row>
    <row r="839" customFormat="false" ht="15" hidden="false" customHeight="false" outlineLevel="0" collapsed="false">
      <c r="A839" s="16"/>
      <c r="D839" s="12" t="str">
        <f aca="false">IF(C839="","",IFERROR(INDEX(Recipes!$B:$B,MATCH(C839,Recipes!$A:$A,0)),"⚠ unknown recipe_id"))</f>
        <v/>
      </c>
      <c r="K839" s="12" t="str">
        <f aca="false">IF(C839="","",IFERROR(INDEX(Recipes!$C:$C,MATCH(C839,Recipes!$A:$A,0)),""))</f>
        <v/>
      </c>
      <c r="L839" s="12" t="str">
        <f aca="false">IF(AND(A839='Grocery List'!$B$3,E839="Yes"),COUNTIFS($A$4:A839,'Grocery List'!$B$3,$E$4:E839,"Yes"),"")</f>
        <v/>
      </c>
    </row>
    <row r="840" customFormat="false" ht="15" hidden="false" customHeight="false" outlineLevel="0" collapsed="false">
      <c r="A840" s="16"/>
      <c r="D840" s="12" t="str">
        <f aca="false">IF(C840="","",IFERROR(INDEX(Recipes!$B:$B,MATCH(C840,Recipes!$A:$A,0)),"⚠ unknown recipe_id"))</f>
        <v/>
      </c>
      <c r="K840" s="12" t="str">
        <f aca="false">IF(C840="","",IFERROR(INDEX(Recipes!$C:$C,MATCH(C840,Recipes!$A:$A,0)),""))</f>
        <v/>
      </c>
      <c r="L840" s="12" t="str">
        <f aca="false">IF(AND(A840='Grocery List'!$B$3,E840="Yes"),COUNTIFS($A$4:A840,'Grocery List'!$B$3,$E$4:E840,"Yes"),"")</f>
        <v/>
      </c>
    </row>
    <row r="841" customFormat="false" ht="15" hidden="false" customHeight="false" outlineLevel="0" collapsed="false">
      <c r="A841" s="16"/>
      <c r="D841" s="12" t="str">
        <f aca="false">IF(C841="","",IFERROR(INDEX(Recipes!$B:$B,MATCH(C841,Recipes!$A:$A,0)),"⚠ unknown recipe_id"))</f>
        <v/>
      </c>
      <c r="K841" s="12" t="str">
        <f aca="false">IF(C841="","",IFERROR(INDEX(Recipes!$C:$C,MATCH(C841,Recipes!$A:$A,0)),""))</f>
        <v/>
      </c>
      <c r="L841" s="12" t="str">
        <f aca="false">IF(AND(A841='Grocery List'!$B$3,E841="Yes"),COUNTIFS($A$4:A841,'Grocery List'!$B$3,$E$4:E841,"Yes"),"")</f>
        <v/>
      </c>
    </row>
    <row r="842" customFormat="false" ht="15" hidden="false" customHeight="false" outlineLevel="0" collapsed="false">
      <c r="A842" s="16"/>
      <c r="D842" s="12" t="str">
        <f aca="false">IF(C842="","",IFERROR(INDEX(Recipes!$B:$B,MATCH(C842,Recipes!$A:$A,0)),"⚠ unknown recipe_id"))</f>
        <v/>
      </c>
      <c r="K842" s="12" t="str">
        <f aca="false">IF(C842="","",IFERROR(INDEX(Recipes!$C:$C,MATCH(C842,Recipes!$A:$A,0)),""))</f>
        <v/>
      </c>
      <c r="L842" s="12" t="str">
        <f aca="false">IF(AND(A842='Grocery List'!$B$3,E842="Yes"),COUNTIFS($A$4:A842,'Grocery List'!$B$3,$E$4:E842,"Yes"),"")</f>
        <v/>
      </c>
    </row>
    <row r="843" customFormat="false" ht="15" hidden="false" customHeight="false" outlineLevel="0" collapsed="false">
      <c r="A843" s="16"/>
      <c r="D843" s="12" t="str">
        <f aca="false">IF(C843="","",IFERROR(INDEX(Recipes!$B:$B,MATCH(C843,Recipes!$A:$A,0)),"⚠ unknown recipe_id"))</f>
        <v/>
      </c>
      <c r="K843" s="12" t="str">
        <f aca="false">IF(C843="","",IFERROR(INDEX(Recipes!$C:$C,MATCH(C843,Recipes!$A:$A,0)),""))</f>
        <v/>
      </c>
      <c r="L843" s="12" t="str">
        <f aca="false">IF(AND(A843='Grocery List'!$B$3,E843="Yes"),COUNTIFS($A$4:A843,'Grocery List'!$B$3,$E$4:E843,"Yes"),"")</f>
        <v/>
      </c>
    </row>
    <row r="844" customFormat="false" ht="15" hidden="false" customHeight="false" outlineLevel="0" collapsed="false">
      <c r="A844" s="16"/>
      <c r="D844" s="12" t="str">
        <f aca="false">IF(C844="","",IFERROR(INDEX(Recipes!$B:$B,MATCH(C844,Recipes!$A:$A,0)),"⚠ unknown recipe_id"))</f>
        <v/>
      </c>
      <c r="K844" s="12" t="str">
        <f aca="false">IF(C844="","",IFERROR(INDEX(Recipes!$C:$C,MATCH(C844,Recipes!$A:$A,0)),""))</f>
        <v/>
      </c>
      <c r="L844" s="12" t="str">
        <f aca="false">IF(AND(A844='Grocery List'!$B$3,E844="Yes"),COUNTIFS($A$4:A844,'Grocery List'!$B$3,$E$4:E844,"Yes"),"")</f>
        <v/>
      </c>
    </row>
    <row r="845" customFormat="false" ht="15" hidden="false" customHeight="false" outlineLevel="0" collapsed="false">
      <c r="A845" s="16"/>
      <c r="D845" s="12" t="str">
        <f aca="false">IF(C845="","",IFERROR(INDEX(Recipes!$B:$B,MATCH(C845,Recipes!$A:$A,0)),"⚠ unknown recipe_id"))</f>
        <v/>
      </c>
      <c r="K845" s="12" t="str">
        <f aca="false">IF(C845="","",IFERROR(INDEX(Recipes!$C:$C,MATCH(C845,Recipes!$A:$A,0)),""))</f>
        <v/>
      </c>
      <c r="L845" s="12" t="str">
        <f aca="false">IF(AND(A845='Grocery List'!$B$3,E845="Yes"),COUNTIFS($A$4:A845,'Grocery List'!$B$3,$E$4:E845,"Yes"),"")</f>
        <v/>
      </c>
    </row>
    <row r="846" customFormat="false" ht="15" hidden="false" customHeight="false" outlineLevel="0" collapsed="false">
      <c r="A846" s="16"/>
      <c r="D846" s="12" t="str">
        <f aca="false">IF(C846="","",IFERROR(INDEX(Recipes!$B:$B,MATCH(C846,Recipes!$A:$A,0)),"⚠ unknown recipe_id"))</f>
        <v/>
      </c>
      <c r="K846" s="12" t="str">
        <f aca="false">IF(C846="","",IFERROR(INDEX(Recipes!$C:$C,MATCH(C846,Recipes!$A:$A,0)),""))</f>
        <v/>
      </c>
      <c r="L846" s="12" t="str">
        <f aca="false">IF(AND(A846='Grocery List'!$B$3,E846="Yes"),COUNTIFS($A$4:A846,'Grocery List'!$B$3,$E$4:E846,"Yes"),"")</f>
        <v/>
      </c>
    </row>
    <row r="847" customFormat="false" ht="15" hidden="false" customHeight="false" outlineLevel="0" collapsed="false">
      <c r="A847" s="16"/>
      <c r="D847" s="12" t="str">
        <f aca="false">IF(C847="","",IFERROR(INDEX(Recipes!$B:$B,MATCH(C847,Recipes!$A:$A,0)),"⚠ unknown recipe_id"))</f>
        <v/>
      </c>
      <c r="K847" s="12" t="str">
        <f aca="false">IF(C847="","",IFERROR(INDEX(Recipes!$C:$C,MATCH(C847,Recipes!$A:$A,0)),""))</f>
        <v/>
      </c>
      <c r="L847" s="12" t="str">
        <f aca="false">IF(AND(A847='Grocery List'!$B$3,E847="Yes"),COUNTIFS($A$4:A847,'Grocery List'!$B$3,$E$4:E847,"Yes"),"")</f>
        <v/>
      </c>
    </row>
    <row r="848" customFormat="false" ht="15" hidden="false" customHeight="false" outlineLevel="0" collapsed="false">
      <c r="A848" s="16"/>
      <c r="D848" s="12" t="str">
        <f aca="false">IF(C848="","",IFERROR(INDEX(Recipes!$B:$B,MATCH(C848,Recipes!$A:$A,0)),"⚠ unknown recipe_id"))</f>
        <v/>
      </c>
      <c r="K848" s="12" t="str">
        <f aca="false">IF(C848="","",IFERROR(INDEX(Recipes!$C:$C,MATCH(C848,Recipes!$A:$A,0)),""))</f>
        <v/>
      </c>
      <c r="L848" s="12" t="str">
        <f aca="false">IF(AND(A848='Grocery List'!$B$3,E848="Yes"),COUNTIFS($A$4:A848,'Grocery List'!$B$3,$E$4:E848,"Yes"),"")</f>
        <v/>
      </c>
    </row>
    <row r="849" customFormat="false" ht="15" hidden="false" customHeight="false" outlineLevel="0" collapsed="false">
      <c r="A849" s="16"/>
      <c r="D849" s="12" t="str">
        <f aca="false">IF(C849="","",IFERROR(INDEX(Recipes!$B:$B,MATCH(C849,Recipes!$A:$A,0)),"⚠ unknown recipe_id"))</f>
        <v/>
      </c>
      <c r="K849" s="12" t="str">
        <f aca="false">IF(C849="","",IFERROR(INDEX(Recipes!$C:$C,MATCH(C849,Recipes!$A:$A,0)),""))</f>
        <v/>
      </c>
      <c r="L849" s="12" t="str">
        <f aca="false">IF(AND(A849='Grocery List'!$B$3,E849="Yes"),COUNTIFS($A$4:A849,'Grocery List'!$B$3,$E$4:E849,"Yes"),"")</f>
        <v/>
      </c>
    </row>
    <row r="850" customFormat="false" ht="15" hidden="false" customHeight="false" outlineLevel="0" collapsed="false">
      <c r="A850" s="16"/>
      <c r="D850" s="12" t="str">
        <f aca="false">IF(C850="","",IFERROR(INDEX(Recipes!$B:$B,MATCH(C850,Recipes!$A:$A,0)),"⚠ unknown recipe_id"))</f>
        <v/>
      </c>
      <c r="K850" s="12" t="str">
        <f aca="false">IF(C850="","",IFERROR(INDEX(Recipes!$C:$C,MATCH(C850,Recipes!$A:$A,0)),""))</f>
        <v/>
      </c>
      <c r="L850" s="12" t="str">
        <f aca="false">IF(AND(A850='Grocery List'!$B$3,E850="Yes"),COUNTIFS($A$4:A850,'Grocery List'!$B$3,$E$4:E850,"Yes"),"")</f>
        <v/>
      </c>
    </row>
    <row r="851" customFormat="false" ht="15" hidden="false" customHeight="false" outlineLevel="0" collapsed="false">
      <c r="A851" s="16"/>
      <c r="D851" s="12" t="str">
        <f aca="false">IF(C851="","",IFERROR(INDEX(Recipes!$B:$B,MATCH(C851,Recipes!$A:$A,0)),"⚠ unknown recipe_id"))</f>
        <v/>
      </c>
      <c r="K851" s="12" t="str">
        <f aca="false">IF(C851="","",IFERROR(INDEX(Recipes!$C:$C,MATCH(C851,Recipes!$A:$A,0)),""))</f>
        <v/>
      </c>
      <c r="L851" s="12" t="str">
        <f aca="false">IF(AND(A851='Grocery List'!$B$3,E851="Yes"),COUNTIFS($A$4:A851,'Grocery List'!$B$3,$E$4:E851,"Yes"),"")</f>
        <v/>
      </c>
    </row>
    <row r="852" customFormat="false" ht="15" hidden="false" customHeight="false" outlineLevel="0" collapsed="false">
      <c r="A852" s="16"/>
      <c r="D852" s="12" t="str">
        <f aca="false">IF(C852="","",IFERROR(INDEX(Recipes!$B:$B,MATCH(C852,Recipes!$A:$A,0)),"⚠ unknown recipe_id"))</f>
        <v/>
      </c>
      <c r="K852" s="12" t="str">
        <f aca="false">IF(C852="","",IFERROR(INDEX(Recipes!$C:$C,MATCH(C852,Recipes!$A:$A,0)),""))</f>
        <v/>
      </c>
      <c r="L852" s="12" t="str">
        <f aca="false">IF(AND(A852='Grocery List'!$B$3,E852="Yes"),COUNTIFS($A$4:A852,'Grocery List'!$B$3,$E$4:E852,"Yes"),"")</f>
        <v/>
      </c>
    </row>
    <row r="853" customFormat="false" ht="15" hidden="false" customHeight="false" outlineLevel="0" collapsed="false">
      <c r="A853" s="16"/>
      <c r="D853" s="12" t="str">
        <f aca="false">IF(C853="","",IFERROR(INDEX(Recipes!$B:$B,MATCH(C853,Recipes!$A:$A,0)),"⚠ unknown recipe_id"))</f>
        <v/>
      </c>
      <c r="K853" s="12" t="str">
        <f aca="false">IF(C853="","",IFERROR(INDEX(Recipes!$C:$C,MATCH(C853,Recipes!$A:$A,0)),""))</f>
        <v/>
      </c>
      <c r="L853" s="12" t="str">
        <f aca="false">IF(AND(A853='Grocery List'!$B$3,E853="Yes"),COUNTIFS($A$4:A853,'Grocery List'!$B$3,$E$4:E853,"Yes"),"")</f>
        <v/>
      </c>
    </row>
    <row r="854" customFormat="false" ht="15" hidden="false" customHeight="false" outlineLevel="0" collapsed="false">
      <c r="A854" s="16"/>
      <c r="D854" s="12" t="str">
        <f aca="false">IF(C854="","",IFERROR(INDEX(Recipes!$B:$B,MATCH(C854,Recipes!$A:$A,0)),"⚠ unknown recipe_id"))</f>
        <v/>
      </c>
      <c r="K854" s="12" t="str">
        <f aca="false">IF(C854="","",IFERROR(INDEX(Recipes!$C:$C,MATCH(C854,Recipes!$A:$A,0)),""))</f>
        <v/>
      </c>
      <c r="L854" s="12" t="str">
        <f aca="false">IF(AND(A854='Grocery List'!$B$3,E854="Yes"),COUNTIFS($A$4:A854,'Grocery List'!$B$3,$E$4:E854,"Yes"),"")</f>
        <v/>
      </c>
    </row>
    <row r="855" customFormat="false" ht="15" hidden="false" customHeight="false" outlineLevel="0" collapsed="false">
      <c r="A855" s="16"/>
      <c r="D855" s="12" t="str">
        <f aca="false">IF(C855="","",IFERROR(INDEX(Recipes!$B:$B,MATCH(C855,Recipes!$A:$A,0)),"⚠ unknown recipe_id"))</f>
        <v/>
      </c>
      <c r="K855" s="12" t="str">
        <f aca="false">IF(C855="","",IFERROR(INDEX(Recipes!$C:$C,MATCH(C855,Recipes!$A:$A,0)),""))</f>
        <v/>
      </c>
      <c r="L855" s="12" t="str">
        <f aca="false">IF(AND(A855='Grocery List'!$B$3,E855="Yes"),COUNTIFS($A$4:A855,'Grocery List'!$B$3,$E$4:E855,"Yes"),"")</f>
        <v/>
      </c>
    </row>
    <row r="856" customFormat="false" ht="15" hidden="false" customHeight="false" outlineLevel="0" collapsed="false">
      <c r="A856" s="16"/>
      <c r="D856" s="12" t="str">
        <f aca="false">IF(C856="","",IFERROR(INDEX(Recipes!$B:$B,MATCH(C856,Recipes!$A:$A,0)),"⚠ unknown recipe_id"))</f>
        <v/>
      </c>
      <c r="K856" s="12" t="str">
        <f aca="false">IF(C856="","",IFERROR(INDEX(Recipes!$C:$C,MATCH(C856,Recipes!$A:$A,0)),""))</f>
        <v/>
      </c>
      <c r="L856" s="12" t="str">
        <f aca="false">IF(AND(A856='Grocery List'!$B$3,E856="Yes"),COUNTIFS($A$4:A856,'Grocery List'!$B$3,$E$4:E856,"Yes"),"")</f>
        <v/>
      </c>
    </row>
    <row r="857" customFormat="false" ht="15" hidden="false" customHeight="false" outlineLevel="0" collapsed="false">
      <c r="A857" s="16"/>
      <c r="D857" s="12" t="str">
        <f aca="false">IF(C857="","",IFERROR(INDEX(Recipes!$B:$B,MATCH(C857,Recipes!$A:$A,0)),"⚠ unknown recipe_id"))</f>
        <v/>
      </c>
      <c r="K857" s="12" t="str">
        <f aca="false">IF(C857="","",IFERROR(INDEX(Recipes!$C:$C,MATCH(C857,Recipes!$A:$A,0)),""))</f>
        <v/>
      </c>
      <c r="L857" s="12" t="str">
        <f aca="false">IF(AND(A857='Grocery List'!$B$3,E857="Yes"),COUNTIFS($A$4:A857,'Grocery List'!$B$3,$E$4:E857,"Yes"),"")</f>
        <v/>
      </c>
    </row>
    <row r="858" customFormat="false" ht="15" hidden="false" customHeight="false" outlineLevel="0" collapsed="false">
      <c r="A858" s="16"/>
      <c r="D858" s="12" t="str">
        <f aca="false">IF(C858="","",IFERROR(INDEX(Recipes!$B:$B,MATCH(C858,Recipes!$A:$A,0)),"⚠ unknown recipe_id"))</f>
        <v/>
      </c>
      <c r="K858" s="12" t="str">
        <f aca="false">IF(C858="","",IFERROR(INDEX(Recipes!$C:$C,MATCH(C858,Recipes!$A:$A,0)),""))</f>
        <v/>
      </c>
      <c r="L858" s="12" t="str">
        <f aca="false">IF(AND(A858='Grocery List'!$B$3,E858="Yes"),COUNTIFS($A$4:A858,'Grocery List'!$B$3,$E$4:E858,"Yes"),"")</f>
        <v/>
      </c>
    </row>
    <row r="859" customFormat="false" ht="15" hidden="false" customHeight="false" outlineLevel="0" collapsed="false">
      <c r="A859" s="16"/>
      <c r="D859" s="12" t="str">
        <f aca="false">IF(C859="","",IFERROR(INDEX(Recipes!$B:$B,MATCH(C859,Recipes!$A:$A,0)),"⚠ unknown recipe_id"))</f>
        <v/>
      </c>
      <c r="K859" s="12" t="str">
        <f aca="false">IF(C859="","",IFERROR(INDEX(Recipes!$C:$C,MATCH(C859,Recipes!$A:$A,0)),""))</f>
        <v/>
      </c>
      <c r="L859" s="12" t="str">
        <f aca="false">IF(AND(A859='Grocery List'!$B$3,E859="Yes"),COUNTIFS($A$4:A859,'Grocery List'!$B$3,$E$4:E859,"Yes"),"")</f>
        <v/>
      </c>
    </row>
    <row r="860" customFormat="false" ht="15" hidden="false" customHeight="false" outlineLevel="0" collapsed="false">
      <c r="A860" s="16"/>
      <c r="D860" s="12" t="str">
        <f aca="false">IF(C860="","",IFERROR(INDEX(Recipes!$B:$B,MATCH(C860,Recipes!$A:$A,0)),"⚠ unknown recipe_id"))</f>
        <v/>
      </c>
      <c r="K860" s="12" t="str">
        <f aca="false">IF(C860="","",IFERROR(INDEX(Recipes!$C:$C,MATCH(C860,Recipes!$A:$A,0)),""))</f>
        <v/>
      </c>
      <c r="L860" s="12" t="str">
        <f aca="false">IF(AND(A860='Grocery List'!$B$3,E860="Yes"),COUNTIFS($A$4:A860,'Grocery List'!$B$3,$E$4:E860,"Yes"),"")</f>
        <v/>
      </c>
    </row>
    <row r="861" customFormat="false" ht="15" hidden="false" customHeight="false" outlineLevel="0" collapsed="false">
      <c r="A861" s="16"/>
      <c r="D861" s="12" t="str">
        <f aca="false">IF(C861="","",IFERROR(INDEX(Recipes!$B:$B,MATCH(C861,Recipes!$A:$A,0)),"⚠ unknown recipe_id"))</f>
        <v/>
      </c>
      <c r="K861" s="12" t="str">
        <f aca="false">IF(C861="","",IFERROR(INDEX(Recipes!$C:$C,MATCH(C861,Recipes!$A:$A,0)),""))</f>
        <v/>
      </c>
      <c r="L861" s="12" t="str">
        <f aca="false">IF(AND(A861='Grocery List'!$B$3,E861="Yes"),COUNTIFS($A$4:A861,'Grocery List'!$B$3,$E$4:E861,"Yes"),"")</f>
        <v/>
      </c>
    </row>
    <row r="862" customFormat="false" ht="15" hidden="false" customHeight="false" outlineLevel="0" collapsed="false">
      <c r="A862" s="16"/>
      <c r="D862" s="12" t="str">
        <f aca="false">IF(C862="","",IFERROR(INDEX(Recipes!$B:$B,MATCH(C862,Recipes!$A:$A,0)),"⚠ unknown recipe_id"))</f>
        <v/>
      </c>
      <c r="K862" s="12" t="str">
        <f aca="false">IF(C862="","",IFERROR(INDEX(Recipes!$C:$C,MATCH(C862,Recipes!$A:$A,0)),""))</f>
        <v/>
      </c>
      <c r="L862" s="12" t="str">
        <f aca="false">IF(AND(A862='Grocery List'!$B$3,E862="Yes"),COUNTIFS($A$4:A862,'Grocery List'!$B$3,$E$4:E862,"Yes"),"")</f>
        <v/>
      </c>
    </row>
    <row r="863" customFormat="false" ht="15" hidden="false" customHeight="false" outlineLevel="0" collapsed="false">
      <c r="A863" s="16"/>
      <c r="D863" s="12" t="str">
        <f aca="false">IF(C863="","",IFERROR(INDEX(Recipes!$B:$B,MATCH(C863,Recipes!$A:$A,0)),"⚠ unknown recipe_id"))</f>
        <v/>
      </c>
      <c r="K863" s="12" t="str">
        <f aca="false">IF(C863="","",IFERROR(INDEX(Recipes!$C:$C,MATCH(C863,Recipes!$A:$A,0)),""))</f>
        <v/>
      </c>
      <c r="L863" s="12" t="str">
        <f aca="false">IF(AND(A863='Grocery List'!$B$3,E863="Yes"),COUNTIFS($A$4:A863,'Grocery List'!$B$3,$E$4:E863,"Yes"),"")</f>
        <v/>
      </c>
    </row>
    <row r="864" customFormat="false" ht="15" hidden="false" customHeight="false" outlineLevel="0" collapsed="false">
      <c r="A864" s="16"/>
      <c r="D864" s="12" t="str">
        <f aca="false">IF(C864="","",IFERROR(INDEX(Recipes!$B:$B,MATCH(C864,Recipes!$A:$A,0)),"⚠ unknown recipe_id"))</f>
        <v/>
      </c>
      <c r="K864" s="12" t="str">
        <f aca="false">IF(C864="","",IFERROR(INDEX(Recipes!$C:$C,MATCH(C864,Recipes!$A:$A,0)),""))</f>
        <v/>
      </c>
      <c r="L864" s="12" t="str">
        <f aca="false">IF(AND(A864='Grocery List'!$B$3,E864="Yes"),COUNTIFS($A$4:A864,'Grocery List'!$B$3,$E$4:E864,"Yes"),"")</f>
        <v/>
      </c>
    </row>
    <row r="865" customFormat="false" ht="15" hidden="false" customHeight="false" outlineLevel="0" collapsed="false">
      <c r="A865" s="16"/>
      <c r="D865" s="12" t="str">
        <f aca="false">IF(C865="","",IFERROR(INDEX(Recipes!$B:$B,MATCH(C865,Recipes!$A:$A,0)),"⚠ unknown recipe_id"))</f>
        <v/>
      </c>
      <c r="K865" s="12" t="str">
        <f aca="false">IF(C865="","",IFERROR(INDEX(Recipes!$C:$C,MATCH(C865,Recipes!$A:$A,0)),""))</f>
        <v/>
      </c>
      <c r="L865" s="12" t="str">
        <f aca="false">IF(AND(A865='Grocery List'!$B$3,E865="Yes"),COUNTIFS($A$4:A865,'Grocery List'!$B$3,$E$4:E865,"Yes"),"")</f>
        <v/>
      </c>
    </row>
    <row r="866" customFormat="false" ht="15" hidden="false" customHeight="false" outlineLevel="0" collapsed="false">
      <c r="A866" s="16"/>
      <c r="D866" s="12" t="str">
        <f aca="false">IF(C866="","",IFERROR(INDEX(Recipes!$B:$B,MATCH(C866,Recipes!$A:$A,0)),"⚠ unknown recipe_id"))</f>
        <v/>
      </c>
      <c r="K866" s="12" t="str">
        <f aca="false">IF(C866="","",IFERROR(INDEX(Recipes!$C:$C,MATCH(C866,Recipes!$A:$A,0)),""))</f>
        <v/>
      </c>
      <c r="L866" s="12" t="str">
        <f aca="false">IF(AND(A866='Grocery List'!$B$3,E866="Yes"),COUNTIFS($A$4:A866,'Grocery List'!$B$3,$E$4:E866,"Yes"),"")</f>
        <v/>
      </c>
    </row>
    <row r="867" customFormat="false" ht="15" hidden="false" customHeight="false" outlineLevel="0" collapsed="false">
      <c r="A867" s="16"/>
      <c r="D867" s="12" t="str">
        <f aca="false">IF(C867="","",IFERROR(INDEX(Recipes!$B:$B,MATCH(C867,Recipes!$A:$A,0)),"⚠ unknown recipe_id"))</f>
        <v/>
      </c>
      <c r="K867" s="12" t="str">
        <f aca="false">IF(C867="","",IFERROR(INDEX(Recipes!$C:$C,MATCH(C867,Recipes!$A:$A,0)),""))</f>
        <v/>
      </c>
      <c r="L867" s="12" t="str">
        <f aca="false">IF(AND(A867='Grocery List'!$B$3,E867="Yes"),COUNTIFS($A$4:A867,'Grocery List'!$B$3,$E$4:E867,"Yes"),"")</f>
        <v/>
      </c>
    </row>
    <row r="868" customFormat="false" ht="15" hidden="false" customHeight="false" outlineLevel="0" collapsed="false">
      <c r="A868" s="16"/>
      <c r="D868" s="12" t="str">
        <f aca="false">IF(C868="","",IFERROR(INDEX(Recipes!$B:$B,MATCH(C868,Recipes!$A:$A,0)),"⚠ unknown recipe_id"))</f>
        <v/>
      </c>
      <c r="K868" s="12" t="str">
        <f aca="false">IF(C868="","",IFERROR(INDEX(Recipes!$C:$C,MATCH(C868,Recipes!$A:$A,0)),""))</f>
        <v/>
      </c>
      <c r="L868" s="12" t="str">
        <f aca="false">IF(AND(A868='Grocery List'!$B$3,E868="Yes"),COUNTIFS($A$4:A868,'Grocery List'!$B$3,$E$4:E868,"Yes"),"")</f>
        <v/>
      </c>
    </row>
    <row r="869" customFormat="false" ht="15" hidden="false" customHeight="false" outlineLevel="0" collapsed="false">
      <c r="A869" s="16"/>
      <c r="D869" s="12" t="str">
        <f aca="false">IF(C869="","",IFERROR(INDEX(Recipes!$B:$B,MATCH(C869,Recipes!$A:$A,0)),"⚠ unknown recipe_id"))</f>
        <v/>
      </c>
      <c r="K869" s="12" t="str">
        <f aca="false">IF(C869="","",IFERROR(INDEX(Recipes!$C:$C,MATCH(C869,Recipes!$A:$A,0)),""))</f>
        <v/>
      </c>
      <c r="L869" s="12" t="str">
        <f aca="false">IF(AND(A869='Grocery List'!$B$3,E869="Yes"),COUNTIFS($A$4:A869,'Grocery List'!$B$3,$E$4:E869,"Yes"),"")</f>
        <v/>
      </c>
    </row>
    <row r="870" customFormat="false" ht="15" hidden="false" customHeight="false" outlineLevel="0" collapsed="false">
      <c r="A870" s="16"/>
      <c r="D870" s="12" t="str">
        <f aca="false">IF(C870="","",IFERROR(INDEX(Recipes!$B:$B,MATCH(C870,Recipes!$A:$A,0)),"⚠ unknown recipe_id"))</f>
        <v/>
      </c>
      <c r="K870" s="12" t="str">
        <f aca="false">IF(C870="","",IFERROR(INDEX(Recipes!$C:$C,MATCH(C870,Recipes!$A:$A,0)),""))</f>
        <v/>
      </c>
      <c r="L870" s="12" t="str">
        <f aca="false">IF(AND(A870='Grocery List'!$B$3,E870="Yes"),COUNTIFS($A$4:A870,'Grocery List'!$B$3,$E$4:E870,"Yes"),"")</f>
        <v/>
      </c>
    </row>
    <row r="871" customFormat="false" ht="15" hidden="false" customHeight="false" outlineLevel="0" collapsed="false">
      <c r="A871" s="16"/>
      <c r="D871" s="12" t="str">
        <f aca="false">IF(C871="","",IFERROR(INDEX(Recipes!$B:$B,MATCH(C871,Recipes!$A:$A,0)),"⚠ unknown recipe_id"))</f>
        <v/>
      </c>
      <c r="K871" s="12" t="str">
        <f aca="false">IF(C871="","",IFERROR(INDEX(Recipes!$C:$C,MATCH(C871,Recipes!$A:$A,0)),""))</f>
        <v/>
      </c>
      <c r="L871" s="12" t="str">
        <f aca="false">IF(AND(A871='Grocery List'!$B$3,E871="Yes"),COUNTIFS($A$4:A871,'Grocery List'!$B$3,$E$4:E871,"Yes"),"")</f>
        <v/>
      </c>
    </row>
    <row r="872" customFormat="false" ht="15" hidden="false" customHeight="false" outlineLevel="0" collapsed="false">
      <c r="A872" s="16"/>
      <c r="D872" s="12" t="str">
        <f aca="false">IF(C872="","",IFERROR(INDEX(Recipes!$B:$B,MATCH(C872,Recipes!$A:$A,0)),"⚠ unknown recipe_id"))</f>
        <v/>
      </c>
      <c r="K872" s="12" t="str">
        <f aca="false">IF(C872="","",IFERROR(INDEX(Recipes!$C:$C,MATCH(C872,Recipes!$A:$A,0)),""))</f>
        <v/>
      </c>
      <c r="L872" s="12" t="str">
        <f aca="false">IF(AND(A872='Grocery List'!$B$3,E872="Yes"),COUNTIFS($A$4:A872,'Grocery List'!$B$3,$E$4:E872,"Yes"),"")</f>
        <v/>
      </c>
    </row>
    <row r="873" customFormat="false" ht="15" hidden="false" customHeight="false" outlineLevel="0" collapsed="false">
      <c r="A873" s="16"/>
      <c r="D873" s="12" t="str">
        <f aca="false">IF(C873="","",IFERROR(INDEX(Recipes!$B:$B,MATCH(C873,Recipes!$A:$A,0)),"⚠ unknown recipe_id"))</f>
        <v/>
      </c>
      <c r="K873" s="12" t="str">
        <f aca="false">IF(C873="","",IFERROR(INDEX(Recipes!$C:$C,MATCH(C873,Recipes!$A:$A,0)),""))</f>
        <v/>
      </c>
      <c r="L873" s="12" t="str">
        <f aca="false">IF(AND(A873='Grocery List'!$B$3,E873="Yes"),COUNTIFS($A$4:A873,'Grocery List'!$B$3,$E$4:E873,"Yes"),"")</f>
        <v/>
      </c>
    </row>
    <row r="874" customFormat="false" ht="15" hidden="false" customHeight="false" outlineLevel="0" collapsed="false">
      <c r="A874" s="16"/>
      <c r="D874" s="12" t="str">
        <f aca="false">IF(C874="","",IFERROR(INDEX(Recipes!$B:$B,MATCH(C874,Recipes!$A:$A,0)),"⚠ unknown recipe_id"))</f>
        <v/>
      </c>
      <c r="K874" s="12" t="str">
        <f aca="false">IF(C874="","",IFERROR(INDEX(Recipes!$C:$C,MATCH(C874,Recipes!$A:$A,0)),""))</f>
        <v/>
      </c>
      <c r="L874" s="12" t="str">
        <f aca="false">IF(AND(A874='Grocery List'!$B$3,E874="Yes"),COUNTIFS($A$4:A874,'Grocery List'!$B$3,$E$4:E874,"Yes"),"")</f>
        <v/>
      </c>
    </row>
    <row r="875" customFormat="false" ht="15" hidden="false" customHeight="false" outlineLevel="0" collapsed="false">
      <c r="A875" s="16"/>
      <c r="D875" s="12" t="str">
        <f aca="false">IF(C875="","",IFERROR(INDEX(Recipes!$B:$B,MATCH(C875,Recipes!$A:$A,0)),"⚠ unknown recipe_id"))</f>
        <v/>
      </c>
      <c r="K875" s="12" t="str">
        <f aca="false">IF(C875="","",IFERROR(INDEX(Recipes!$C:$C,MATCH(C875,Recipes!$A:$A,0)),""))</f>
        <v/>
      </c>
      <c r="L875" s="12" t="str">
        <f aca="false">IF(AND(A875='Grocery List'!$B$3,E875="Yes"),COUNTIFS($A$4:A875,'Grocery List'!$B$3,$E$4:E875,"Yes"),"")</f>
        <v/>
      </c>
    </row>
    <row r="876" customFormat="false" ht="15" hidden="false" customHeight="false" outlineLevel="0" collapsed="false">
      <c r="A876" s="16"/>
      <c r="D876" s="12" t="str">
        <f aca="false">IF(C876="","",IFERROR(INDEX(Recipes!$B:$B,MATCH(C876,Recipes!$A:$A,0)),"⚠ unknown recipe_id"))</f>
        <v/>
      </c>
      <c r="K876" s="12" t="str">
        <f aca="false">IF(C876="","",IFERROR(INDEX(Recipes!$C:$C,MATCH(C876,Recipes!$A:$A,0)),""))</f>
        <v/>
      </c>
      <c r="L876" s="12" t="str">
        <f aca="false">IF(AND(A876='Grocery List'!$B$3,E876="Yes"),COUNTIFS($A$4:A876,'Grocery List'!$B$3,$E$4:E876,"Yes"),"")</f>
        <v/>
      </c>
    </row>
    <row r="877" customFormat="false" ht="15" hidden="false" customHeight="false" outlineLevel="0" collapsed="false">
      <c r="A877" s="16"/>
      <c r="D877" s="12" t="str">
        <f aca="false">IF(C877="","",IFERROR(INDEX(Recipes!$B:$B,MATCH(C877,Recipes!$A:$A,0)),"⚠ unknown recipe_id"))</f>
        <v/>
      </c>
      <c r="K877" s="12" t="str">
        <f aca="false">IF(C877="","",IFERROR(INDEX(Recipes!$C:$C,MATCH(C877,Recipes!$A:$A,0)),""))</f>
        <v/>
      </c>
      <c r="L877" s="12" t="str">
        <f aca="false">IF(AND(A877='Grocery List'!$B$3,E877="Yes"),COUNTIFS($A$4:A877,'Grocery List'!$B$3,$E$4:E877,"Yes"),"")</f>
        <v/>
      </c>
    </row>
    <row r="878" customFormat="false" ht="15" hidden="false" customHeight="false" outlineLevel="0" collapsed="false">
      <c r="A878" s="16"/>
      <c r="D878" s="12" t="str">
        <f aca="false">IF(C878="","",IFERROR(INDEX(Recipes!$B:$B,MATCH(C878,Recipes!$A:$A,0)),"⚠ unknown recipe_id"))</f>
        <v/>
      </c>
      <c r="K878" s="12" t="str">
        <f aca="false">IF(C878="","",IFERROR(INDEX(Recipes!$C:$C,MATCH(C878,Recipes!$A:$A,0)),""))</f>
        <v/>
      </c>
      <c r="L878" s="12" t="str">
        <f aca="false">IF(AND(A878='Grocery List'!$B$3,E878="Yes"),COUNTIFS($A$4:A878,'Grocery List'!$B$3,$E$4:E878,"Yes"),"")</f>
        <v/>
      </c>
    </row>
    <row r="879" customFormat="false" ht="15" hidden="false" customHeight="false" outlineLevel="0" collapsed="false">
      <c r="A879" s="16"/>
      <c r="D879" s="12" t="str">
        <f aca="false">IF(C879="","",IFERROR(INDEX(Recipes!$B:$B,MATCH(C879,Recipes!$A:$A,0)),"⚠ unknown recipe_id"))</f>
        <v/>
      </c>
      <c r="K879" s="12" t="str">
        <f aca="false">IF(C879="","",IFERROR(INDEX(Recipes!$C:$C,MATCH(C879,Recipes!$A:$A,0)),""))</f>
        <v/>
      </c>
      <c r="L879" s="12" t="str">
        <f aca="false">IF(AND(A879='Grocery List'!$B$3,E879="Yes"),COUNTIFS($A$4:A879,'Grocery List'!$B$3,$E$4:E879,"Yes"),"")</f>
        <v/>
      </c>
    </row>
    <row r="880" customFormat="false" ht="15" hidden="false" customHeight="false" outlineLevel="0" collapsed="false">
      <c r="A880" s="16"/>
      <c r="D880" s="12" t="str">
        <f aca="false">IF(C880="","",IFERROR(INDEX(Recipes!$B:$B,MATCH(C880,Recipes!$A:$A,0)),"⚠ unknown recipe_id"))</f>
        <v/>
      </c>
      <c r="K880" s="12" t="str">
        <f aca="false">IF(C880="","",IFERROR(INDEX(Recipes!$C:$C,MATCH(C880,Recipes!$A:$A,0)),""))</f>
        <v/>
      </c>
      <c r="L880" s="12" t="str">
        <f aca="false">IF(AND(A880='Grocery List'!$B$3,E880="Yes"),COUNTIFS($A$4:A880,'Grocery List'!$B$3,$E$4:E880,"Yes"),"")</f>
        <v/>
      </c>
    </row>
    <row r="881" customFormat="false" ht="15" hidden="false" customHeight="false" outlineLevel="0" collapsed="false">
      <c r="A881" s="16"/>
      <c r="D881" s="12" t="str">
        <f aca="false">IF(C881="","",IFERROR(INDEX(Recipes!$B:$B,MATCH(C881,Recipes!$A:$A,0)),"⚠ unknown recipe_id"))</f>
        <v/>
      </c>
      <c r="K881" s="12" t="str">
        <f aca="false">IF(C881="","",IFERROR(INDEX(Recipes!$C:$C,MATCH(C881,Recipes!$A:$A,0)),""))</f>
        <v/>
      </c>
      <c r="L881" s="12" t="str">
        <f aca="false">IF(AND(A881='Grocery List'!$B$3,E881="Yes"),COUNTIFS($A$4:A881,'Grocery List'!$B$3,$E$4:E881,"Yes"),"")</f>
        <v/>
      </c>
    </row>
    <row r="882" customFormat="false" ht="15" hidden="false" customHeight="false" outlineLevel="0" collapsed="false">
      <c r="A882" s="16"/>
      <c r="D882" s="12" t="str">
        <f aca="false">IF(C882="","",IFERROR(INDEX(Recipes!$B:$B,MATCH(C882,Recipes!$A:$A,0)),"⚠ unknown recipe_id"))</f>
        <v/>
      </c>
      <c r="K882" s="12" t="str">
        <f aca="false">IF(C882="","",IFERROR(INDEX(Recipes!$C:$C,MATCH(C882,Recipes!$A:$A,0)),""))</f>
        <v/>
      </c>
      <c r="L882" s="12" t="str">
        <f aca="false">IF(AND(A882='Grocery List'!$B$3,E882="Yes"),COUNTIFS($A$4:A882,'Grocery List'!$B$3,$E$4:E882,"Yes"),"")</f>
        <v/>
      </c>
    </row>
    <row r="883" customFormat="false" ht="15" hidden="false" customHeight="false" outlineLevel="0" collapsed="false">
      <c r="A883" s="16"/>
      <c r="D883" s="12" t="str">
        <f aca="false">IF(C883="","",IFERROR(INDEX(Recipes!$B:$B,MATCH(C883,Recipes!$A:$A,0)),"⚠ unknown recipe_id"))</f>
        <v/>
      </c>
      <c r="K883" s="12" t="str">
        <f aca="false">IF(C883="","",IFERROR(INDEX(Recipes!$C:$C,MATCH(C883,Recipes!$A:$A,0)),""))</f>
        <v/>
      </c>
      <c r="L883" s="12" t="str">
        <f aca="false">IF(AND(A883='Grocery List'!$B$3,E883="Yes"),COUNTIFS($A$4:A883,'Grocery List'!$B$3,$E$4:E883,"Yes"),"")</f>
        <v/>
      </c>
    </row>
    <row r="884" customFormat="false" ht="15" hidden="false" customHeight="false" outlineLevel="0" collapsed="false">
      <c r="A884" s="16"/>
      <c r="D884" s="12" t="str">
        <f aca="false">IF(C884="","",IFERROR(INDEX(Recipes!$B:$B,MATCH(C884,Recipes!$A:$A,0)),"⚠ unknown recipe_id"))</f>
        <v/>
      </c>
      <c r="K884" s="12" t="str">
        <f aca="false">IF(C884="","",IFERROR(INDEX(Recipes!$C:$C,MATCH(C884,Recipes!$A:$A,0)),""))</f>
        <v/>
      </c>
      <c r="L884" s="12" t="str">
        <f aca="false">IF(AND(A884='Grocery List'!$B$3,E884="Yes"),COUNTIFS($A$4:A884,'Grocery List'!$B$3,$E$4:E884,"Yes"),"")</f>
        <v/>
      </c>
    </row>
    <row r="885" customFormat="false" ht="15" hidden="false" customHeight="false" outlineLevel="0" collapsed="false">
      <c r="A885" s="16"/>
      <c r="D885" s="12" t="str">
        <f aca="false">IF(C885="","",IFERROR(INDEX(Recipes!$B:$B,MATCH(C885,Recipes!$A:$A,0)),"⚠ unknown recipe_id"))</f>
        <v/>
      </c>
      <c r="K885" s="12" t="str">
        <f aca="false">IF(C885="","",IFERROR(INDEX(Recipes!$C:$C,MATCH(C885,Recipes!$A:$A,0)),""))</f>
        <v/>
      </c>
      <c r="L885" s="12" t="str">
        <f aca="false">IF(AND(A885='Grocery List'!$B$3,E885="Yes"),COUNTIFS($A$4:A885,'Grocery List'!$B$3,$E$4:E885,"Yes"),"")</f>
        <v/>
      </c>
    </row>
    <row r="886" customFormat="false" ht="15" hidden="false" customHeight="false" outlineLevel="0" collapsed="false">
      <c r="A886" s="16"/>
      <c r="D886" s="12" t="str">
        <f aca="false">IF(C886="","",IFERROR(INDEX(Recipes!$B:$B,MATCH(C886,Recipes!$A:$A,0)),"⚠ unknown recipe_id"))</f>
        <v/>
      </c>
      <c r="K886" s="12" t="str">
        <f aca="false">IF(C886="","",IFERROR(INDEX(Recipes!$C:$C,MATCH(C886,Recipes!$A:$A,0)),""))</f>
        <v/>
      </c>
      <c r="L886" s="12" t="str">
        <f aca="false">IF(AND(A886='Grocery List'!$B$3,E886="Yes"),COUNTIFS($A$4:A886,'Grocery List'!$B$3,$E$4:E886,"Yes"),"")</f>
        <v/>
      </c>
    </row>
    <row r="887" customFormat="false" ht="15" hidden="false" customHeight="false" outlineLevel="0" collapsed="false">
      <c r="A887" s="16"/>
      <c r="D887" s="12" t="str">
        <f aca="false">IF(C887="","",IFERROR(INDEX(Recipes!$B:$B,MATCH(C887,Recipes!$A:$A,0)),"⚠ unknown recipe_id"))</f>
        <v/>
      </c>
      <c r="K887" s="12" t="str">
        <f aca="false">IF(C887="","",IFERROR(INDEX(Recipes!$C:$C,MATCH(C887,Recipes!$A:$A,0)),""))</f>
        <v/>
      </c>
      <c r="L887" s="12" t="str">
        <f aca="false">IF(AND(A887='Grocery List'!$B$3,E887="Yes"),COUNTIFS($A$4:A887,'Grocery List'!$B$3,$E$4:E887,"Yes"),"")</f>
        <v/>
      </c>
    </row>
    <row r="888" customFormat="false" ht="15" hidden="false" customHeight="false" outlineLevel="0" collapsed="false">
      <c r="A888" s="16"/>
      <c r="D888" s="12" t="str">
        <f aca="false">IF(C888="","",IFERROR(INDEX(Recipes!$B:$B,MATCH(C888,Recipes!$A:$A,0)),"⚠ unknown recipe_id"))</f>
        <v/>
      </c>
      <c r="K888" s="12" t="str">
        <f aca="false">IF(C888="","",IFERROR(INDEX(Recipes!$C:$C,MATCH(C888,Recipes!$A:$A,0)),""))</f>
        <v/>
      </c>
      <c r="L888" s="12" t="str">
        <f aca="false">IF(AND(A888='Grocery List'!$B$3,E888="Yes"),COUNTIFS($A$4:A888,'Grocery List'!$B$3,$E$4:E888,"Yes"),"")</f>
        <v/>
      </c>
    </row>
    <row r="889" customFormat="false" ht="15" hidden="false" customHeight="false" outlineLevel="0" collapsed="false">
      <c r="A889" s="16"/>
      <c r="D889" s="12" t="str">
        <f aca="false">IF(C889="","",IFERROR(INDEX(Recipes!$B:$B,MATCH(C889,Recipes!$A:$A,0)),"⚠ unknown recipe_id"))</f>
        <v/>
      </c>
      <c r="K889" s="12" t="str">
        <f aca="false">IF(C889="","",IFERROR(INDEX(Recipes!$C:$C,MATCH(C889,Recipes!$A:$A,0)),""))</f>
        <v/>
      </c>
      <c r="L889" s="12" t="str">
        <f aca="false">IF(AND(A889='Grocery List'!$B$3,E889="Yes"),COUNTIFS($A$4:A889,'Grocery List'!$B$3,$E$4:E889,"Yes"),"")</f>
        <v/>
      </c>
    </row>
    <row r="890" customFormat="false" ht="15" hidden="false" customHeight="false" outlineLevel="0" collapsed="false">
      <c r="A890" s="16"/>
      <c r="D890" s="12" t="str">
        <f aca="false">IF(C890="","",IFERROR(INDEX(Recipes!$B:$B,MATCH(C890,Recipes!$A:$A,0)),"⚠ unknown recipe_id"))</f>
        <v/>
      </c>
      <c r="K890" s="12" t="str">
        <f aca="false">IF(C890="","",IFERROR(INDEX(Recipes!$C:$C,MATCH(C890,Recipes!$A:$A,0)),""))</f>
        <v/>
      </c>
      <c r="L890" s="12" t="str">
        <f aca="false">IF(AND(A890='Grocery List'!$B$3,E890="Yes"),COUNTIFS($A$4:A890,'Grocery List'!$B$3,$E$4:E890,"Yes"),"")</f>
        <v/>
      </c>
    </row>
    <row r="891" customFormat="false" ht="15" hidden="false" customHeight="false" outlineLevel="0" collapsed="false">
      <c r="A891" s="16"/>
      <c r="D891" s="12" t="str">
        <f aca="false">IF(C891="","",IFERROR(INDEX(Recipes!$B:$B,MATCH(C891,Recipes!$A:$A,0)),"⚠ unknown recipe_id"))</f>
        <v/>
      </c>
      <c r="K891" s="12" t="str">
        <f aca="false">IF(C891="","",IFERROR(INDEX(Recipes!$C:$C,MATCH(C891,Recipes!$A:$A,0)),""))</f>
        <v/>
      </c>
      <c r="L891" s="12" t="str">
        <f aca="false">IF(AND(A891='Grocery List'!$B$3,E891="Yes"),COUNTIFS($A$4:A891,'Grocery List'!$B$3,$E$4:E891,"Yes"),"")</f>
        <v/>
      </c>
    </row>
    <row r="892" customFormat="false" ht="15" hidden="false" customHeight="false" outlineLevel="0" collapsed="false">
      <c r="A892" s="16"/>
      <c r="D892" s="12" t="str">
        <f aca="false">IF(C892="","",IFERROR(INDEX(Recipes!$B:$B,MATCH(C892,Recipes!$A:$A,0)),"⚠ unknown recipe_id"))</f>
        <v/>
      </c>
      <c r="K892" s="12" t="str">
        <f aca="false">IF(C892="","",IFERROR(INDEX(Recipes!$C:$C,MATCH(C892,Recipes!$A:$A,0)),""))</f>
        <v/>
      </c>
      <c r="L892" s="12" t="str">
        <f aca="false">IF(AND(A892='Grocery List'!$B$3,E892="Yes"),COUNTIFS($A$4:A892,'Grocery List'!$B$3,$E$4:E892,"Yes"),"")</f>
        <v/>
      </c>
    </row>
    <row r="893" customFormat="false" ht="15" hidden="false" customHeight="false" outlineLevel="0" collapsed="false">
      <c r="A893" s="16"/>
      <c r="D893" s="12" t="str">
        <f aca="false">IF(C893="","",IFERROR(INDEX(Recipes!$B:$B,MATCH(C893,Recipes!$A:$A,0)),"⚠ unknown recipe_id"))</f>
        <v/>
      </c>
      <c r="K893" s="12" t="str">
        <f aca="false">IF(C893="","",IFERROR(INDEX(Recipes!$C:$C,MATCH(C893,Recipes!$A:$A,0)),""))</f>
        <v/>
      </c>
      <c r="L893" s="12" t="str">
        <f aca="false">IF(AND(A893='Grocery List'!$B$3,E893="Yes"),COUNTIFS($A$4:A893,'Grocery List'!$B$3,$E$4:E893,"Yes"),"")</f>
        <v/>
      </c>
    </row>
    <row r="894" customFormat="false" ht="15" hidden="false" customHeight="false" outlineLevel="0" collapsed="false">
      <c r="A894" s="16"/>
      <c r="D894" s="12" t="str">
        <f aca="false">IF(C894="","",IFERROR(INDEX(Recipes!$B:$B,MATCH(C894,Recipes!$A:$A,0)),"⚠ unknown recipe_id"))</f>
        <v/>
      </c>
      <c r="K894" s="12" t="str">
        <f aca="false">IF(C894="","",IFERROR(INDEX(Recipes!$C:$C,MATCH(C894,Recipes!$A:$A,0)),""))</f>
        <v/>
      </c>
      <c r="L894" s="12" t="str">
        <f aca="false">IF(AND(A894='Grocery List'!$B$3,E894="Yes"),COUNTIFS($A$4:A894,'Grocery List'!$B$3,$E$4:E894,"Yes"),"")</f>
        <v/>
      </c>
    </row>
    <row r="895" customFormat="false" ht="15" hidden="false" customHeight="false" outlineLevel="0" collapsed="false">
      <c r="A895" s="16"/>
      <c r="D895" s="12" t="str">
        <f aca="false">IF(C895="","",IFERROR(INDEX(Recipes!$B:$B,MATCH(C895,Recipes!$A:$A,0)),"⚠ unknown recipe_id"))</f>
        <v/>
      </c>
      <c r="K895" s="12" t="str">
        <f aca="false">IF(C895="","",IFERROR(INDEX(Recipes!$C:$C,MATCH(C895,Recipes!$A:$A,0)),""))</f>
        <v/>
      </c>
      <c r="L895" s="12" t="str">
        <f aca="false">IF(AND(A895='Grocery List'!$B$3,E895="Yes"),COUNTIFS($A$4:A895,'Grocery List'!$B$3,$E$4:E895,"Yes"),"")</f>
        <v/>
      </c>
    </row>
    <row r="896" customFormat="false" ht="15" hidden="false" customHeight="false" outlineLevel="0" collapsed="false">
      <c r="A896" s="16"/>
      <c r="D896" s="12" t="str">
        <f aca="false">IF(C896="","",IFERROR(INDEX(Recipes!$B:$B,MATCH(C896,Recipes!$A:$A,0)),"⚠ unknown recipe_id"))</f>
        <v/>
      </c>
      <c r="K896" s="12" t="str">
        <f aca="false">IF(C896="","",IFERROR(INDEX(Recipes!$C:$C,MATCH(C896,Recipes!$A:$A,0)),""))</f>
        <v/>
      </c>
      <c r="L896" s="12" t="str">
        <f aca="false">IF(AND(A896='Grocery List'!$B$3,E896="Yes"),COUNTIFS($A$4:A896,'Grocery List'!$B$3,$E$4:E896,"Yes"),"")</f>
        <v/>
      </c>
    </row>
    <row r="897" customFormat="false" ht="15" hidden="false" customHeight="false" outlineLevel="0" collapsed="false">
      <c r="A897" s="16"/>
      <c r="D897" s="12" t="str">
        <f aca="false">IF(C897="","",IFERROR(INDEX(Recipes!$B:$B,MATCH(C897,Recipes!$A:$A,0)),"⚠ unknown recipe_id"))</f>
        <v/>
      </c>
      <c r="K897" s="12" t="str">
        <f aca="false">IF(C897="","",IFERROR(INDEX(Recipes!$C:$C,MATCH(C897,Recipes!$A:$A,0)),""))</f>
        <v/>
      </c>
      <c r="L897" s="12" t="str">
        <f aca="false">IF(AND(A897='Grocery List'!$B$3,E897="Yes"),COUNTIFS($A$4:A897,'Grocery List'!$B$3,$E$4:E897,"Yes"),"")</f>
        <v/>
      </c>
    </row>
    <row r="898" customFormat="false" ht="15" hidden="false" customHeight="false" outlineLevel="0" collapsed="false">
      <c r="A898" s="16"/>
      <c r="D898" s="12" t="str">
        <f aca="false">IF(C898="","",IFERROR(INDEX(Recipes!$B:$B,MATCH(C898,Recipes!$A:$A,0)),"⚠ unknown recipe_id"))</f>
        <v/>
      </c>
      <c r="K898" s="12" t="str">
        <f aca="false">IF(C898="","",IFERROR(INDEX(Recipes!$C:$C,MATCH(C898,Recipes!$A:$A,0)),""))</f>
        <v/>
      </c>
      <c r="L898" s="12" t="str">
        <f aca="false">IF(AND(A898='Grocery List'!$B$3,E898="Yes"),COUNTIFS($A$4:A898,'Grocery List'!$B$3,$E$4:E898,"Yes"),"")</f>
        <v/>
      </c>
    </row>
    <row r="899" customFormat="false" ht="15" hidden="false" customHeight="false" outlineLevel="0" collapsed="false">
      <c r="A899" s="16"/>
      <c r="D899" s="12" t="str">
        <f aca="false">IF(C899="","",IFERROR(INDEX(Recipes!$B:$B,MATCH(C899,Recipes!$A:$A,0)),"⚠ unknown recipe_id"))</f>
        <v/>
      </c>
      <c r="K899" s="12" t="str">
        <f aca="false">IF(C899="","",IFERROR(INDEX(Recipes!$C:$C,MATCH(C899,Recipes!$A:$A,0)),""))</f>
        <v/>
      </c>
      <c r="L899" s="12" t="str">
        <f aca="false">IF(AND(A899='Grocery List'!$B$3,E899="Yes"),COUNTIFS($A$4:A899,'Grocery List'!$B$3,$E$4:E899,"Yes"),"")</f>
        <v/>
      </c>
    </row>
    <row r="900" customFormat="false" ht="15" hidden="false" customHeight="false" outlineLevel="0" collapsed="false">
      <c r="A900" s="16"/>
      <c r="D900" s="12" t="str">
        <f aca="false">IF(C900="","",IFERROR(INDEX(Recipes!$B:$B,MATCH(C900,Recipes!$A:$A,0)),"⚠ unknown recipe_id"))</f>
        <v/>
      </c>
      <c r="K900" s="12" t="str">
        <f aca="false">IF(C900="","",IFERROR(INDEX(Recipes!$C:$C,MATCH(C900,Recipes!$A:$A,0)),""))</f>
        <v/>
      </c>
      <c r="L900" s="12" t="str">
        <f aca="false">IF(AND(A900='Grocery List'!$B$3,E900="Yes"),COUNTIFS($A$4:A900,'Grocery List'!$B$3,$E$4:E900,"Yes"),"")</f>
        <v/>
      </c>
    </row>
    <row r="901" customFormat="false" ht="15" hidden="false" customHeight="false" outlineLevel="0" collapsed="false">
      <c r="A901" s="16"/>
      <c r="D901" s="12" t="str">
        <f aca="false">IF(C901="","",IFERROR(INDEX(Recipes!$B:$B,MATCH(C901,Recipes!$A:$A,0)),"⚠ unknown recipe_id"))</f>
        <v/>
      </c>
      <c r="K901" s="12" t="str">
        <f aca="false">IF(C901="","",IFERROR(INDEX(Recipes!$C:$C,MATCH(C901,Recipes!$A:$A,0)),""))</f>
        <v/>
      </c>
      <c r="L901" s="12" t="str">
        <f aca="false">IF(AND(A901='Grocery List'!$B$3,E901="Yes"),COUNTIFS($A$4:A901,'Grocery List'!$B$3,$E$4:E901,"Yes"),"")</f>
        <v/>
      </c>
    </row>
    <row r="902" customFormat="false" ht="15" hidden="false" customHeight="false" outlineLevel="0" collapsed="false">
      <c r="A902" s="16"/>
      <c r="D902" s="12" t="str">
        <f aca="false">IF(C902="","",IFERROR(INDEX(Recipes!$B:$B,MATCH(C902,Recipes!$A:$A,0)),"⚠ unknown recipe_id"))</f>
        <v/>
      </c>
      <c r="K902" s="12" t="str">
        <f aca="false">IF(C902="","",IFERROR(INDEX(Recipes!$C:$C,MATCH(C902,Recipes!$A:$A,0)),""))</f>
        <v/>
      </c>
      <c r="L902" s="12" t="str">
        <f aca="false">IF(AND(A902='Grocery List'!$B$3,E902="Yes"),COUNTIFS($A$4:A902,'Grocery List'!$B$3,$E$4:E902,"Yes"),"")</f>
        <v/>
      </c>
    </row>
    <row r="903" customFormat="false" ht="15" hidden="false" customHeight="false" outlineLevel="0" collapsed="false">
      <c r="A903" s="16"/>
      <c r="D903" s="12" t="str">
        <f aca="false">IF(C903="","",IFERROR(INDEX(Recipes!$B:$B,MATCH(C903,Recipes!$A:$A,0)),"⚠ unknown recipe_id"))</f>
        <v/>
      </c>
      <c r="K903" s="12" t="str">
        <f aca="false">IF(C903="","",IFERROR(INDEX(Recipes!$C:$C,MATCH(C903,Recipes!$A:$A,0)),""))</f>
        <v/>
      </c>
      <c r="L903" s="12" t="str">
        <f aca="false">IF(AND(A903='Grocery List'!$B$3,E903="Yes"),COUNTIFS($A$4:A903,'Grocery List'!$B$3,$E$4:E903,"Yes"),"")</f>
        <v/>
      </c>
    </row>
    <row r="904" customFormat="false" ht="15" hidden="false" customHeight="false" outlineLevel="0" collapsed="false">
      <c r="A904" s="16"/>
      <c r="D904" s="12" t="str">
        <f aca="false">IF(C904="","",IFERROR(INDEX(Recipes!$B:$B,MATCH(C904,Recipes!$A:$A,0)),"⚠ unknown recipe_id"))</f>
        <v/>
      </c>
      <c r="K904" s="12" t="str">
        <f aca="false">IF(C904="","",IFERROR(INDEX(Recipes!$C:$C,MATCH(C904,Recipes!$A:$A,0)),""))</f>
        <v/>
      </c>
      <c r="L904" s="12" t="str">
        <f aca="false">IF(AND(A904='Grocery List'!$B$3,E904="Yes"),COUNTIFS($A$4:A904,'Grocery List'!$B$3,$E$4:E904,"Yes"),"")</f>
        <v/>
      </c>
    </row>
    <row r="905" customFormat="false" ht="15" hidden="false" customHeight="false" outlineLevel="0" collapsed="false">
      <c r="A905" s="16"/>
      <c r="D905" s="12" t="str">
        <f aca="false">IF(C905="","",IFERROR(INDEX(Recipes!$B:$B,MATCH(C905,Recipes!$A:$A,0)),"⚠ unknown recipe_id"))</f>
        <v/>
      </c>
      <c r="K905" s="12" t="str">
        <f aca="false">IF(C905="","",IFERROR(INDEX(Recipes!$C:$C,MATCH(C905,Recipes!$A:$A,0)),""))</f>
        <v/>
      </c>
      <c r="L905" s="12" t="str">
        <f aca="false">IF(AND(A905='Grocery List'!$B$3,E905="Yes"),COUNTIFS($A$4:A905,'Grocery List'!$B$3,$E$4:E905,"Yes"),"")</f>
        <v/>
      </c>
    </row>
    <row r="906" customFormat="false" ht="15" hidden="false" customHeight="false" outlineLevel="0" collapsed="false">
      <c r="A906" s="16"/>
      <c r="D906" s="12" t="str">
        <f aca="false">IF(C906="","",IFERROR(INDEX(Recipes!$B:$B,MATCH(C906,Recipes!$A:$A,0)),"⚠ unknown recipe_id"))</f>
        <v/>
      </c>
      <c r="K906" s="12" t="str">
        <f aca="false">IF(C906="","",IFERROR(INDEX(Recipes!$C:$C,MATCH(C906,Recipes!$A:$A,0)),""))</f>
        <v/>
      </c>
      <c r="L906" s="12" t="str">
        <f aca="false">IF(AND(A906='Grocery List'!$B$3,E906="Yes"),COUNTIFS($A$4:A906,'Grocery List'!$B$3,$E$4:E906,"Yes"),"")</f>
        <v/>
      </c>
    </row>
    <row r="907" customFormat="false" ht="15" hidden="false" customHeight="false" outlineLevel="0" collapsed="false">
      <c r="A907" s="16"/>
      <c r="D907" s="12" t="str">
        <f aca="false">IF(C907="","",IFERROR(INDEX(Recipes!$B:$B,MATCH(C907,Recipes!$A:$A,0)),"⚠ unknown recipe_id"))</f>
        <v/>
      </c>
      <c r="K907" s="12" t="str">
        <f aca="false">IF(C907="","",IFERROR(INDEX(Recipes!$C:$C,MATCH(C907,Recipes!$A:$A,0)),""))</f>
        <v/>
      </c>
      <c r="L907" s="12" t="str">
        <f aca="false">IF(AND(A907='Grocery List'!$B$3,E907="Yes"),COUNTIFS($A$4:A907,'Grocery List'!$B$3,$E$4:E907,"Yes"),"")</f>
        <v/>
      </c>
    </row>
    <row r="908" customFormat="false" ht="15" hidden="false" customHeight="false" outlineLevel="0" collapsed="false">
      <c r="A908" s="16"/>
      <c r="D908" s="12" t="str">
        <f aca="false">IF(C908="","",IFERROR(INDEX(Recipes!$B:$B,MATCH(C908,Recipes!$A:$A,0)),"⚠ unknown recipe_id"))</f>
        <v/>
      </c>
      <c r="K908" s="12" t="str">
        <f aca="false">IF(C908="","",IFERROR(INDEX(Recipes!$C:$C,MATCH(C908,Recipes!$A:$A,0)),""))</f>
        <v/>
      </c>
      <c r="L908" s="12" t="str">
        <f aca="false">IF(AND(A908='Grocery List'!$B$3,E908="Yes"),COUNTIFS($A$4:A908,'Grocery List'!$B$3,$E$4:E908,"Yes"),"")</f>
        <v/>
      </c>
    </row>
    <row r="909" customFormat="false" ht="15" hidden="false" customHeight="false" outlineLevel="0" collapsed="false">
      <c r="A909" s="16"/>
      <c r="D909" s="12" t="str">
        <f aca="false">IF(C909="","",IFERROR(INDEX(Recipes!$B:$B,MATCH(C909,Recipes!$A:$A,0)),"⚠ unknown recipe_id"))</f>
        <v/>
      </c>
      <c r="K909" s="12" t="str">
        <f aca="false">IF(C909="","",IFERROR(INDEX(Recipes!$C:$C,MATCH(C909,Recipes!$A:$A,0)),""))</f>
        <v/>
      </c>
      <c r="L909" s="12" t="str">
        <f aca="false">IF(AND(A909='Grocery List'!$B$3,E909="Yes"),COUNTIFS($A$4:A909,'Grocery List'!$B$3,$E$4:E909,"Yes"),"")</f>
        <v/>
      </c>
    </row>
    <row r="910" customFormat="false" ht="15" hidden="false" customHeight="false" outlineLevel="0" collapsed="false">
      <c r="A910" s="16"/>
      <c r="D910" s="12" t="str">
        <f aca="false">IF(C910="","",IFERROR(INDEX(Recipes!$B:$B,MATCH(C910,Recipes!$A:$A,0)),"⚠ unknown recipe_id"))</f>
        <v/>
      </c>
      <c r="K910" s="12" t="str">
        <f aca="false">IF(C910="","",IFERROR(INDEX(Recipes!$C:$C,MATCH(C910,Recipes!$A:$A,0)),""))</f>
        <v/>
      </c>
      <c r="L910" s="12" t="str">
        <f aca="false">IF(AND(A910='Grocery List'!$B$3,E910="Yes"),COUNTIFS($A$4:A910,'Grocery List'!$B$3,$E$4:E910,"Yes"),"")</f>
        <v/>
      </c>
    </row>
    <row r="911" customFormat="false" ht="15" hidden="false" customHeight="false" outlineLevel="0" collapsed="false">
      <c r="A911" s="16"/>
      <c r="D911" s="12" t="str">
        <f aca="false">IF(C911="","",IFERROR(INDEX(Recipes!$B:$B,MATCH(C911,Recipes!$A:$A,0)),"⚠ unknown recipe_id"))</f>
        <v/>
      </c>
      <c r="K911" s="12" t="str">
        <f aca="false">IF(C911="","",IFERROR(INDEX(Recipes!$C:$C,MATCH(C911,Recipes!$A:$A,0)),""))</f>
        <v/>
      </c>
      <c r="L911" s="12" t="str">
        <f aca="false">IF(AND(A911='Grocery List'!$B$3,E911="Yes"),COUNTIFS($A$4:A911,'Grocery List'!$B$3,$E$4:E911,"Yes"),"")</f>
        <v/>
      </c>
    </row>
    <row r="912" customFormat="false" ht="15" hidden="false" customHeight="false" outlineLevel="0" collapsed="false">
      <c r="A912" s="16"/>
      <c r="D912" s="12" t="str">
        <f aca="false">IF(C912="","",IFERROR(INDEX(Recipes!$B:$B,MATCH(C912,Recipes!$A:$A,0)),"⚠ unknown recipe_id"))</f>
        <v/>
      </c>
      <c r="K912" s="12" t="str">
        <f aca="false">IF(C912="","",IFERROR(INDEX(Recipes!$C:$C,MATCH(C912,Recipes!$A:$A,0)),""))</f>
        <v/>
      </c>
      <c r="L912" s="12" t="str">
        <f aca="false">IF(AND(A912='Grocery List'!$B$3,E912="Yes"),COUNTIFS($A$4:A912,'Grocery List'!$B$3,$E$4:E912,"Yes"),"")</f>
        <v/>
      </c>
    </row>
    <row r="913" customFormat="false" ht="15" hidden="false" customHeight="false" outlineLevel="0" collapsed="false">
      <c r="A913" s="16"/>
      <c r="D913" s="12" t="str">
        <f aca="false">IF(C913="","",IFERROR(INDEX(Recipes!$B:$B,MATCH(C913,Recipes!$A:$A,0)),"⚠ unknown recipe_id"))</f>
        <v/>
      </c>
      <c r="K913" s="12" t="str">
        <f aca="false">IF(C913="","",IFERROR(INDEX(Recipes!$C:$C,MATCH(C913,Recipes!$A:$A,0)),""))</f>
        <v/>
      </c>
      <c r="L913" s="12" t="str">
        <f aca="false">IF(AND(A913='Grocery List'!$B$3,E913="Yes"),COUNTIFS($A$4:A913,'Grocery List'!$B$3,$E$4:E913,"Yes"),"")</f>
        <v/>
      </c>
    </row>
    <row r="914" customFormat="false" ht="15" hidden="false" customHeight="false" outlineLevel="0" collapsed="false">
      <c r="A914" s="16"/>
      <c r="D914" s="12" t="str">
        <f aca="false">IF(C914="","",IFERROR(INDEX(Recipes!$B:$B,MATCH(C914,Recipes!$A:$A,0)),"⚠ unknown recipe_id"))</f>
        <v/>
      </c>
      <c r="K914" s="12" t="str">
        <f aca="false">IF(C914="","",IFERROR(INDEX(Recipes!$C:$C,MATCH(C914,Recipes!$A:$A,0)),""))</f>
        <v/>
      </c>
      <c r="L914" s="12" t="str">
        <f aca="false">IF(AND(A914='Grocery List'!$B$3,E914="Yes"),COUNTIFS($A$4:A914,'Grocery List'!$B$3,$E$4:E914,"Yes"),"")</f>
        <v/>
      </c>
    </row>
    <row r="915" customFormat="false" ht="15" hidden="false" customHeight="false" outlineLevel="0" collapsed="false">
      <c r="A915" s="16"/>
      <c r="D915" s="12" t="str">
        <f aca="false">IF(C915="","",IFERROR(INDEX(Recipes!$B:$B,MATCH(C915,Recipes!$A:$A,0)),"⚠ unknown recipe_id"))</f>
        <v/>
      </c>
      <c r="K915" s="12" t="str">
        <f aca="false">IF(C915="","",IFERROR(INDEX(Recipes!$C:$C,MATCH(C915,Recipes!$A:$A,0)),""))</f>
        <v/>
      </c>
      <c r="L915" s="12" t="str">
        <f aca="false">IF(AND(A915='Grocery List'!$B$3,E915="Yes"),COUNTIFS($A$4:A915,'Grocery List'!$B$3,$E$4:E915,"Yes"),"")</f>
        <v/>
      </c>
    </row>
    <row r="916" customFormat="false" ht="15" hidden="false" customHeight="false" outlineLevel="0" collapsed="false">
      <c r="A916" s="16"/>
      <c r="D916" s="12" t="str">
        <f aca="false">IF(C916="","",IFERROR(INDEX(Recipes!$B:$B,MATCH(C916,Recipes!$A:$A,0)),"⚠ unknown recipe_id"))</f>
        <v/>
      </c>
      <c r="K916" s="12" t="str">
        <f aca="false">IF(C916="","",IFERROR(INDEX(Recipes!$C:$C,MATCH(C916,Recipes!$A:$A,0)),""))</f>
        <v/>
      </c>
      <c r="L916" s="12" t="str">
        <f aca="false">IF(AND(A916='Grocery List'!$B$3,E916="Yes"),COUNTIFS($A$4:A916,'Grocery List'!$B$3,$E$4:E916,"Yes"),"")</f>
        <v/>
      </c>
    </row>
    <row r="917" customFormat="false" ht="15" hidden="false" customHeight="false" outlineLevel="0" collapsed="false">
      <c r="A917" s="16"/>
      <c r="D917" s="12" t="str">
        <f aca="false">IF(C917="","",IFERROR(INDEX(Recipes!$B:$B,MATCH(C917,Recipes!$A:$A,0)),"⚠ unknown recipe_id"))</f>
        <v/>
      </c>
      <c r="K917" s="12" t="str">
        <f aca="false">IF(C917="","",IFERROR(INDEX(Recipes!$C:$C,MATCH(C917,Recipes!$A:$A,0)),""))</f>
        <v/>
      </c>
      <c r="L917" s="12" t="str">
        <f aca="false">IF(AND(A917='Grocery List'!$B$3,E917="Yes"),COUNTIFS($A$4:A917,'Grocery List'!$B$3,$E$4:E917,"Yes"),"")</f>
        <v/>
      </c>
    </row>
    <row r="918" customFormat="false" ht="15" hidden="false" customHeight="false" outlineLevel="0" collapsed="false">
      <c r="A918" s="16"/>
      <c r="D918" s="12" t="str">
        <f aca="false">IF(C918="","",IFERROR(INDEX(Recipes!$B:$B,MATCH(C918,Recipes!$A:$A,0)),"⚠ unknown recipe_id"))</f>
        <v/>
      </c>
      <c r="K918" s="12" t="str">
        <f aca="false">IF(C918="","",IFERROR(INDEX(Recipes!$C:$C,MATCH(C918,Recipes!$A:$A,0)),""))</f>
        <v/>
      </c>
      <c r="L918" s="12" t="str">
        <f aca="false">IF(AND(A918='Grocery List'!$B$3,E918="Yes"),COUNTIFS($A$4:A918,'Grocery List'!$B$3,$E$4:E918,"Yes"),"")</f>
        <v/>
      </c>
    </row>
    <row r="919" customFormat="false" ht="15" hidden="false" customHeight="false" outlineLevel="0" collapsed="false">
      <c r="A919" s="16"/>
      <c r="D919" s="12" t="str">
        <f aca="false">IF(C919="","",IFERROR(INDEX(Recipes!$B:$B,MATCH(C919,Recipes!$A:$A,0)),"⚠ unknown recipe_id"))</f>
        <v/>
      </c>
      <c r="K919" s="12" t="str">
        <f aca="false">IF(C919="","",IFERROR(INDEX(Recipes!$C:$C,MATCH(C919,Recipes!$A:$A,0)),""))</f>
        <v/>
      </c>
      <c r="L919" s="12" t="str">
        <f aca="false">IF(AND(A919='Grocery List'!$B$3,E919="Yes"),COUNTIFS($A$4:A919,'Grocery List'!$B$3,$E$4:E919,"Yes"),"")</f>
        <v/>
      </c>
    </row>
    <row r="920" customFormat="false" ht="15" hidden="false" customHeight="false" outlineLevel="0" collapsed="false">
      <c r="A920" s="16"/>
      <c r="D920" s="12" t="str">
        <f aca="false">IF(C920="","",IFERROR(INDEX(Recipes!$B:$B,MATCH(C920,Recipes!$A:$A,0)),"⚠ unknown recipe_id"))</f>
        <v/>
      </c>
      <c r="K920" s="12" t="str">
        <f aca="false">IF(C920="","",IFERROR(INDEX(Recipes!$C:$C,MATCH(C920,Recipes!$A:$A,0)),""))</f>
        <v/>
      </c>
      <c r="L920" s="12" t="str">
        <f aca="false">IF(AND(A920='Grocery List'!$B$3,E920="Yes"),COUNTIFS($A$4:A920,'Grocery List'!$B$3,$E$4:E920,"Yes"),"")</f>
        <v/>
      </c>
    </row>
    <row r="921" customFormat="false" ht="15" hidden="false" customHeight="false" outlineLevel="0" collapsed="false">
      <c r="A921" s="16"/>
      <c r="D921" s="12" t="str">
        <f aca="false">IF(C921="","",IFERROR(INDEX(Recipes!$B:$B,MATCH(C921,Recipes!$A:$A,0)),"⚠ unknown recipe_id"))</f>
        <v/>
      </c>
      <c r="K921" s="12" t="str">
        <f aca="false">IF(C921="","",IFERROR(INDEX(Recipes!$C:$C,MATCH(C921,Recipes!$A:$A,0)),""))</f>
        <v/>
      </c>
      <c r="L921" s="12" t="str">
        <f aca="false">IF(AND(A921='Grocery List'!$B$3,E921="Yes"),COUNTIFS($A$4:A921,'Grocery List'!$B$3,$E$4:E921,"Yes"),"")</f>
        <v/>
      </c>
    </row>
    <row r="922" customFormat="false" ht="15" hidden="false" customHeight="false" outlineLevel="0" collapsed="false">
      <c r="A922" s="16"/>
      <c r="D922" s="12" t="str">
        <f aca="false">IF(C922="","",IFERROR(INDEX(Recipes!$B:$B,MATCH(C922,Recipes!$A:$A,0)),"⚠ unknown recipe_id"))</f>
        <v/>
      </c>
      <c r="K922" s="12" t="str">
        <f aca="false">IF(C922="","",IFERROR(INDEX(Recipes!$C:$C,MATCH(C922,Recipes!$A:$A,0)),""))</f>
        <v/>
      </c>
      <c r="L922" s="12" t="str">
        <f aca="false">IF(AND(A922='Grocery List'!$B$3,E922="Yes"),COUNTIFS($A$4:A922,'Grocery List'!$B$3,$E$4:E922,"Yes"),"")</f>
        <v/>
      </c>
    </row>
    <row r="923" customFormat="false" ht="15" hidden="false" customHeight="false" outlineLevel="0" collapsed="false">
      <c r="A923" s="16"/>
      <c r="D923" s="12" t="str">
        <f aca="false">IF(C923="","",IFERROR(INDEX(Recipes!$B:$B,MATCH(C923,Recipes!$A:$A,0)),"⚠ unknown recipe_id"))</f>
        <v/>
      </c>
      <c r="K923" s="12" t="str">
        <f aca="false">IF(C923="","",IFERROR(INDEX(Recipes!$C:$C,MATCH(C923,Recipes!$A:$A,0)),""))</f>
        <v/>
      </c>
      <c r="L923" s="12" t="str">
        <f aca="false">IF(AND(A923='Grocery List'!$B$3,E923="Yes"),COUNTIFS($A$4:A923,'Grocery List'!$B$3,$E$4:E923,"Yes"),"")</f>
        <v/>
      </c>
    </row>
    <row r="924" customFormat="false" ht="15" hidden="false" customHeight="false" outlineLevel="0" collapsed="false">
      <c r="A924" s="16"/>
      <c r="D924" s="12" t="str">
        <f aca="false">IF(C924="","",IFERROR(INDEX(Recipes!$B:$B,MATCH(C924,Recipes!$A:$A,0)),"⚠ unknown recipe_id"))</f>
        <v/>
      </c>
      <c r="K924" s="12" t="str">
        <f aca="false">IF(C924="","",IFERROR(INDEX(Recipes!$C:$C,MATCH(C924,Recipes!$A:$A,0)),""))</f>
        <v/>
      </c>
      <c r="L924" s="12" t="str">
        <f aca="false">IF(AND(A924='Grocery List'!$B$3,E924="Yes"),COUNTIFS($A$4:A924,'Grocery List'!$B$3,$E$4:E924,"Yes"),"")</f>
        <v/>
      </c>
    </row>
    <row r="925" customFormat="false" ht="15" hidden="false" customHeight="false" outlineLevel="0" collapsed="false">
      <c r="A925" s="16"/>
      <c r="D925" s="12" t="str">
        <f aca="false">IF(C925="","",IFERROR(INDEX(Recipes!$B:$B,MATCH(C925,Recipes!$A:$A,0)),"⚠ unknown recipe_id"))</f>
        <v/>
      </c>
      <c r="K925" s="12" t="str">
        <f aca="false">IF(C925="","",IFERROR(INDEX(Recipes!$C:$C,MATCH(C925,Recipes!$A:$A,0)),""))</f>
        <v/>
      </c>
      <c r="L925" s="12" t="str">
        <f aca="false">IF(AND(A925='Grocery List'!$B$3,E925="Yes"),COUNTIFS($A$4:A925,'Grocery List'!$B$3,$E$4:E925,"Yes"),"")</f>
        <v/>
      </c>
    </row>
    <row r="926" customFormat="false" ht="15" hidden="false" customHeight="false" outlineLevel="0" collapsed="false">
      <c r="A926" s="16"/>
      <c r="D926" s="12" t="str">
        <f aca="false">IF(C926="","",IFERROR(INDEX(Recipes!$B:$B,MATCH(C926,Recipes!$A:$A,0)),"⚠ unknown recipe_id"))</f>
        <v/>
      </c>
      <c r="K926" s="12" t="str">
        <f aca="false">IF(C926="","",IFERROR(INDEX(Recipes!$C:$C,MATCH(C926,Recipes!$A:$A,0)),""))</f>
        <v/>
      </c>
      <c r="L926" s="12" t="str">
        <f aca="false">IF(AND(A926='Grocery List'!$B$3,E926="Yes"),COUNTIFS($A$4:A926,'Grocery List'!$B$3,$E$4:E926,"Yes"),"")</f>
        <v/>
      </c>
    </row>
    <row r="927" customFormat="false" ht="15" hidden="false" customHeight="false" outlineLevel="0" collapsed="false">
      <c r="A927" s="16"/>
      <c r="D927" s="12" t="str">
        <f aca="false">IF(C927="","",IFERROR(INDEX(Recipes!$B:$B,MATCH(C927,Recipes!$A:$A,0)),"⚠ unknown recipe_id"))</f>
        <v/>
      </c>
      <c r="K927" s="12" t="str">
        <f aca="false">IF(C927="","",IFERROR(INDEX(Recipes!$C:$C,MATCH(C927,Recipes!$A:$A,0)),""))</f>
        <v/>
      </c>
      <c r="L927" s="12" t="str">
        <f aca="false">IF(AND(A927='Grocery List'!$B$3,E927="Yes"),COUNTIFS($A$4:A927,'Grocery List'!$B$3,$E$4:E927,"Yes"),"")</f>
        <v/>
      </c>
    </row>
    <row r="928" customFormat="false" ht="15" hidden="false" customHeight="false" outlineLevel="0" collapsed="false">
      <c r="A928" s="16"/>
      <c r="D928" s="12" t="str">
        <f aca="false">IF(C928="","",IFERROR(INDEX(Recipes!$B:$B,MATCH(C928,Recipes!$A:$A,0)),"⚠ unknown recipe_id"))</f>
        <v/>
      </c>
      <c r="K928" s="12" t="str">
        <f aca="false">IF(C928="","",IFERROR(INDEX(Recipes!$C:$C,MATCH(C928,Recipes!$A:$A,0)),""))</f>
        <v/>
      </c>
      <c r="L928" s="12" t="str">
        <f aca="false">IF(AND(A928='Grocery List'!$B$3,E928="Yes"),COUNTIFS($A$4:A928,'Grocery List'!$B$3,$E$4:E928,"Yes"),"")</f>
        <v/>
      </c>
    </row>
    <row r="929" customFormat="false" ht="15" hidden="false" customHeight="false" outlineLevel="0" collapsed="false">
      <c r="A929" s="16"/>
      <c r="D929" s="12" t="str">
        <f aca="false">IF(C929="","",IFERROR(INDEX(Recipes!$B:$B,MATCH(C929,Recipes!$A:$A,0)),"⚠ unknown recipe_id"))</f>
        <v/>
      </c>
      <c r="K929" s="12" t="str">
        <f aca="false">IF(C929="","",IFERROR(INDEX(Recipes!$C:$C,MATCH(C929,Recipes!$A:$A,0)),""))</f>
        <v/>
      </c>
      <c r="L929" s="12" t="str">
        <f aca="false">IF(AND(A929='Grocery List'!$B$3,E929="Yes"),COUNTIFS($A$4:A929,'Grocery List'!$B$3,$E$4:E929,"Yes"),"")</f>
        <v/>
      </c>
    </row>
    <row r="930" customFormat="false" ht="15" hidden="false" customHeight="false" outlineLevel="0" collapsed="false">
      <c r="A930" s="16"/>
      <c r="D930" s="12" t="str">
        <f aca="false">IF(C930="","",IFERROR(INDEX(Recipes!$B:$B,MATCH(C930,Recipes!$A:$A,0)),"⚠ unknown recipe_id"))</f>
        <v/>
      </c>
      <c r="K930" s="12" t="str">
        <f aca="false">IF(C930="","",IFERROR(INDEX(Recipes!$C:$C,MATCH(C930,Recipes!$A:$A,0)),""))</f>
        <v/>
      </c>
      <c r="L930" s="12" t="str">
        <f aca="false">IF(AND(A930='Grocery List'!$B$3,E930="Yes"),COUNTIFS($A$4:A930,'Grocery List'!$B$3,$E$4:E930,"Yes"),"")</f>
        <v/>
      </c>
    </row>
    <row r="931" customFormat="false" ht="15" hidden="false" customHeight="false" outlineLevel="0" collapsed="false">
      <c r="A931" s="16"/>
      <c r="D931" s="12" t="str">
        <f aca="false">IF(C931="","",IFERROR(INDEX(Recipes!$B:$B,MATCH(C931,Recipes!$A:$A,0)),"⚠ unknown recipe_id"))</f>
        <v/>
      </c>
      <c r="K931" s="12" t="str">
        <f aca="false">IF(C931="","",IFERROR(INDEX(Recipes!$C:$C,MATCH(C931,Recipes!$A:$A,0)),""))</f>
        <v/>
      </c>
      <c r="L931" s="12" t="str">
        <f aca="false">IF(AND(A931='Grocery List'!$B$3,E931="Yes"),COUNTIFS($A$4:A931,'Grocery List'!$B$3,$E$4:E931,"Yes"),"")</f>
        <v/>
      </c>
    </row>
    <row r="932" customFormat="false" ht="15" hidden="false" customHeight="false" outlineLevel="0" collapsed="false">
      <c r="A932" s="16"/>
      <c r="D932" s="12" t="str">
        <f aca="false">IF(C932="","",IFERROR(INDEX(Recipes!$B:$B,MATCH(C932,Recipes!$A:$A,0)),"⚠ unknown recipe_id"))</f>
        <v/>
      </c>
      <c r="K932" s="12" t="str">
        <f aca="false">IF(C932="","",IFERROR(INDEX(Recipes!$C:$C,MATCH(C932,Recipes!$A:$A,0)),""))</f>
        <v/>
      </c>
      <c r="L932" s="12" t="str">
        <f aca="false">IF(AND(A932='Grocery List'!$B$3,E932="Yes"),COUNTIFS($A$4:A932,'Grocery List'!$B$3,$E$4:E932,"Yes"),"")</f>
        <v/>
      </c>
    </row>
    <row r="933" customFormat="false" ht="15" hidden="false" customHeight="false" outlineLevel="0" collapsed="false">
      <c r="A933" s="16"/>
      <c r="D933" s="12" t="str">
        <f aca="false">IF(C933="","",IFERROR(INDEX(Recipes!$B:$B,MATCH(C933,Recipes!$A:$A,0)),"⚠ unknown recipe_id"))</f>
        <v/>
      </c>
      <c r="K933" s="12" t="str">
        <f aca="false">IF(C933="","",IFERROR(INDEX(Recipes!$C:$C,MATCH(C933,Recipes!$A:$A,0)),""))</f>
        <v/>
      </c>
      <c r="L933" s="12" t="str">
        <f aca="false">IF(AND(A933='Grocery List'!$B$3,E933="Yes"),COUNTIFS($A$4:A933,'Grocery List'!$B$3,$E$4:E933,"Yes"),"")</f>
        <v/>
      </c>
    </row>
    <row r="934" customFormat="false" ht="15" hidden="false" customHeight="false" outlineLevel="0" collapsed="false">
      <c r="A934" s="16"/>
      <c r="D934" s="12" t="str">
        <f aca="false">IF(C934="","",IFERROR(INDEX(Recipes!$B:$B,MATCH(C934,Recipes!$A:$A,0)),"⚠ unknown recipe_id"))</f>
        <v/>
      </c>
      <c r="K934" s="12" t="str">
        <f aca="false">IF(C934="","",IFERROR(INDEX(Recipes!$C:$C,MATCH(C934,Recipes!$A:$A,0)),""))</f>
        <v/>
      </c>
      <c r="L934" s="12" t="str">
        <f aca="false">IF(AND(A934='Grocery List'!$B$3,E934="Yes"),COUNTIFS($A$4:A934,'Grocery List'!$B$3,$E$4:E934,"Yes"),"")</f>
        <v/>
      </c>
    </row>
    <row r="935" customFormat="false" ht="15" hidden="false" customHeight="false" outlineLevel="0" collapsed="false">
      <c r="A935" s="16"/>
      <c r="D935" s="12" t="str">
        <f aca="false">IF(C935="","",IFERROR(INDEX(Recipes!$B:$B,MATCH(C935,Recipes!$A:$A,0)),"⚠ unknown recipe_id"))</f>
        <v/>
      </c>
      <c r="K935" s="12" t="str">
        <f aca="false">IF(C935="","",IFERROR(INDEX(Recipes!$C:$C,MATCH(C935,Recipes!$A:$A,0)),""))</f>
        <v/>
      </c>
      <c r="L935" s="12" t="str">
        <f aca="false">IF(AND(A935='Grocery List'!$B$3,E935="Yes"),COUNTIFS($A$4:A935,'Grocery List'!$B$3,$E$4:E935,"Yes"),"")</f>
        <v/>
      </c>
    </row>
    <row r="936" customFormat="false" ht="15" hidden="false" customHeight="false" outlineLevel="0" collapsed="false">
      <c r="A936" s="16"/>
      <c r="D936" s="12" t="str">
        <f aca="false">IF(C936="","",IFERROR(INDEX(Recipes!$B:$B,MATCH(C936,Recipes!$A:$A,0)),"⚠ unknown recipe_id"))</f>
        <v/>
      </c>
      <c r="K936" s="12" t="str">
        <f aca="false">IF(C936="","",IFERROR(INDEX(Recipes!$C:$C,MATCH(C936,Recipes!$A:$A,0)),""))</f>
        <v/>
      </c>
      <c r="L936" s="12" t="str">
        <f aca="false">IF(AND(A936='Grocery List'!$B$3,E936="Yes"),COUNTIFS($A$4:A936,'Grocery List'!$B$3,$E$4:E936,"Yes"),"")</f>
        <v/>
      </c>
    </row>
    <row r="937" customFormat="false" ht="15" hidden="false" customHeight="false" outlineLevel="0" collapsed="false">
      <c r="A937" s="16"/>
      <c r="D937" s="12" t="str">
        <f aca="false">IF(C937="","",IFERROR(INDEX(Recipes!$B:$B,MATCH(C937,Recipes!$A:$A,0)),"⚠ unknown recipe_id"))</f>
        <v/>
      </c>
      <c r="K937" s="12" t="str">
        <f aca="false">IF(C937="","",IFERROR(INDEX(Recipes!$C:$C,MATCH(C937,Recipes!$A:$A,0)),""))</f>
        <v/>
      </c>
      <c r="L937" s="12" t="str">
        <f aca="false">IF(AND(A937='Grocery List'!$B$3,E937="Yes"),COUNTIFS($A$4:A937,'Grocery List'!$B$3,$E$4:E937,"Yes"),"")</f>
        <v/>
      </c>
    </row>
    <row r="938" customFormat="false" ht="15" hidden="false" customHeight="false" outlineLevel="0" collapsed="false">
      <c r="A938" s="16"/>
      <c r="D938" s="12" t="str">
        <f aca="false">IF(C938="","",IFERROR(INDEX(Recipes!$B:$B,MATCH(C938,Recipes!$A:$A,0)),"⚠ unknown recipe_id"))</f>
        <v/>
      </c>
      <c r="K938" s="12" t="str">
        <f aca="false">IF(C938="","",IFERROR(INDEX(Recipes!$C:$C,MATCH(C938,Recipes!$A:$A,0)),""))</f>
        <v/>
      </c>
      <c r="L938" s="12" t="str">
        <f aca="false">IF(AND(A938='Grocery List'!$B$3,E938="Yes"),COUNTIFS($A$4:A938,'Grocery List'!$B$3,$E$4:E938,"Yes"),"")</f>
        <v/>
      </c>
    </row>
    <row r="939" customFormat="false" ht="15" hidden="false" customHeight="false" outlineLevel="0" collapsed="false">
      <c r="A939" s="16"/>
      <c r="D939" s="12" t="str">
        <f aca="false">IF(C939="","",IFERROR(INDEX(Recipes!$B:$B,MATCH(C939,Recipes!$A:$A,0)),"⚠ unknown recipe_id"))</f>
        <v/>
      </c>
      <c r="K939" s="12" t="str">
        <f aca="false">IF(C939="","",IFERROR(INDEX(Recipes!$C:$C,MATCH(C939,Recipes!$A:$A,0)),""))</f>
        <v/>
      </c>
      <c r="L939" s="12" t="str">
        <f aca="false">IF(AND(A939='Grocery List'!$B$3,E939="Yes"),COUNTIFS($A$4:A939,'Grocery List'!$B$3,$E$4:E939,"Yes"),"")</f>
        <v/>
      </c>
    </row>
    <row r="940" customFormat="false" ht="15" hidden="false" customHeight="false" outlineLevel="0" collapsed="false">
      <c r="A940" s="16"/>
      <c r="D940" s="12" t="str">
        <f aca="false">IF(C940="","",IFERROR(INDEX(Recipes!$B:$B,MATCH(C940,Recipes!$A:$A,0)),"⚠ unknown recipe_id"))</f>
        <v/>
      </c>
      <c r="K940" s="12" t="str">
        <f aca="false">IF(C940="","",IFERROR(INDEX(Recipes!$C:$C,MATCH(C940,Recipes!$A:$A,0)),""))</f>
        <v/>
      </c>
      <c r="L940" s="12" t="str">
        <f aca="false">IF(AND(A940='Grocery List'!$B$3,E940="Yes"),COUNTIFS($A$4:A940,'Grocery List'!$B$3,$E$4:E940,"Yes"),"")</f>
        <v/>
      </c>
    </row>
    <row r="941" customFormat="false" ht="15" hidden="false" customHeight="false" outlineLevel="0" collapsed="false">
      <c r="A941" s="16"/>
      <c r="D941" s="12" t="str">
        <f aca="false">IF(C941="","",IFERROR(INDEX(Recipes!$B:$B,MATCH(C941,Recipes!$A:$A,0)),"⚠ unknown recipe_id"))</f>
        <v/>
      </c>
      <c r="K941" s="12" t="str">
        <f aca="false">IF(C941="","",IFERROR(INDEX(Recipes!$C:$C,MATCH(C941,Recipes!$A:$A,0)),""))</f>
        <v/>
      </c>
      <c r="L941" s="12" t="str">
        <f aca="false">IF(AND(A941='Grocery List'!$B$3,E941="Yes"),COUNTIFS($A$4:A941,'Grocery List'!$B$3,$E$4:E941,"Yes"),"")</f>
        <v/>
      </c>
    </row>
    <row r="942" customFormat="false" ht="15" hidden="false" customHeight="false" outlineLevel="0" collapsed="false">
      <c r="A942" s="16"/>
      <c r="D942" s="12" t="str">
        <f aca="false">IF(C942="","",IFERROR(INDEX(Recipes!$B:$B,MATCH(C942,Recipes!$A:$A,0)),"⚠ unknown recipe_id"))</f>
        <v/>
      </c>
      <c r="K942" s="12" t="str">
        <f aca="false">IF(C942="","",IFERROR(INDEX(Recipes!$C:$C,MATCH(C942,Recipes!$A:$A,0)),""))</f>
        <v/>
      </c>
      <c r="L942" s="12" t="str">
        <f aca="false">IF(AND(A942='Grocery List'!$B$3,E942="Yes"),COUNTIFS($A$4:A942,'Grocery List'!$B$3,$E$4:E942,"Yes"),"")</f>
        <v/>
      </c>
    </row>
    <row r="943" customFormat="false" ht="15" hidden="false" customHeight="false" outlineLevel="0" collapsed="false">
      <c r="A943" s="16"/>
      <c r="D943" s="12" t="str">
        <f aca="false">IF(C943="","",IFERROR(INDEX(Recipes!$B:$B,MATCH(C943,Recipes!$A:$A,0)),"⚠ unknown recipe_id"))</f>
        <v/>
      </c>
      <c r="K943" s="12" t="str">
        <f aca="false">IF(C943="","",IFERROR(INDEX(Recipes!$C:$C,MATCH(C943,Recipes!$A:$A,0)),""))</f>
        <v/>
      </c>
      <c r="L943" s="12" t="str">
        <f aca="false">IF(AND(A943='Grocery List'!$B$3,E943="Yes"),COUNTIFS($A$4:A943,'Grocery List'!$B$3,$E$4:E943,"Yes"),"")</f>
        <v/>
      </c>
    </row>
    <row r="944" customFormat="false" ht="15" hidden="false" customHeight="false" outlineLevel="0" collapsed="false">
      <c r="A944" s="16"/>
      <c r="D944" s="12" t="str">
        <f aca="false">IF(C944="","",IFERROR(INDEX(Recipes!$B:$B,MATCH(C944,Recipes!$A:$A,0)),"⚠ unknown recipe_id"))</f>
        <v/>
      </c>
      <c r="K944" s="12" t="str">
        <f aca="false">IF(C944="","",IFERROR(INDEX(Recipes!$C:$C,MATCH(C944,Recipes!$A:$A,0)),""))</f>
        <v/>
      </c>
      <c r="L944" s="12" t="str">
        <f aca="false">IF(AND(A944='Grocery List'!$B$3,E944="Yes"),COUNTIFS($A$4:A944,'Grocery List'!$B$3,$E$4:E944,"Yes"),"")</f>
        <v/>
      </c>
    </row>
    <row r="945" customFormat="false" ht="15" hidden="false" customHeight="false" outlineLevel="0" collapsed="false">
      <c r="A945" s="16"/>
      <c r="D945" s="12" t="str">
        <f aca="false">IF(C945="","",IFERROR(INDEX(Recipes!$B:$B,MATCH(C945,Recipes!$A:$A,0)),"⚠ unknown recipe_id"))</f>
        <v/>
      </c>
      <c r="K945" s="12" t="str">
        <f aca="false">IF(C945="","",IFERROR(INDEX(Recipes!$C:$C,MATCH(C945,Recipes!$A:$A,0)),""))</f>
        <v/>
      </c>
      <c r="L945" s="12" t="str">
        <f aca="false">IF(AND(A945='Grocery List'!$B$3,E945="Yes"),COUNTIFS($A$4:A945,'Grocery List'!$B$3,$E$4:E945,"Yes"),"")</f>
        <v/>
      </c>
    </row>
    <row r="946" customFormat="false" ht="15" hidden="false" customHeight="false" outlineLevel="0" collapsed="false">
      <c r="A946" s="16"/>
      <c r="D946" s="12" t="str">
        <f aca="false">IF(C946="","",IFERROR(INDEX(Recipes!$B:$B,MATCH(C946,Recipes!$A:$A,0)),"⚠ unknown recipe_id"))</f>
        <v/>
      </c>
      <c r="K946" s="12" t="str">
        <f aca="false">IF(C946="","",IFERROR(INDEX(Recipes!$C:$C,MATCH(C946,Recipes!$A:$A,0)),""))</f>
        <v/>
      </c>
      <c r="L946" s="12" t="str">
        <f aca="false">IF(AND(A946='Grocery List'!$B$3,E946="Yes"),COUNTIFS($A$4:A946,'Grocery List'!$B$3,$E$4:E946,"Yes"),"")</f>
        <v/>
      </c>
    </row>
    <row r="947" customFormat="false" ht="15" hidden="false" customHeight="false" outlineLevel="0" collapsed="false">
      <c r="A947" s="16"/>
      <c r="D947" s="12" t="str">
        <f aca="false">IF(C947="","",IFERROR(INDEX(Recipes!$B:$B,MATCH(C947,Recipes!$A:$A,0)),"⚠ unknown recipe_id"))</f>
        <v/>
      </c>
      <c r="K947" s="12" t="str">
        <f aca="false">IF(C947="","",IFERROR(INDEX(Recipes!$C:$C,MATCH(C947,Recipes!$A:$A,0)),""))</f>
        <v/>
      </c>
      <c r="L947" s="12" t="str">
        <f aca="false">IF(AND(A947='Grocery List'!$B$3,E947="Yes"),COUNTIFS($A$4:A947,'Grocery List'!$B$3,$E$4:E947,"Yes"),"")</f>
        <v/>
      </c>
    </row>
    <row r="948" customFormat="false" ht="15" hidden="false" customHeight="false" outlineLevel="0" collapsed="false">
      <c r="A948" s="16"/>
      <c r="D948" s="12" t="str">
        <f aca="false">IF(C948="","",IFERROR(INDEX(Recipes!$B:$B,MATCH(C948,Recipes!$A:$A,0)),"⚠ unknown recipe_id"))</f>
        <v/>
      </c>
      <c r="K948" s="12" t="str">
        <f aca="false">IF(C948="","",IFERROR(INDEX(Recipes!$C:$C,MATCH(C948,Recipes!$A:$A,0)),""))</f>
        <v/>
      </c>
      <c r="L948" s="12" t="str">
        <f aca="false">IF(AND(A948='Grocery List'!$B$3,E948="Yes"),COUNTIFS($A$4:A948,'Grocery List'!$B$3,$E$4:E948,"Yes"),"")</f>
        <v/>
      </c>
    </row>
    <row r="949" customFormat="false" ht="15" hidden="false" customHeight="false" outlineLevel="0" collapsed="false">
      <c r="A949" s="16"/>
      <c r="D949" s="12" t="str">
        <f aca="false">IF(C949="","",IFERROR(INDEX(Recipes!$B:$B,MATCH(C949,Recipes!$A:$A,0)),"⚠ unknown recipe_id"))</f>
        <v/>
      </c>
      <c r="K949" s="12" t="str">
        <f aca="false">IF(C949="","",IFERROR(INDEX(Recipes!$C:$C,MATCH(C949,Recipes!$A:$A,0)),""))</f>
        <v/>
      </c>
      <c r="L949" s="12" t="str">
        <f aca="false">IF(AND(A949='Grocery List'!$B$3,E949="Yes"),COUNTIFS($A$4:A949,'Grocery List'!$B$3,$E$4:E949,"Yes"),"")</f>
        <v/>
      </c>
    </row>
    <row r="950" customFormat="false" ht="15" hidden="false" customHeight="false" outlineLevel="0" collapsed="false">
      <c r="A950" s="16"/>
      <c r="D950" s="12" t="str">
        <f aca="false">IF(C950="","",IFERROR(INDEX(Recipes!$B:$B,MATCH(C950,Recipes!$A:$A,0)),"⚠ unknown recipe_id"))</f>
        <v/>
      </c>
      <c r="K950" s="12" t="str">
        <f aca="false">IF(C950="","",IFERROR(INDEX(Recipes!$C:$C,MATCH(C950,Recipes!$A:$A,0)),""))</f>
        <v/>
      </c>
      <c r="L950" s="12" t="str">
        <f aca="false">IF(AND(A950='Grocery List'!$B$3,E950="Yes"),COUNTIFS($A$4:A950,'Grocery List'!$B$3,$E$4:E950,"Yes"),"")</f>
        <v/>
      </c>
    </row>
    <row r="951" customFormat="false" ht="15" hidden="false" customHeight="false" outlineLevel="0" collapsed="false">
      <c r="A951" s="16"/>
      <c r="D951" s="12" t="str">
        <f aca="false">IF(C951="","",IFERROR(INDEX(Recipes!$B:$B,MATCH(C951,Recipes!$A:$A,0)),"⚠ unknown recipe_id"))</f>
        <v/>
      </c>
      <c r="K951" s="12" t="str">
        <f aca="false">IF(C951="","",IFERROR(INDEX(Recipes!$C:$C,MATCH(C951,Recipes!$A:$A,0)),""))</f>
        <v/>
      </c>
      <c r="L951" s="12" t="str">
        <f aca="false">IF(AND(A951='Grocery List'!$B$3,E951="Yes"),COUNTIFS($A$4:A951,'Grocery List'!$B$3,$E$4:E951,"Yes"),"")</f>
        <v/>
      </c>
    </row>
    <row r="952" customFormat="false" ht="15" hidden="false" customHeight="false" outlineLevel="0" collapsed="false">
      <c r="A952" s="16"/>
      <c r="D952" s="12" t="str">
        <f aca="false">IF(C952="","",IFERROR(INDEX(Recipes!$B:$B,MATCH(C952,Recipes!$A:$A,0)),"⚠ unknown recipe_id"))</f>
        <v/>
      </c>
      <c r="K952" s="12" t="str">
        <f aca="false">IF(C952="","",IFERROR(INDEX(Recipes!$C:$C,MATCH(C952,Recipes!$A:$A,0)),""))</f>
        <v/>
      </c>
      <c r="L952" s="12" t="str">
        <f aca="false">IF(AND(A952='Grocery List'!$B$3,E952="Yes"),COUNTIFS($A$4:A952,'Grocery List'!$B$3,$E$4:E952,"Yes"),"")</f>
        <v/>
      </c>
    </row>
    <row r="953" customFormat="false" ht="15" hidden="false" customHeight="false" outlineLevel="0" collapsed="false">
      <c r="A953" s="16"/>
      <c r="D953" s="12" t="str">
        <f aca="false">IF(C953="","",IFERROR(INDEX(Recipes!$B:$B,MATCH(C953,Recipes!$A:$A,0)),"⚠ unknown recipe_id"))</f>
        <v/>
      </c>
      <c r="K953" s="12" t="str">
        <f aca="false">IF(C953="","",IFERROR(INDEX(Recipes!$C:$C,MATCH(C953,Recipes!$A:$A,0)),""))</f>
        <v/>
      </c>
      <c r="L953" s="12" t="str">
        <f aca="false">IF(AND(A953='Grocery List'!$B$3,E953="Yes"),COUNTIFS($A$4:A953,'Grocery List'!$B$3,$E$4:E953,"Yes"),"")</f>
        <v/>
      </c>
    </row>
    <row r="954" customFormat="false" ht="15" hidden="false" customHeight="false" outlineLevel="0" collapsed="false">
      <c r="A954" s="16"/>
      <c r="D954" s="12" t="str">
        <f aca="false">IF(C954="","",IFERROR(INDEX(Recipes!$B:$B,MATCH(C954,Recipes!$A:$A,0)),"⚠ unknown recipe_id"))</f>
        <v/>
      </c>
      <c r="K954" s="12" t="str">
        <f aca="false">IF(C954="","",IFERROR(INDEX(Recipes!$C:$C,MATCH(C954,Recipes!$A:$A,0)),""))</f>
        <v/>
      </c>
      <c r="L954" s="12" t="str">
        <f aca="false">IF(AND(A954='Grocery List'!$B$3,E954="Yes"),COUNTIFS($A$4:A954,'Grocery List'!$B$3,$E$4:E954,"Yes"),"")</f>
        <v/>
      </c>
    </row>
    <row r="955" customFormat="false" ht="15" hidden="false" customHeight="false" outlineLevel="0" collapsed="false">
      <c r="A955" s="16"/>
      <c r="D955" s="12" t="str">
        <f aca="false">IF(C955="","",IFERROR(INDEX(Recipes!$B:$B,MATCH(C955,Recipes!$A:$A,0)),"⚠ unknown recipe_id"))</f>
        <v/>
      </c>
      <c r="K955" s="12" t="str">
        <f aca="false">IF(C955="","",IFERROR(INDEX(Recipes!$C:$C,MATCH(C955,Recipes!$A:$A,0)),""))</f>
        <v/>
      </c>
      <c r="L955" s="12" t="str">
        <f aca="false">IF(AND(A955='Grocery List'!$B$3,E955="Yes"),COUNTIFS($A$4:A955,'Grocery List'!$B$3,$E$4:E955,"Yes"),"")</f>
        <v/>
      </c>
    </row>
    <row r="956" customFormat="false" ht="15" hidden="false" customHeight="false" outlineLevel="0" collapsed="false">
      <c r="A956" s="16"/>
      <c r="D956" s="12" t="str">
        <f aca="false">IF(C956="","",IFERROR(INDEX(Recipes!$B:$B,MATCH(C956,Recipes!$A:$A,0)),"⚠ unknown recipe_id"))</f>
        <v/>
      </c>
      <c r="K956" s="12" t="str">
        <f aca="false">IF(C956="","",IFERROR(INDEX(Recipes!$C:$C,MATCH(C956,Recipes!$A:$A,0)),""))</f>
        <v/>
      </c>
      <c r="L956" s="12" t="str">
        <f aca="false">IF(AND(A956='Grocery List'!$B$3,E956="Yes"),COUNTIFS($A$4:A956,'Grocery List'!$B$3,$E$4:E956,"Yes"),"")</f>
        <v/>
      </c>
    </row>
    <row r="957" customFormat="false" ht="15" hidden="false" customHeight="false" outlineLevel="0" collapsed="false">
      <c r="A957" s="16"/>
      <c r="D957" s="12" t="str">
        <f aca="false">IF(C957="","",IFERROR(INDEX(Recipes!$B:$B,MATCH(C957,Recipes!$A:$A,0)),"⚠ unknown recipe_id"))</f>
        <v/>
      </c>
      <c r="K957" s="12" t="str">
        <f aca="false">IF(C957="","",IFERROR(INDEX(Recipes!$C:$C,MATCH(C957,Recipes!$A:$A,0)),""))</f>
        <v/>
      </c>
      <c r="L957" s="12" t="str">
        <f aca="false">IF(AND(A957='Grocery List'!$B$3,E957="Yes"),COUNTIFS($A$4:A957,'Grocery List'!$B$3,$E$4:E957,"Yes"),"")</f>
        <v/>
      </c>
    </row>
    <row r="958" customFormat="false" ht="15" hidden="false" customHeight="false" outlineLevel="0" collapsed="false">
      <c r="A958" s="16"/>
      <c r="D958" s="12" t="str">
        <f aca="false">IF(C958="","",IFERROR(INDEX(Recipes!$B:$B,MATCH(C958,Recipes!$A:$A,0)),"⚠ unknown recipe_id"))</f>
        <v/>
      </c>
      <c r="K958" s="12" t="str">
        <f aca="false">IF(C958="","",IFERROR(INDEX(Recipes!$C:$C,MATCH(C958,Recipes!$A:$A,0)),""))</f>
        <v/>
      </c>
      <c r="L958" s="12" t="str">
        <f aca="false">IF(AND(A958='Grocery List'!$B$3,E958="Yes"),COUNTIFS($A$4:A958,'Grocery List'!$B$3,$E$4:E958,"Yes"),"")</f>
        <v/>
      </c>
    </row>
    <row r="959" customFormat="false" ht="15" hidden="false" customHeight="false" outlineLevel="0" collapsed="false">
      <c r="A959" s="16"/>
      <c r="D959" s="12" t="str">
        <f aca="false">IF(C959="","",IFERROR(INDEX(Recipes!$B:$B,MATCH(C959,Recipes!$A:$A,0)),"⚠ unknown recipe_id"))</f>
        <v/>
      </c>
      <c r="K959" s="12" t="str">
        <f aca="false">IF(C959="","",IFERROR(INDEX(Recipes!$C:$C,MATCH(C959,Recipes!$A:$A,0)),""))</f>
        <v/>
      </c>
      <c r="L959" s="12" t="str">
        <f aca="false">IF(AND(A959='Grocery List'!$B$3,E959="Yes"),COUNTIFS($A$4:A959,'Grocery List'!$B$3,$E$4:E959,"Yes"),"")</f>
        <v/>
      </c>
    </row>
    <row r="960" customFormat="false" ht="15" hidden="false" customHeight="false" outlineLevel="0" collapsed="false">
      <c r="A960" s="16"/>
      <c r="D960" s="12" t="str">
        <f aca="false">IF(C960="","",IFERROR(INDEX(Recipes!$B:$B,MATCH(C960,Recipes!$A:$A,0)),"⚠ unknown recipe_id"))</f>
        <v/>
      </c>
      <c r="K960" s="12" t="str">
        <f aca="false">IF(C960="","",IFERROR(INDEX(Recipes!$C:$C,MATCH(C960,Recipes!$A:$A,0)),""))</f>
        <v/>
      </c>
      <c r="L960" s="12" t="str">
        <f aca="false">IF(AND(A960='Grocery List'!$B$3,E960="Yes"),COUNTIFS($A$4:A960,'Grocery List'!$B$3,$E$4:E960,"Yes"),"")</f>
        <v/>
      </c>
    </row>
    <row r="961" customFormat="false" ht="15" hidden="false" customHeight="false" outlineLevel="0" collapsed="false">
      <c r="A961" s="16"/>
      <c r="D961" s="12" t="str">
        <f aca="false">IF(C961="","",IFERROR(INDEX(Recipes!$B:$B,MATCH(C961,Recipes!$A:$A,0)),"⚠ unknown recipe_id"))</f>
        <v/>
      </c>
      <c r="K961" s="12" t="str">
        <f aca="false">IF(C961="","",IFERROR(INDEX(Recipes!$C:$C,MATCH(C961,Recipes!$A:$A,0)),""))</f>
        <v/>
      </c>
      <c r="L961" s="12" t="str">
        <f aca="false">IF(AND(A961='Grocery List'!$B$3,E961="Yes"),COUNTIFS($A$4:A961,'Grocery List'!$B$3,$E$4:E961,"Yes"),"")</f>
        <v/>
      </c>
    </row>
    <row r="962" customFormat="false" ht="15" hidden="false" customHeight="false" outlineLevel="0" collapsed="false">
      <c r="A962" s="16"/>
      <c r="D962" s="12" t="str">
        <f aca="false">IF(C962="","",IFERROR(INDEX(Recipes!$B:$B,MATCH(C962,Recipes!$A:$A,0)),"⚠ unknown recipe_id"))</f>
        <v/>
      </c>
      <c r="K962" s="12" t="str">
        <f aca="false">IF(C962="","",IFERROR(INDEX(Recipes!$C:$C,MATCH(C962,Recipes!$A:$A,0)),""))</f>
        <v/>
      </c>
      <c r="L962" s="12" t="str">
        <f aca="false">IF(AND(A962='Grocery List'!$B$3,E962="Yes"),COUNTIFS($A$4:A962,'Grocery List'!$B$3,$E$4:E962,"Yes"),"")</f>
        <v/>
      </c>
    </row>
    <row r="963" customFormat="false" ht="15" hidden="false" customHeight="false" outlineLevel="0" collapsed="false">
      <c r="A963" s="16"/>
      <c r="D963" s="12" t="str">
        <f aca="false">IF(C963="","",IFERROR(INDEX(Recipes!$B:$B,MATCH(C963,Recipes!$A:$A,0)),"⚠ unknown recipe_id"))</f>
        <v/>
      </c>
      <c r="K963" s="12" t="str">
        <f aca="false">IF(C963="","",IFERROR(INDEX(Recipes!$C:$C,MATCH(C963,Recipes!$A:$A,0)),""))</f>
        <v/>
      </c>
      <c r="L963" s="12" t="str">
        <f aca="false">IF(AND(A963='Grocery List'!$B$3,E963="Yes"),COUNTIFS($A$4:A963,'Grocery List'!$B$3,$E$4:E963,"Yes"),"")</f>
        <v/>
      </c>
    </row>
    <row r="964" customFormat="false" ht="15" hidden="false" customHeight="false" outlineLevel="0" collapsed="false">
      <c r="A964" s="16"/>
      <c r="D964" s="12" t="str">
        <f aca="false">IF(C964="","",IFERROR(INDEX(Recipes!$B:$B,MATCH(C964,Recipes!$A:$A,0)),"⚠ unknown recipe_id"))</f>
        <v/>
      </c>
      <c r="K964" s="12" t="str">
        <f aca="false">IF(C964="","",IFERROR(INDEX(Recipes!$C:$C,MATCH(C964,Recipes!$A:$A,0)),""))</f>
        <v/>
      </c>
      <c r="L964" s="12" t="str">
        <f aca="false">IF(AND(A964='Grocery List'!$B$3,E964="Yes"),COUNTIFS($A$4:A964,'Grocery List'!$B$3,$E$4:E964,"Yes"),"")</f>
        <v/>
      </c>
    </row>
    <row r="965" customFormat="false" ht="15" hidden="false" customHeight="false" outlineLevel="0" collapsed="false">
      <c r="A965" s="16"/>
      <c r="D965" s="12" t="str">
        <f aca="false">IF(C965="","",IFERROR(INDEX(Recipes!$B:$B,MATCH(C965,Recipes!$A:$A,0)),"⚠ unknown recipe_id"))</f>
        <v/>
      </c>
      <c r="K965" s="12" t="str">
        <f aca="false">IF(C965="","",IFERROR(INDEX(Recipes!$C:$C,MATCH(C965,Recipes!$A:$A,0)),""))</f>
        <v/>
      </c>
      <c r="L965" s="12" t="str">
        <f aca="false">IF(AND(A965='Grocery List'!$B$3,E965="Yes"),COUNTIFS($A$4:A965,'Grocery List'!$B$3,$E$4:E965,"Yes"),"")</f>
        <v/>
      </c>
    </row>
    <row r="966" customFormat="false" ht="15" hidden="false" customHeight="false" outlineLevel="0" collapsed="false">
      <c r="A966" s="16"/>
      <c r="D966" s="12" t="str">
        <f aca="false">IF(C966="","",IFERROR(INDEX(Recipes!$B:$B,MATCH(C966,Recipes!$A:$A,0)),"⚠ unknown recipe_id"))</f>
        <v/>
      </c>
      <c r="K966" s="12" t="str">
        <f aca="false">IF(C966="","",IFERROR(INDEX(Recipes!$C:$C,MATCH(C966,Recipes!$A:$A,0)),""))</f>
        <v/>
      </c>
      <c r="L966" s="12" t="str">
        <f aca="false">IF(AND(A966='Grocery List'!$B$3,E966="Yes"),COUNTIFS($A$4:A966,'Grocery List'!$B$3,$E$4:E966,"Yes"),"")</f>
        <v/>
      </c>
    </row>
    <row r="967" customFormat="false" ht="15" hidden="false" customHeight="false" outlineLevel="0" collapsed="false">
      <c r="A967" s="16"/>
      <c r="D967" s="12" t="str">
        <f aca="false">IF(C967="","",IFERROR(INDEX(Recipes!$B:$B,MATCH(C967,Recipes!$A:$A,0)),"⚠ unknown recipe_id"))</f>
        <v/>
      </c>
      <c r="K967" s="12" t="str">
        <f aca="false">IF(C967="","",IFERROR(INDEX(Recipes!$C:$C,MATCH(C967,Recipes!$A:$A,0)),""))</f>
        <v/>
      </c>
      <c r="L967" s="12" t="str">
        <f aca="false">IF(AND(A967='Grocery List'!$B$3,E967="Yes"),COUNTIFS($A$4:A967,'Grocery List'!$B$3,$E$4:E967,"Yes"),"")</f>
        <v/>
      </c>
    </row>
    <row r="968" customFormat="false" ht="15" hidden="false" customHeight="false" outlineLevel="0" collapsed="false">
      <c r="A968" s="16"/>
      <c r="D968" s="12" t="str">
        <f aca="false">IF(C968="","",IFERROR(INDEX(Recipes!$B:$B,MATCH(C968,Recipes!$A:$A,0)),"⚠ unknown recipe_id"))</f>
        <v/>
      </c>
      <c r="K968" s="12" t="str">
        <f aca="false">IF(C968="","",IFERROR(INDEX(Recipes!$C:$C,MATCH(C968,Recipes!$A:$A,0)),""))</f>
        <v/>
      </c>
      <c r="L968" s="12" t="str">
        <f aca="false">IF(AND(A968='Grocery List'!$B$3,E968="Yes"),COUNTIFS($A$4:A968,'Grocery List'!$B$3,$E$4:E968,"Yes"),"")</f>
        <v/>
      </c>
    </row>
    <row r="969" customFormat="false" ht="15" hidden="false" customHeight="false" outlineLevel="0" collapsed="false">
      <c r="A969" s="16"/>
      <c r="D969" s="12" t="str">
        <f aca="false">IF(C969="","",IFERROR(INDEX(Recipes!$B:$B,MATCH(C969,Recipes!$A:$A,0)),"⚠ unknown recipe_id"))</f>
        <v/>
      </c>
      <c r="K969" s="12" t="str">
        <f aca="false">IF(C969="","",IFERROR(INDEX(Recipes!$C:$C,MATCH(C969,Recipes!$A:$A,0)),""))</f>
        <v/>
      </c>
      <c r="L969" s="12" t="str">
        <f aca="false">IF(AND(A969='Grocery List'!$B$3,E969="Yes"),COUNTIFS($A$4:A969,'Grocery List'!$B$3,$E$4:E969,"Yes"),"")</f>
        <v/>
      </c>
    </row>
    <row r="970" customFormat="false" ht="15" hidden="false" customHeight="false" outlineLevel="0" collapsed="false">
      <c r="A970" s="16"/>
      <c r="D970" s="12" t="str">
        <f aca="false">IF(C970="","",IFERROR(INDEX(Recipes!$B:$B,MATCH(C970,Recipes!$A:$A,0)),"⚠ unknown recipe_id"))</f>
        <v/>
      </c>
      <c r="K970" s="12" t="str">
        <f aca="false">IF(C970="","",IFERROR(INDEX(Recipes!$C:$C,MATCH(C970,Recipes!$A:$A,0)),""))</f>
        <v/>
      </c>
      <c r="L970" s="12" t="str">
        <f aca="false">IF(AND(A970='Grocery List'!$B$3,E970="Yes"),COUNTIFS($A$4:A970,'Grocery List'!$B$3,$E$4:E970,"Yes"),"")</f>
        <v/>
      </c>
    </row>
    <row r="971" customFormat="false" ht="15" hidden="false" customHeight="false" outlineLevel="0" collapsed="false">
      <c r="A971" s="16"/>
      <c r="D971" s="12" t="str">
        <f aca="false">IF(C971="","",IFERROR(INDEX(Recipes!$B:$B,MATCH(C971,Recipes!$A:$A,0)),"⚠ unknown recipe_id"))</f>
        <v/>
      </c>
      <c r="K971" s="12" t="str">
        <f aca="false">IF(C971="","",IFERROR(INDEX(Recipes!$C:$C,MATCH(C971,Recipes!$A:$A,0)),""))</f>
        <v/>
      </c>
      <c r="L971" s="12" t="str">
        <f aca="false">IF(AND(A971='Grocery List'!$B$3,E971="Yes"),COUNTIFS($A$4:A971,'Grocery List'!$B$3,$E$4:E971,"Yes"),"")</f>
        <v/>
      </c>
    </row>
    <row r="972" customFormat="false" ht="15" hidden="false" customHeight="false" outlineLevel="0" collapsed="false">
      <c r="A972" s="16"/>
      <c r="D972" s="12" t="str">
        <f aca="false">IF(C972="","",IFERROR(INDEX(Recipes!$B:$B,MATCH(C972,Recipes!$A:$A,0)),"⚠ unknown recipe_id"))</f>
        <v/>
      </c>
      <c r="K972" s="12" t="str">
        <f aca="false">IF(C972="","",IFERROR(INDEX(Recipes!$C:$C,MATCH(C972,Recipes!$A:$A,0)),""))</f>
        <v/>
      </c>
      <c r="L972" s="12" t="str">
        <f aca="false">IF(AND(A972='Grocery List'!$B$3,E972="Yes"),COUNTIFS($A$4:A972,'Grocery List'!$B$3,$E$4:E972,"Yes"),"")</f>
        <v/>
      </c>
    </row>
    <row r="973" customFormat="false" ht="15" hidden="false" customHeight="false" outlineLevel="0" collapsed="false">
      <c r="A973" s="16"/>
      <c r="D973" s="12" t="str">
        <f aca="false">IF(C973="","",IFERROR(INDEX(Recipes!$B:$B,MATCH(C973,Recipes!$A:$A,0)),"⚠ unknown recipe_id"))</f>
        <v/>
      </c>
      <c r="K973" s="12" t="str">
        <f aca="false">IF(C973="","",IFERROR(INDEX(Recipes!$C:$C,MATCH(C973,Recipes!$A:$A,0)),""))</f>
        <v/>
      </c>
      <c r="L973" s="12" t="str">
        <f aca="false">IF(AND(A973='Grocery List'!$B$3,E973="Yes"),COUNTIFS($A$4:A973,'Grocery List'!$B$3,$E$4:E973,"Yes"),"")</f>
        <v/>
      </c>
    </row>
    <row r="974" customFormat="false" ht="15" hidden="false" customHeight="false" outlineLevel="0" collapsed="false">
      <c r="A974" s="16"/>
      <c r="D974" s="12" t="str">
        <f aca="false">IF(C974="","",IFERROR(INDEX(Recipes!$B:$B,MATCH(C974,Recipes!$A:$A,0)),"⚠ unknown recipe_id"))</f>
        <v/>
      </c>
      <c r="K974" s="12" t="str">
        <f aca="false">IF(C974="","",IFERROR(INDEX(Recipes!$C:$C,MATCH(C974,Recipes!$A:$A,0)),""))</f>
        <v/>
      </c>
      <c r="L974" s="12" t="str">
        <f aca="false">IF(AND(A974='Grocery List'!$B$3,E974="Yes"),COUNTIFS($A$4:A974,'Grocery List'!$B$3,$E$4:E974,"Yes"),"")</f>
        <v/>
      </c>
    </row>
    <row r="975" customFormat="false" ht="15" hidden="false" customHeight="false" outlineLevel="0" collapsed="false">
      <c r="A975" s="16"/>
      <c r="D975" s="12" t="str">
        <f aca="false">IF(C975="","",IFERROR(INDEX(Recipes!$B:$B,MATCH(C975,Recipes!$A:$A,0)),"⚠ unknown recipe_id"))</f>
        <v/>
      </c>
      <c r="K975" s="12" t="str">
        <f aca="false">IF(C975="","",IFERROR(INDEX(Recipes!$C:$C,MATCH(C975,Recipes!$A:$A,0)),""))</f>
        <v/>
      </c>
      <c r="L975" s="12" t="str">
        <f aca="false">IF(AND(A975='Grocery List'!$B$3,E975="Yes"),COUNTIFS($A$4:A975,'Grocery List'!$B$3,$E$4:E975,"Yes"),"")</f>
        <v/>
      </c>
    </row>
    <row r="976" customFormat="false" ht="15" hidden="false" customHeight="false" outlineLevel="0" collapsed="false">
      <c r="A976" s="16"/>
      <c r="D976" s="12" t="str">
        <f aca="false">IF(C976="","",IFERROR(INDEX(Recipes!$B:$B,MATCH(C976,Recipes!$A:$A,0)),"⚠ unknown recipe_id"))</f>
        <v/>
      </c>
      <c r="K976" s="12" t="str">
        <f aca="false">IF(C976="","",IFERROR(INDEX(Recipes!$C:$C,MATCH(C976,Recipes!$A:$A,0)),""))</f>
        <v/>
      </c>
      <c r="L976" s="12" t="str">
        <f aca="false">IF(AND(A976='Grocery List'!$B$3,E976="Yes"),COUNTIFS($A$4:A976,'Grocery List'!$B$3,$E$4:E976,"Yes"),"")</f>
        <v/>
      </c>
    </row>
    <row r="977" customFormat="false" ht="15" hidden="false" customHeight="false" outlineLevel="0" collapsed="false">
      <c r="A977" s="16"/>
      <c r="D977" s="12" t="str">
        <f aca="false">IF(C977="","",IFERROR(INDEX(Recipes!$B:$B,MATCH(C977,Recipes!$A:$A,0)),"⚠ unknown recipe_id"))</f>
        <v/>
      </c>
      <c r="K977" s="12" t="str">
        <f aca="false">IF(C977="","",IFERROR(INDEX(Recipes!$C:$C,MATCH(C977,Recipes!$A:$A,0)),""))</f>
        <v/>
      </c>
      <c r="L977" s="12" t="str">
        <f aca="false">IF(AND(A977='Grocery List'!$B$3,E977="Yes"),COUNTIFS($A$4:A977,'Grocery List'!$B$3,$E$4:E977,"Yes"),"")</f>
        <v/>
      </c>
    </row>
    <row r="978" customFormat="false" ht="15" hidden="false" customHeight="false" outlineLevel="0" collapsed="false">
      <c r="A978" s="16"/>
      <c r="D978" s="12" t="str">
        <f aca="false">IF(C978="","",IFERROR(INDEX(Recipes!$B:$B,MATCH(C978,Recipes!$A:$A,0)),"⚠ unknown recipe_id"))</f>
        <v/>
      </c>
      <c r="K978" s="12" t="str">
        <f aca="false">IF(C978="","",IFERROR(INDEX(Recipes!$C:$C,MATCH(C978,Recipes!$A:$A,0)),""))</f>
        <v/>
      </c>
      <c r="L978" s="12" t="str">
        <f aca="false">IF(AND(A978='Grocery List'!$B$3,E978="Yes"),COUNTIFS($A$4:A978,'Grocery List'!$B$3,$E$4:E978,"Yes"),"")</f>
        <v/>
      </c>
    </row>
    <row r="979" customFormat="false" ht="15" hidden="false" customHeight="false" outlineLevel="0" collapsed="false">
      <c r="A979" s="16"/>
      <c r="D979" s="12" t="str">
        <f aca="false">IF(C979="","",IFERROR(INDEX(Recipes!$B:$B,MATCH(C979,Recipes!$A:$A,0)),"⚠ unknown recipe_id"))</f>
        <v/>
      </c>
      <c r="K979" s="12" t="str">
        <f aca="false">IF(C979="","",IFERROR(INDEX(Recipes!$C:$C,MATCH(C979,Recipes!$A:$A,0)),""))</f>
        <v/>
      </c>
      <c r="L979" s="12" t="str">
        <f aca="false">IF(AND(A979='Grocery List'!$B$3,E979="Yes"),COUNTIFS($A$4:A979,'Grocery List'!$B$3,$E$4:E979,"Yes"),"")</f>
        <v/>
      </c>
    </row>
    <row r="980" customFormat="false" ht="15" hidden="false" customHeight="false" outlineLevel="0" collapsed="false">
      <c r="A980" s="16"/>
      <c r="D980" s="12" t="str">
        <f aca="false">IF(C980="","",IFERROR(INDEX(Recipes!$B:$B,MATCH(C980,Recipes!$A:$A,0)),"⚠ unknown recipe_id"))</f>
        <v/>
      </c>
      <c r="K980" s="12" t="str">
        <f aca="false">IF(C980="","",IFERROR(INDEX(Recipes!$C:$C,MATCH(C980,Recipes!$A:$A,0)),""))</f>
        <v/>
      </c>
      <c r="L980" s="12" t="str">
        <f aca="false">IF(AND(A980='Grocery List'!$B$3,E980="Yes"),COUNTIFS($A$4:A980,'Grocery List'!$B$3,$E$4:E980,"Yes"),"")</f>
        <v/>
      </c>
    </row>
    <row r="981" customFormat="false" ht="15" hidden="false" customHeight="false" outlineLevel="0" collapsed="false">
      <c r="A981" s="16"/>
      <c r="D981" s="12" t="str">
        <f aca="false">IF(C981="","",IFERROR(INDEX(Recipes!$B:$B,MATCH(C981,Recipes!$A:$A,0)),"⚠ unknown recipe_id"))</f>
        <v/>
      </c>
      <c r="K981" s="12" t="str">
        <f aca="false">IF(C981="","",IFERROR(INDEX(Recipes!$C:$C,MATCH(C981,Recipes!$A:$A,0)),""))</f>
        <v/>
      </c>
      <c r="L981" s="12" t="str">
        <f aca="false">IF(AND(A981='Grocery List'!$B$3,E981="Yes"),COUNTIFS($A$4:A981,'Grocery List'!$B$3,$E$4:E981,"Yes"),"")</f>
        <v/>
      </c>
    </row>
    <row r="982" customFormat="false" ht="15" hidden="false" customHeight="false" outlineLevel="0" collapsed="false">
      <c r="A982" s="16"/>
      <c r="D982" s="12" t="str">
        <f aca="false">IF(C982="","",IFERROR(INDEX(Recipes!$B:$B,MATCH(C982,Recipes!$A:$A,0)),"⚠ unknown recipe_id"))</f>
        <v/>
      </c>
      <c r="K982" s="12" t="str">
        <f aca="false">IF(C982="","",IFERROR(INDEX(Recipes!$C:$C,MATCH(C982,Recipes!$A:$A,0)),""))</f>
        <v/>
      </c>
      <c r="L982" s="12" t="str">
        <f aca="false">IF(AND(A982='Grocery List'!$B$3,E982="Yes"),COUNTIFS($A$4:A982,'Grocery List'!$B$3,$E$4:E982,"Yes"),"")</f>
        <v/>
      </c>
    </row>
    <row r="983" customFormat="false" ht="15" hidden="false" customHeight="false" outlineLevel="0" collapsed="false">
      <c r="A983" s="16"/>
      <c r="D983" s="12" t="str">
        <f aca="false">IF(C983="","",IFERROR(INDEX(Recipes!$B:$B,MATCH(C983,Recipes!$A:$A,0)),"⚠ unknown recipe_id"))</f>
        <v/>
      </c>
      <c r="K983" s="12" t="str">
        <f aca="false">IF(C983="","",IFERROR(INDEX(Recipes!$C:$C,MATCH(C983,Recipes!$A:$A,0)),""))</f>
        <v/>
      </c>
      <c r="L983" s="12" t="str">
        <f aca="false">IF(AND(A983='Grocery List'!$B$3,E983="Yes"),COUNTIFS($A$4:A983,'Grocery List'!$B$3,$E$4:E983,"Yes"),"")</f>
        <v/>
      </c>
    </row>
    <row r="984" customFormat="false" ht="15" hidden="false" customHeight="false" outlineLevel="0" collapsed="false">
      <c r="A984" s="16"/>
      <c r="D984" s="12" t="str">
        <f aca="false">IF(C984="","",IFERROR(INDEX(Recipes!$B:$B,MATCH(C984,Recipes!$A:$A,0)),"⚠ unknown recipe_id"))</f>
        <v/>
      </c>
      <c r="K984" s="12" t="str">
        <f aca="false">IF(C984="","",IFERROR(INDEX(Recipes!$C:$C,MATCH(C984,Recipes!$A:$A,0)),""))</f>
        <v/>
      </c>
      <c r="L984" s="12" t="str">
        <f aca="false">IF(AND(A984='Grocery List'!$B$3,E984="Yes"),COUNTIFS($A$4:A984,'Grocery List'!$B$3,$E$4:E984,"Yes"),"")</f>
        <v/>
      </c>
    </row>
    <row r="985" customFormat="false" ht="15" hidden="false" customHeight="false" outlineLevel="0" collapsed="false">
      <c r="A985" s="16"/>
      <c r="D985" s="12" t="str">
        <f aca="false">IF(C985="","",IFERROR(INDEX(Recipes!$B:$B,MATCH(C985,Recipes!$A:$A,0)),"⚠ unknown recipe_id"))</f>
        <v/>
      </c>
      <c r="K985" s="12" t="str">
        <f aca="false">IF(C985="","",IFERROR(INDEX(Recipes!$C:$C,MATCH(C985,Recipes!$A:$A,0)),""))</f>
        <v/>
      </c>
      <c r="L985" s="12" t="str">
        <f aca="false">IF(AND(A985='Grocery List'!$B$3,E985="Yes"),COUNTIFS($A$4:A985,'Grocery List'!$B$3,$E$4:E985,"Yes"),"")</f>
        <v/>
      </c>
    </row>
    <row r="986" customFormat="false" ht="15" hidden="false" customHeight="false" outlineLevel="0" collapsed="false">
      <c r="A986" s="16"/>
      <c r="D986" s="12" t="str">
        <f aca="false">IF(C986="","",IFERROR(INDEX(Recipes!$B:$B,MATCH(C986,Recipes!$A:$A,0)),"⚠ unknown recipe_id"))</f>
        <v/>
      </c>
      <c r="K986" s="12" t="str">
        <f aca="false">IF(C986="","",IFERROR(INDEX(Recipes!$C:$C,MATCH(C986,Recipes!$A:$A,0)),""))</f>
        <v/>
      </c>
      <c r="L986" s="12" t="str">
        <f aca="false">IF(AND(A986='Grocery List'!$B$3,E986="Yes"),COUNTIFS($A$4:A986,'Grocery List'!$B$3,$E$4:E986,"Yes"),"")</f>
        <v/>
      </c>
    </row>
    <row r="987" customFormat="false" ht="15" hidden="false" customHeight="false" outlineLevel="0" collapsed="false">
      <c r="A987" s="16"/>
      <c r="D987" s="12" t="str">
        <f aca="false">IF(C987="","",IFERROR(INDEX(Recipes!$B:$B,MATCH(C987,Recipes!$A:$A,0)),"⚠ unknown recipe_id"))</f>
        <v/>
      </c>
      <c r="K987" s="12" t="str">
        <f aca="false">IF(C987="","",IFERROR(INDEX(Recipes!$C:$C,MATCH(C987,Recipes!$A:$A,0)),""))</f>
        <v/>
      </c>
      <c r="L987" s="12" t="str">
        <f aca="false">IF(AND(A987='Grocery List'!$B$3,E987="Yes"),COUNTIFS($A$4:A987,'Grocery List'!$B$3,$E$4:E987,"Yes"),"")</f>
        <v/>
      </c>
    </row>
    <row r="988" customFormat="false" ht="15" hidden="false" customHeight="false" outlineLevel="0" collapsed="false">
      <c r="A988" s="16"/>
      <c r="D988" s="12" t="str">
        <f aca="false">IF(C988="","",IFERROR(INDEX(Recipes!$B:$B,MATCH(C988,Recipes!$A:$A,0)),"⚠ unknown recipe_id"))</f>
        <v/>
      </c>
      <c r="K988" s="12" t="str">
        <f aca="false">IF(C988="","",IFERROR(INDEX(Recipes!$C:$C,MATCH(C988,Recipes!$A:$A,0)),""))</f>
        <v/>
      </c>
      <c r="L988" s="12" t="str">
        <f aca="false">IF(AND(A988='Grocery List'!$B$3,E988="Yes"),COUNTIFS($A$4:A988,'Grocery List'!$B$3,$E$4:E988,"Yes"),"")</f>
        <v/>
      </c>
    </row>
    <row r="989" customFormat="false" ht="15" hidden="false" customHeight="false" outlineLevel="0" collapsed="false">
      <c r="A989" s="16"/>
      <c r="D989" s="12" t="str">
        <f aca="false">IF(C989="","",IFERROR(INDEX(Recipes!$B:$B,MATCH(C989,Recipes!$A:$A,0)),"⚠ unknown recipe_id"))</f>
        <v/>
      </c>
      <c r="K989" s="12" t="str">
        <f aca="false">IF(C989="","",IFERROR(INDEX(Recipes!$C:$C,MATCH(C989,Recipes!$A:$A,0)),""))</f>
        <v/>
      </c>
      <c r="L989" s="12" t="str">
        <f aca="false">IF(AND(A989='Grocery List'!$B$3,E989="Yes"),COUNTIFS($A$4:A989,'Grocery List'!$B$3,$E$4:E989,"Yes"),"")</f>
        <v/>
      </c>
    </row>
    <row r="990" customFormat="false" ht="15" hidden="false" customHeight="false" outlineLevel="0" collapsed="false">
      <c r="A990" s="16"/>
      <c r="D990" s="12" t="str">
        <f aca="false">IF(C990="","",IFERROR(INDEX(Recipes!$B:$B,MATCH(C990,Recipes!$A:$A,0)),"⚠ unknown recipe_id"))</f>
        <v/>
      </c>
      <c r="K990" s="12" t="str">
        <f aca="false">IF(C990="","",IFERROR(INDEX(Recipes!$C:$C,MATCH(C990,Recipes!$A:$A,0)),""))</f>
        <v/>
      </c>
      <c r="L990" s="12" t="str">
        <f aca="false">IF(AND(A990='Grocery List'!$B$3,E990="Yes"),COUNTIFS($A$4:A990,'Grocery List'!$B$3,$E$4:E990,"Yes"),"")</f>
        <v/>
      </c>
    </row>
    <row r="991" customFormat="false" ht="15" hidden="false" customHeight="false" outlineLevel="0" collapsed="false">
      <c r="A991" s="16"/>
      <c r="D991" s="12" t="str">
        <f aca="false">IF(C991="","",IFERROR(INDEX(Recipes!$B:$B,MATCH(C991,Recipes!$A:$A,0)),"⚠ unknown recipe_id"))</f>
        <v/>
      </c>
      <c r="K991" s="12" t="str">
        <f aca="false">IF(C991="","",IFERROR(INDEX(Recipes!$C:$C,MATCH(C991,Recipes!$A:$A,0)),""))</f>
        <v/>
      </c>
      <c r="L991" s="12" t="str">
        <f aca="false">IF(AND(A991='Grocery List'!$B$3,E991="Yes"),COUNTIFS($A$4:A991,'Grocery List'!$B$3,$E$4:E991,"Yes"),"")</f>
        <v/>
      </c>
    </row>
    <row r="992" customFormat="false" ht="15" hidden="false" customHeight="false" outlineLevel="0" collapsed="false">
      <c r="A992" s="16"/>
      <c r="D992" s="12" t="str">
        <f aca="false">IF(C992="","",IFERROR(INDEX(Recipes!$B:$B,MATCH(C992,Recipes!$A:$A,0)),"⚠ unknown recipe_id"))</f>
        <v/>
      </c>
      <c r="K992" s="12" t="str">
        <f aca="false">IF(C992="","",IFERROR(INDEX(Recipes!$C:$C,MATCH(C992,Recipes!$A:$A,0)),""))</f>
        <v/>
      </c>
      <c r="L992" s="12" t="str">
        <f aca="false">IF(AND(A992='Grocery List'!$B$3,E992="Yes"),COUNTIFS($A$4:A992,'Grocery List'!$B$3,$E$4:E992,"Yes"),"")</f>
        <v/>
      </c>
    </row>
    <row r="993" customFormat="false" ht="15" hidden="false" customHeight="false" outlineLevel="0" collapsed="false">
      <c r="A993" s="16"/>
      <c r="D993" s="12" t="str">
        <f aca="false">IF(C993="","",IFERROR(INDEX(Recipes!$B:$B,MATCH(C993,Recipes!$A:$A,0)),"⚠ unknown recipe_id"))</f>
        <v/>
      </c>
      <c r="K993" s="12" t="str">
        <f aca="false">IF(C993="","",IFERROR(INDEX(Recipes!$C:$C,MATCH(C993,Recipes!$A:$A,0)),""))</f>
        <v/>
      </c>
      <c r="L993" s="12" t="str">
        <f aca="false">IF(AND(A993='Grocery List'!$B$3,E993="Yes"),COUNTIFS($A$4:A993,'Grocery List'!$B$3,$E$4:E993,"Yes"),"")</f>
        <v/>
      </c>
    </row>
    <row r="994" customFormat="false" ht="15" hidden="false" customHeight="false" outlineLevel="0" collapsed="false">
      <c r="A994" s="16"/>
      <c r="D994" s="12" t="str">
        <f aca="false">IF(C994="","",IFERROR(INDEX(Recipes!$B:$B,MATCH(C994,Recipes!$A:$A,0)),"⚠ unknown recipe_id"))</f>
        <v/>
      </c>
      <c r="K994" s="12" t="str">
        <f aca="false">IF(C994="","",IFERROR(INDEX(Recipes!$C:$C,MATCH(C994,Recipes!$A:$A,0)),""))</f>
        <v/>
      </c>
      <c r="L994" s="12" t="str">
        <f aca="false">IF(AND(A994='Grocery List'!$B$3,E994="Yes"),COUNTIFS($A$4:A994,'Grocery List'!$B$3,$E$4:E994,"Yes"),"")</f>
        <v/>
      </c>
    </row>
    <row r="995" customFormat="false" ht="15" hidden="false" customHeight="false" outlineLevel="0" collapsed="false">
      <c r="A995" s="16"/>
      <c r="D995" s="12" t="str">
        <f aca="false">IF(C995="","",IFERROR(INDEX(Recipes!$B:$B,MATCH(C995,Recipes!$A:$A,0)),"⚠ unknown recipe_id"))</f>
        <v/>
      </c>
      <c r="K995" s="12" t="str">
        <f aca="false">IF(C995="","",IFERROR(INDEX(Recipes!$C:$C,MATCH(C995,Recipes!$A:$A,0)),""))</f>
        <v/>
      </c>
      <c r="L995" s="12" t="str">
        <f aca="false">IF(AND(A995='Grocery List'!$B$3,E995="Yes"),COUNTIFS($A$4:A995,'Grocery List'!$B$3,$E$4:E995,"Yes"),"")</f>
        <v/>
      </c>
    </row>
    <row r="996" customFormat="false" ht="15" hidden="false" customHeight="false" outlineLevel="0" collapsed="false">
      <c r="A996" s="16"/>
      <c r="D996" s="12" t="str">
        <f aca="false">IF(C996="","",IFERROR(INDEX(Recipes!$B:$B,MATCH(C996,Recipes!$A:$A,0)),"⚠ unknown recipe_id"))</f>
        <v/>
      </c>
      <c r="K996" s="12" t="str">
        <f aca="false">IF(C996="","",IFERROR(INDEX(Recipes!$C:$C,MATCH(C996,Recipes!$A:$A,0)),""))</f>
        <v/>
      </c>
      <c r="L996" s="12" t="str">
        <f aca="false">IF(AND(A996='Grocery List'!$B$3,E996="Yes"),COUNTIFS($A$4:A996,'Grocery List'!$B$3,$E$4:E996,"Yes"),"")</f>
        <v/>
      </c>
    </row>
    <row r="997" customFormat="false" ht="15" hidden="false" customHeight="false" outlineLevel="0" collapsed="false">
      <c r="A997" s="16"/>
      <c r="D997" s="12" t="str">
        <f aca="false">IF(C997="","",IFERROR(INDEX(Recipes!$B:$B,MATCH(C997,Recipes!$A:$A,0)),"⚠ unknown recipe_id"))</f>
        <v/>
      </c>
      <c r="K997" s="12" t="str">
        <f aca="false">IF(C997="","",IFERROR(INDEX(Recipes!$C:$C,MATCH(C997,Recipes!$A:$A,0)),""))</f>
        <v/>
      </c>
      <c r="L997" s="12" t="str">
        <f aca="false">IF(AND(A997='Grocery List'!$B$3,E997="Yes"),COUNTIFS($A$4:A997,'Grocery List'!$B$3,$E$4:E997,"Yes"),"")</f>
        <v/>
      </c>
    </row>
    <row r="998" customFormat="false" ht="15" hidden="false" customHeight="false" outlineLevel="0" collapsed="false">
      <c r="A998" s="16"/>
      <c r="D998" s="12" t="str">
        <f aca="false">IF(C998="","",IFERROR(INDEX(Recipes!$B:$B,MATCH(C998,Recipes!$A:$A,0)),"⚠ unknown recipe_id"))</f>
        <v/>
      </c>
      <c r="K998" s="12" t="str">
        <f aca="false">IF(C998="","",IFERROR(INDEX(Recipes!$C:$C,MATCH(C998,Recipes!$A:$A,0)),""))</f>
        <v/>
      </c>
      <c r="L998" s="12" t="str">
        <f aca="false">IF(AND(A998='Grocery List'!$B$3,E998="Yes"),COUNTIFS($A$4:A998,'Grocery List'!$B$3,$E$4:E998,"Yes"),"")</f>
        <v/>
      </c>
    </row>
    <row r="999" customFormat="false" ht="15" hidden="false" customHeight="false" outlineLevel="0" collapsed="false">
      <c r="A999" s="16"/>
      <c r="D999" s="12" t="str">
        <f aca="false">IF(C999="","",IFERROR(INDEX(Recipes!$B:$B,MATCH(C999,Recipes!$A:$A,0)),"⚠ unknown recipe_id"))</f>
        <v/>
      </c>
      <c r="K999" s="12" t="str">
        <f aca="false">IF(C999="","",IFERROR(INDEX(Recipes!$C:$C,MATCH(C999,Recipes!$A:$A,0)),""))</f>
        <v/>
      </c>
      <c r="L999" s="12" t="str">
        <f aca="false">IF(AND(A999='Grocery List'!$B$3,E999="Yes"),COUNTIFS($A$4:A999,'Grocery List'!$B$3,$E$4:E999,"Yes"),"")</f>
        <v/>
      </c>
    </row>
    <row r="1000" customFormat="false" ht="15" hidden="false" customHeight="false" outlineLevel="0" collapsed="false">
      <c r="A1000" s="16"/>
      <c r="D1000" s="12" t="str">
        <f aca="false">IF(C1000="","",IFERROR(INDEX(Recipes!$B:$B,MATCH(C1000,Recipes!$A:$A,0)),"⚠ unknown recipe_id"))</f>
        <v/>
      </c>
      <c r="K1000" s="12" t="str">
        <f aca="false">IF(C1000="","",IFERROR(INDEX(Recipes!$C:$C,MATCH(C1000,Recipes!$A:$A,0)),""))</f>
        <v/>
      </c>
      <c r="L1000" s="12" t="str">
        <f aca="false">IF(AND(A1000='Grocery List'!$B$3,E1000="Yes"),COUNTIFS($A$4:A1000,'Grocery List'!$B$3,$E$4:E1000,"Yes"),"")</f>
        <v/>
      </c>
    </row>
    <row r="1001" customFormat="false" ht="15" hidden="false" customHeight="false" outlineLevel="0" collapsed="false">
      <c r="A1001" s="16"/>
      <c r="D1001" s="12" t="str">
        <f aca="false">IF(C1001="","",IFERROR(INDEX(Recipes!$B:$B,MATCH(C1001,Recipes!$A:$A,0)),"⚠ unknown recipe_id"))</f>
        <v/>
      </c>
      <c r="K1001" s="12" t="str">
        <f aca="false">IF(C1001="","",IFERROR(INDEX(Recipes!$C:$C,MATCH(C1001,Recipes!$A:$A,0)),""))</f>
        <v/>
      </c>
      <c r="L1001" s="12" t="str">
        <f aca="false">IF(AND(A1001='Grocery List'!$B$3,E1001="Yes"),COUNTIFS($A$4:A1001,'Grocery List'!$B$3,$E$4:E1001,"Yes"),"")</f>
        <v/>
      </c>
    </row>
    <row r="1002" customFormat="false" ht="15" hidden="false" customHeight="false" outlineLevel="0" collapsed="false">
      <c r="A1002" s="16"/>
      <c r="D1002" s="12" t="str">
        <f aca="false">IF(C1002="","",IFERROR(INDEX(Recipes!$B:$B,MATCH(C1002,Recipes!$A:$A,0)),"⚠ unknown recipe_id"))</f>
        <v/>
      </c>
      <c r="K1002" s="12" t="str">
        <f aca="false">IF(C1002="","",IFERROR(INDEX(Recipes!$C:$C,MATCH(C1002,Recipes!$A:$A,0)),""))</f>
        <v/>
      </c>
      <c r="L1002" s="12" t="str">
        <f aca="false">IF(AND(A1002='Grocery List'!$B$3,E1002="Yes"),COUNTIFS($A$4:A1002,'Grocery List'!$B$3,$E$4:E1002,"Yes"),"")</f>
        <v/>
      </c>
    </row>
    <row r="1003" customFormat="false" ht="15" hidden="false" customHeight="false" outlineLevel="0" collapsed="false">
      <c r="A1003" s="16"/>
      <c r="D1003" s="12" t="str">
        <f aca="false">IF(C1003="","",IFERROR(INDEX(Recipes!$B:$B,MATCH(C1003,Recipes!$A:$A,0)),"⚠ unknown recipe_id"))</f>
        <v/>
      </c>
      <c r="K1003" s="12" t="str">
        <f aca="false">IF(C1003="","",IFERROR(INDEX(Recipes!$C:$C,MATCH(C1003,Recipes!$A:$A,0)),""))</f>
        <v/>
      </c>
      <c r="L1003" s="12" t="str">
        <f aca="false">IF(AND(A1003='Grocery List'!$B$3,E1003="Yes"),COUNTIFS($A$4:A1003,'Grocery List'!$B$3,$E$4:E1003,"Yes"),"")</f>
        <v/>
      </c>
    </row>
  </sheetData>
  <autoFilter ref="A3:L1003"/>
  <dataValidations count="4">
    <dataValidation allowBlank="true" errorStyle="stop" operator="between" showDropDown="false" showErrorMessage="false" showInputMessage="false" sqref="B4:B1003" type="list">
      <formula1>Lists!$B$2:$B$5</formula1>
      <formula2>0</formula2>
    </dataValidation>
    <dataValidation allowBlank="true" errorStyle="stop" operator="between" showDropDown="false" showErrorMessage="false" showInputMessage="false" sqref="E4:E1003" type="list">
      <formula1>Lists!$F$2:$F$3</formula1>
      <formula2>0</formula2>
    </dataValidation>
    <dataValidation allowBlank="true" errorStyle="stop" operator="between" showDropDown="false" showErrorMessage="false" showInputMessage="false" sqref="H4:H1003" type="list">
      <formula1>Lists!$G$2:$G$4</formula1>
      <formula2>0</formula2>
    </dataValidation>
    <dataValidation allowBlank="true" errorStyle="stop" operator="between" showDropDown="false" showErrorMessage="false" showInputMessage="false" sqref="F4:G100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87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88</v>
      </c>
    </row>
    <row r="3" customFormat="false" ht="30" hidden="false" customHeight="true" outlineLevel="0" collapsed="false">
      <c r="A3" s="8" t="s">
        <v>22</v>
      </c>
      <c r="B3" s="9" t="s">
        <v>69</v>
      </c>
      <c r="C3" s="8" t="s">
        <v>89</v>
      </c>
      <c r="D3" s="8" t="s">
        <v>90</v>
      </c>
      <c r="E3" s="9" t="s">
        <v>91</v>
      </c>
      <c r="F3" s="8" t="s">
        <v>92</v>
      </c>
      <c r="G3" s="9" t="s">
        <v>93</v>
      </c>
      <c r="H3" s="9" t="s">
        <v>94</v>
      </c>
    </row>
    <row r="4" customFormat="false" ht="15" hidden="false" customHeight="false" outlineLevel="0" collapsed="false">
      <c r="A4" s="10" t="s">
        <v>45</v>
      </c>
      <c r="B4" s="12" t="str">
        <f aca="false">IF(A4="","",IFERROR(INDEX(Recipes!$B:$B,MATCH(A4,Recipes!$A:$A,0)),"⚠ unknown recipe_id"))</f>
        <v>Cold sesame noodles with cucumber</v>
      </c>
      <c r="C4" s="10" t="s">
        <v>95</v>
      </c>
      <c r="D4" s="10" t="n">
        <v>1</v>
      </c>
      <c r="E4" s="12" t="str">
        <f aca="false">IF(C4="","",IFERROR(INDEX('Ingredient Catalog'!$C:$C,MATCH(C4,'Ingredient Catalog'!$A:$A,0)),"⚠ not in catalog"))</f>
        <v>lb</v>
      </c>
      <c r="G4" s="12" t="n">
        <f aca="false">IF(A4="","",COUNTIFS('Weekly Log'!$A:$A,'Grocery List'!$B$3,'Weekly Log'!$C:$C,A4,'Weekly Log'!$E:$E,"Yes"))</f>
        <v>1</v>
      </c>
      <c r="H4" s="12" t="n">
        <f aca="false">IF(OR(A4="",D4=""),"",D4*G4)</f>
        <v>1</v>
      </c>
    </row>
    <row r="5" customFormat="false" ht="15" hidden="false" customHeight="false" outlineLevel="0" collapsed="false">
      <c r="A5" s="10" t="s">
        <v>45</v>
      </c>
      <c r="B5" s="12" t="str">
        <f aca="false">IF(A5="","",IFERROR(INDEX(Recipes!$B:$B,MATCH(A5,Recipes!$A:$A,0)),"⚠ unknown recipe_id"))</f>
        <v>Cold sesame noodles with cucumber</v>
      </c>
      <c r="C5" s="10" t="s">
        <v>96</v>
      </c>
      <c r="D5" s="10" t="n">
        <v>2</v>
      </c>
      <c r="E5" s="12" t="str">
        <f aca="false">IF(C5="","",IFERROR(INDEX('Ingredient Catalog'!$C:$C,MATCH(C5,'Ingredient Catalog'!$A:$A,0)),"⚠ not in catalog"))</f>
        <v>each</v>
      </c>
      <c r="F5" s="10" t="s">
        <v>97</v>
      </c>
      <c r="G5" s="12" t="n">
        <f aca="false">IF(A5="","",COUNTIFS('Weekly Log'!$A:$A,'Grocery List'!$B$3,'Weekly Log'!$C:$C,A5,'Weekly Log'!$E:$E,"Yes"))</f>
        <v>1</v>
      </c>
      <c r="H5" s="12" t="n">
        <f aca="false">IF(OR(A5="",D5=""),"",D5*G5)</f>
        <v>2</v>
      </c>
    </row>
    <row r="6" customFormat="false" ht="15" hidden="false" customHeight="false" outlineLevel="0" collapsed="false">
      <c r="A6" s="10" t="s">
        <v>45</v>
      </c>
      <c r="B6" s="12" t="str">
        <f aca="false">IF(A6="","",IFERROR(INDEX(Recipes!$B:$B,MATCH(A6,Recipes!$A:$A,0)),"⚠ unknown recipe_id"))</f>
        <v>Cold sesame noodles with cucumber</v>
      </c>
      <c r="C6" s="10" t="s">
        <v>98</v>
      </c>
      <c r="D6" s="10" t="n">
        <v>3</v>
      </c>
      <c r="E6" s="12" t="str">
        <f aca="false">IF(C6="","",IFERROR(INDEX('Ingredient Catalog'!$C:$C,MATCH(C6,'Ingredient Catalog'!$A:$A,0)),"⚠ not in catalog"))</f>
        <v>tbsp</v>
      </c>
      <c r="G6" s="12" t="n">
        <f aca="false">IF(A6="","",COUNTIFS('Weekly Log'!$A:$A,'Grocery List'!$B$3,'Weekly Log'!$C:$C,A6,'Weekly Log'!$E:$E,"Yes"))</f>
        <v>1</v>
      </c>
      <c r="H6" s="12" t="n">
        <f aca="false">IF(OR(A6="",D6=""),"",D6*G6)</f>
        <v>3</v>
      </c>
    </row>
    <row r="7" customFormat="false" ht="15" hidden="false" customHeight="false" outlineLevel="0" collapsed="false">
      <c r="A7" s="10" t="s">
        <v>45</v>
      </c>
      <c r="B7" s="12" t="str">
        <f aca="false">IF(A7="","",IFERROR(INDEX(Recipes!$B:$B,MATCH(A7,Recipes!$A:$A,0)),"⚠ unknown recipe_id"))</f>
        <v>Cold sesame noodles with cucumber</v>
      </c>
      <c r="C7" s="10" t="s">
        <v>99</v>
      </c>
      <c r="D7" s="10" t="n">
        <v>3</v>
      </c>
      <c r="E7" s="12" t="str">
        <f aca="false">IF(C7="","",IFERROR(INDEX('Ingredient Catalog'!$C:$C,MATCH(C7,'Ingredient Catalog'!$A:$A,0)),"⚠ not in catalog"))</f>
        <v>tbsp</v>
      </c>
      <c r="G7" s="12" t="n">
        <f aca="false">IF(A7="","",COUNTIFS('Weekly Log'!$A:$A,'Grocery List'!$B$3,'Weekly Log'!$C:$C,A7,'Weekly Log'!$E:$E,"Yes"))</f>
        <v>1</v>
      </c>
      <c r="H7" s="12" t="n">
        <f aca="false">IF(OR(A7="",D7=""),"",D7*G7)</f>
        <v>3</v>
      </c>
    </row>
    <row r="8" customFormat="false" ht="15" hidden="false" customHeight="false" outlineLevel="0" collapsed="false">
      <c r="A8" s="10" t="s">
        <v>45</v>
      </c>
      <c r="B8" s="12" t="str">
        <f aca="false">IF(A8="","",IFERROR(INDEX(Recipes!$B:$B,MATCH(A8,Recipes!$A:$A,0)),"⚠ unknown recipe_id"))</f>
        <v>Cold sesame noodles with cucumber</v>
      </c>
      <c r="C8" s="10" t="s">
        <v>100</v>
      </c>
      <c r="D8" s="10" t="n">
        <v>1</v>
      </c>
      <c r="E8" s="12" t="str">
        <f aca="false">IF(C8="","",IFERROR(INDEX('Ingredient Catalog'!$C:$C,MATCH(C8,'Ingredient Catalog'!$A:$A,0)),"⚠ not in catalog"))</f>
        <v>tbsp</v>
      </c>
      <c r="G8" s="12" t="n">
        <f aca="false">IF(A8="","",COUNTIFS('Weekly Log'!$A:$A,'Grocery List'!$B$3,'Weekly Log'!$C:$C,A8,'Weekly Log'!$E:$E,"Yes"))</f>
        <v>1</v>
      </c>
      <c r="H8" s="12" t="n">
        <f aca="false">IF(OR(A8="",D8=""),"",D8*G8)</f>
        <v>1</v>
      </c>
    </row>
    <row r="9" customFormat="false" ht="15" hidden="false" customHeight="false" outlineLevel="0" collapsed="false">
      <c r="A9" s="10" t="s">
        <v>45</v>
      </c>
      <c r="B9" s="12" t="str">
        <f aca="false">IF(A9="","",IFERROR(INDEX(Recipes!$B:$B,MATCH(A9,Recipes!$A:$A,0)),"⚠ unknown recipe_id"))</f>
        <v>Cold sesame noodles with cucumber</v>
      </c>
      <c r="C9" s="10" t="s">
        <v>101</v>
      </c>
      <c r="D9" s="10" t="n">
        <v>1</v>
      </c>
      <c r="E9" s="12" t="str">
        <f aca="false">IF(C9="","",IFERROR(INDEX('Ingredient Catalog'!$C:$C,MATCH(C9,'Ingredient Catalog'!$A:$A,0)),"⚠ not in catalog"))</f>
        <v>tbsp</v>
      </c>
      <c r="G9" s="12" t="n">
        <f aca="false">IF(A9="","",COUNTIFS('Weekly Log'!$A:$A,'Grocery List'!$B$3,'Weekly Log'!$C:$C,A9,'Weekly Log'!$E:$E,"Yes"))</f>
        <v>1</v>
      </c>
      <c r="H9" s="12" t="n">
        <f aca="false">IF(OR(A9="",D9=""),"",D9*G9)</f>
        <v>1</v>
      </c>
    </row>
    <row r="10" customFormat="false" ht="15" hidden="false" customHeight="false" outlineLevel="0" collapsed="false">
      <c r="A10" s="10" t="s">
        <v>45</v>
      </c>
      <c r="B10" s="12" t="str">
        <f aca="false">IF(A10="","",IFERROR(INDEX(Recipes!$B:$B,MATCH(A10,Recipes!$A:$A,0)),"⚠ unknown recipe_id"))</f>
        <v>Cold sesame noodles with cucumber</v>
      </c>
      <c r="C10" s="10" t="s">
        <v>102</v>
      </c>
      <c r="D10" s="10" t="n">
        <v>3</v>
      </c>
      <c r="E10" s="12" t="str">
        <f aca="false">IF(C10="","",IFERROR(INDEX('Ingredient Catalog'!$C:$C,MATCH(C10,'Ingredient Catalog'!$A:$A,0)),"⚠ not in catalog"))</f>
        <v>clove</v>
      </c>
      <c r="F10" s="10" t="s">
        <v>103</v>
      </c>
      <c r="G10" s="12" t="n">
        <f aca="false">IF(A10="","",COUNTIFS('Weekly Log'!$A:$A,'Grocery List'!$B$3,'Weekly Log'!$C:$C,A10,'Weekly Log'!$E:$E,"Yes"))</f>
        <v>1</v>
      </c>
      <c r="H10" s="12" t="n">
        <f aca="false">IF(OR(A10="",D10=""),"",D10*G10)</f>
        <v>3</v>
      </c>
    </row>
    <row r="11" customFormat="false" ht="15" hidden="false" customHeight="false" outlineLevel="0" collapsed="false">
      <c r="A11" s="10" t="s">
        <v>45</v>
      </c>
      <c r="B11" s="12" t="str">
        <f aca="false">IF(A11="","",IFERROR(INDEX(Recipes!$B:$B,MATCH(A11,Recipes!$A:$A,0)),"⚠ unknown recipe_id"))</f>
        <v>Cold sesame noodles with cucumber</v>
      </c>
      <c r="C11" s="10" t="s">
        <v>104</v>
      </c>
      <c r="D11" s="10" t="n">
        <v>1</v>
      </c>
      <c r="E11" s="12" t="str">
        <f aca="false">IF(C11="","",IFERROR(INDEX('Ingredient Catalog'!$C:$C,MATCH(C11,'Ingredient Catalog'!$A:$A,0)),"⚠ not in catalog"))</f>
        <v>bunch</v>
      </c>
      <c r="G11" s="12" t="n">
        <f aca="false">IF(A11="","",COUNTIFS('Weekly Log'!$A:$A,'Grocery List'!$B$3,'Weekly Log'!$C:$C,A11,'Weekly Log'!$E:$E,"Yes"))</f>
        <v>1</v>
      </c>
      <c r="H11" s="12" t="n">
        <f aca="false">IF(OR(A11="",D11=""),"",D11*G11)</f>
        <v>1</v>
      </c>
    </row>
    <row r="12" customFormat="false" ht="15" hidden="false" customHeight="false" outlineLevel="0" collapsed="false">
      <c r="A12" s="10" t="s">
        <v>48</v>
      </c>
      <c r="B12" s="12" t="str">
        <f aca="false">IF(A12="","",IFERROR(INDEX(Recipes!$B:$B,MATCH(A12,Recipes!$A:$A,0)),"⚠ unknown recipe_id"))</f>
        <v>Ciorbă de perișoare (meatball soup)</v>
      </c>
      <c r="C12" s="10" t="s">
        <v>105</v>
      </c>
      <c r="D12" s="10" t="n">
        <v>1</v>
      </c>
      <c r="E12" s="12" t="str">
        <f aca="false">IF(C12="","",IFERROR(INDEX('Ingredient Catalog'!$C:$C,MATCH(C12,'Ingredient Catalog'!$A:$A,0)),"⚠ not in catalog"))</f>
        <v>lb</v>
      </c>
      <c r="G12" s="12" t="n">
        <f aca="false">IF(A12="","",COUNTIFS('Weekly Log'!$A:$A,'Grocery List'!$B$3,'Weekly Log'!$C:$C,A12,'Weekly Log'!$E:$E,"Yes"))</f>
        <v>1</v>
      </c>
      <c r="H12" s="12" t="n">
        <f aca="false">IF(OR(A12="",D12=""),"",D12*G12)</f>
        <v>1</v>
      </c>
    </row>
    <row r="13" customFormat="false" ht="15" hidden="false" customHeight="false" outlineLevel="0" collapsed="false">
      <c r="A13" s="10" t="s">
        <v>48</v>
      </c>
      <c r="B13" s="12" t="str">
        <f aca="false">IF(A13="","",IFERROR(INDEX(Recipes!$B:$B,MATCH(A13,Recipes!$A:$A,0)),"⚠ unknown recipe_id"))</f>
        <v>Ciorbă de perișoare (meatball soup)</v>
      </c>
      <c r="C13" s="10" t="s">
        <v>106</v>
      </c>
      <c r="D13" s="10" t="n">
        <v>0.33</v>
      </c>
      <c r="E13" s="12" t="str">
        <f aca="false">IF(C13="","",IFERROR(INDEX('Ingredient Catalog'!$C:$C,MATCH(C13,'Ingredient Catalog'!$A:$A,0)),"⚠ not in catalog"))</f>
        <v>cup</v>
      </c>
      <c r="G13" s="12" t="n">
        <f aca="false">IF(A13="","",COUNTIFS('Weekly Log'!$A:$A,'Grocery List'!$B$3,'Weekly Log'!$C:$C,A13,'Weekly Log'!$E:$E,"Yes"))</f>
        <v>1</v>
      </c>
      <c r="H13" s="12" t="n">
        <f aca="false">IF(OR(A13="",D13=""),"",D13*G13)</f>
        <v>0.33</v>
      </c>
    </row>
    <row r="14" customFormat="false" ht="15" hidden="false" customHeight="false" outlineLevel="0" collapsed="false">
      <c r="A14" s="10" t="s">
        <v>48</v>
      </c>
      <c r="B14" s="12" t="str">
        <f aca="false">IF(A14="","",IFERROR(INDEX(Recipes!$B:$B,MATCH(A14,Recipes!$A:$A,0)),"⚠ unknown recipe_id"))</f>
        <v>Ciorbă de perișoare (meatball soup)</v>
      </c>
      <c r="C14" s="10" t="s">
        <v>107</v>
      </c>
      <c r="D14" s="10" t="n">
        <v>1</v>
      </c>
      <c r="E14" s="12" t="str">
        <f aca="false">IF(C14="","",IFERROR(INDEX('Ingredient Catalog'!$C:$C,MATCH(C14,'Ingredient Catalog'!$A:$A,0)),"⚠ not in catalog"))</f>
        <v>each</v>
      </c>
      <c r="F14" s="10" t="s">
        <v>108</v>
      </c>
      <c r="G14" s="12" t="n">
        <f aca="false">IF(A14="","",COUNTIFS('Weekly Log'!$A:$A,'Grocery List'!$B$3,'Weekly Log'!$C:$C,A14,'Weekly Log'!$E:$E,"Yes"))</f>
        <v>1</v>
      </c>
      <c r="H14" s="12" t="n">
        <f aca="false">IF(OR(A14="",D14=""),"",D14*G14)</f>
        <v>1</v>
      </c>
    </row>
    <row r="15" customFormat="false" ht="15" hidden="false" customHeight="false" outlineLevel="0" collapsed="false">
      <c r="A15" s="10" t="s">
        <v>48</v>
      </c>
      <c r="B15" s="12" t="str">
        <f aca="false">IF(A15="","",IFERROR(INDEX(Recipes!$B:$B,MATCH(A15,Recipes!$A:$A,0)),"⚠ unknown recipe_id"))</f>
        <v>Ciorbă de perișoare (meatball soup)</v>
      </c>
      <c r="C15" s="10" t="s">
        <v>109</v>
      </c>
      <c r="D15" s="10" t="n">
        <v>2</v>
      </c>
      <c r="E15" s="12" t="str">
        <f aca="false">IF(C15="","",IFERROR(INDEX('Ingredient Catalog'!$C:$C,MATCH(C15,'Ingredient Catalog'!$A:$A,0)),"⚠ not in catalog"))</f>
        <v>each</v>
      </c>
      <c r="G15" s="12" t="n">
        <f aca="false">IF(A15="","",COUNTIFS('Weekly Log'!$A:$A,'Grocery List'!$B$3,'Weekly Log'!$C:$C,A15,'Weekly Log'!$E:$E,"Yes"))</f>
        <v>1</v>
      </c>
      <c r="H15" s="12" t="n">
        <f aca="false">IF(OR(A15="",D15=""),"",D15*G15)</f>
        <v>2</v>
      </c>
    </row>
    <row r="16" customFormat="false" ht="15" hidden="false" customHeight="false" outlineLevel="0" collapsed="false">
      <c r="A16" s="10" t="s">
        <v>48</v>
      </c>
      <c r="B16" s="12" t="str">
        <f aca="false">IF(A16="","",IFERROR(INDEX(Recipes!$B:$B,MATCH(A16,Recipes!$A:$A,0)),"⚠ unknown recipe_id"))</f>
        <v>Ciorbă de perișoare (meatball soup)</v>
      </c>
      <c r="C16" s="10" t="s">
        <v>110</v>
      </c>
      <c r="D16" s="10" t="n">
        <v>1</v>
      </c>
      <c r="E16" s="12" t="str">
        <f aca="false">IF(C16="","",IFERROR(INDEX('Ingredient Catalog'!$C:$C,MATCH(C16,'Ingredient Catalog'!$A:$A,0)),"⚠ not in catalog"))</f>
        <v>bunch</v>
      </c>
      <c r="G16" s="12" t="n">
        <f aca="false">IF(A16="","",COUNTIFS('Weekly Log'!$A:$A,'Grocery List'!$B$3,'Weekly Log'!$C:$C,A16,'Weekly Log'!$E:$E,"Yes"))</f>
        <v>1</v>
      </c>
      <c r="H16" s="12" t="n">
        <f aca="false">IF(OR(A16="",D16=""),"",D16*G16)</f>
        <v>1</v>
      </c>
    </row>
    <row r="17" customFormat="false" ht="15" hidden="false" customHeight="false" outlineLevel="0" collapsed="false">
      <c r="A17" s="10" t="s">
        <v>48</v>
      </c>
      <c r="B17" s="12" t="str">
        <f aca="false">IF(A17="","",IFERROR(INDEX(Recipes!$B:$B,MATCH(A17,Recipes!$A:$A,0)),"⚠ unknown recipe_id"))</f>
        <v>Ciorbă de perișoare (meatball soup)</v>
      </c>
      <c r="C17" s="10" t="s">
        <v>111</v>
      </c>
      <c r="D17" s="10" t="n">
        <v>2</v>
      </c>
      <c r="E17" s="12" t="str">
        <f aca="false">IF(C17="","",IFERROR(INDEX('Ingredient Catalog'!$C:$C,MATCH(C17,'Ingredient Catalog'!$A:$A,0)),"⚠ not in catalog"))</f>
        <v>cup</v>
      </c>
      <c r="G17" s="12" t="n">
        <f aca="false">IF(A17="","",COUNTIFS('Weekly Log'!$A:$A,'Grocery List'!$B$3,'Weekly Log'!$C:$C,A17,'Weekly Log'!$E:$E,"Yes"))</f>
        <v>1</v>
      </c>
      <c r="H17" s="12" t="n">
        <f aca="false">IF(OR(A17="",D17=""),"",D17*G17)</f>
        <v>2</v>
      </c>
    </row>
    <row r="18" customFormat="false" ht="15" hidden="false" customHeight="false" outlineLevel="0" collapsed="false">
      <c r="A18" s="10" t="s">
        <v>48</v>
      </c>
      <c r="B18" s="12" t="str">
        <f aca="false">IF(A18="","",IFERROR(INDEX(Recipes!$B:$B,MATCH(A18,Recipes!$A:$A,0)),"⚠ unknown recipe_id"))</f>
        <v>Ciorbă de perișoare (meatball soup)</v>
      </c>
      <c r="C18" s="10" t="s">
        <v>112</v>
      </c>
      <c r="D18" s="10" t="n">
        <v>1</v>
      </c>
      <c r="E18" s="12" t="str">
        <f aca="false">IF(C18="","",IFERROR(INDEX('Ingredient Catalog'!$C:$C,MATCH(C18,'Ingredient Catalog'!$A:$A,0)),"⚠ not in catalog"))</f>
        <v>each</v>
      </c>
      <c r="G18" s="12" t="n">
        <f aca="false">IF(A18="","",COUNTIFS('Weekly Log'!$A:$A,'Grocery List'!$B$3,'Weekly Log'!$C:$C,A18,'Weekly Log'!$E:$E,"Yes"))</f>
        <v>1</v>
      </c>
      <c r="H18" s="12" t="n">
        <f aca="false">IF(OR(A18="",D18=""),"",D18*G18)</f>
        <v>1</v>
      </c>
    </row>
    <row r="19" customFormat="false" ht="15" hidden="false" customHeight="false" outlineLevel="0" collapsed="false">
      <c r="A19" s="10" t="s">
        <v>48</v>
      </c>
      <c r="B19" s="12" t="str">
        <f aca="false">IF(A19="","",IFERROR(INDEX(Recipes!$B:$B,MATCH(A19,Recipes!$A:$A,0)),"⚠ unknown recipe_id"))</f>
        <v>Ciorbă de perișoare (meatball soup)</v>
      </c>
      <c r="C19" s="10" t="s">
        <v>113</v>
      </c>
      <c r="D19" s="10" t="n">
        <v>1</v>
      </c>
      <c r="E19" s="12" t="str">
        <f aca="false">IF(C19="","",IFERROR(INDEX('Ingredient Catalog'!$C:$C,MATCH(C19,'Ingredient Catalog'!$A:$A,0)),"⚠ not in catalog"))</f>
        <v>cup</v>
      </c>
      <c r="F19" s="10" t="s">
        <v>114</v>
      </c>
      <c r="G19" s="12" t="n">
        <f aca="false">IF(A19="","",COUNTIFS('Weekly Log'!$A:$A,'Grocery List'!$B$3,'Weekly Log'!$C:$C,A19,'Weekly Log'!$E:$E,"Yes"))</f>
        <v>1</v>
      </c>
      <c r="H19" s="12" t="n">
        <f aca="false">IF(OR(A19="",D19=""),"",D19*G19)</f>
        <v>1</v>
      </c>
    </row>
    <row r="20" customFormat="false" ht="15" hidden="false" customHeight="false" outlineLevel="0" collapsed="false">
      <c r="A20" s="10" t="s">
        <v>48</v>
      </c>
      <c r="B20" s="12" t="str">
        <f aca="false">IF(A20="","",IFERROR(INDEX(Recipes!$B:$B,MATCH(A20,Recipes!$A:$A,0)),"⚠ unknown recipe_id"))</f>
        <v>Ciorbă de perișoare (meatball soup)</v>
      </c>
      <c r="C20" s="10" t="s">
        <v>115</v>
      </c>
      <c r="D20" s="10" t="n">
        <v>2</v>
      </c>
      <c r="E20" s="12" t="str">
        <f aca="false">IF(C20="","",IFERROR(INDEX('Ingredient Catalog'!$C:$C,MATCH(C20,'Ingredient Catalog'!$A:$A,0)),"⚠ not in catalog"))</f>
        <v>tbsp</v>
      </c>
      <c r="G20" s="12" t="n">
        <f aca="false">IF(A20="","",COUNTIFS('Weekly Log'!$A:$A,'Grocery List'!$B$3,'Weekly Log'!$C:$C,A20,'Weekly Log'!$E:$E,"Yes"))</f>
        <v>1</v>
      </c>
      <c r="H20" s="12" t="n">
        <f aca="false">IF(OR(A20="",D20=""),"",D20*G20)</f>
        <v>2</v>
      </c>
    </row>
    <row r="21" customFormat="false" ht="15" hidden="false" customHeight="false" outlineLevel="0" collapsed="false">
      <c r="A21" s="10" t="s">
        <v>55</v>
      </c>
      <c r="B21" s="12" t="str">
        <f aca="false">IF(A21="","",IFERROR(INDEX(Recipes!$B:$B,MATCH(A21,Recipes!$A:$A,0)),"⚠ unknown recipe_id"))</f>
        <v>Sheet-pan sausage, peppers &amp; potatoes</v>
      </c>
      <c r="C21" s="10" t="s">
        <v>116</v>
      </c>
      <c r="D21" s="10" t="n">
        <v>1.5</v>
      </c>
      <c r="E21" s="12" t="str">
        <f aca="false">IF(C21="","",IFERROR(INDEX('Ingredient Catalog'!$C:$C,MATCH(C21,'Ingredient Catalog'!$A:$A,0)),"⚠ not in catalog"))</f>
        <v>lb</v>
      </c>
      <c r="G21" s="12" t="n">
        <f aca="false">IF(A21="","",COUNTIFS('Weekly Log'!$A:$A,'Grocery List'!$B$3,'Weekly Log'!$C:$C,A21,'Weekly Log'!$E:$E,"Yes"))</f>
        <v>1</v>
      </c>
      <c r="H21" s="12" t="n">
        <f aca="false">IF(OR(A21="",D21=""),"",D21*G21)</f>
        <v>1.5</v>
      </c>
    </row>
    <row r="22" customFormat="false" ht="15" hidden="false" customHeight="false" outlineLevel="0" collapsed="false">
      <c r="A22" s="10" t="s">
        <v>55</v>
      </c>
      <c r="B22" s="12" t="str">
        <f aca="false">IF(A22="","",IFERROR(INDEX(Recipes!$B:$B,MATCH(A22,Recipes!$A:$A,0)),"⚠ unknown recipe_id"))</f>
        <v>Sheet-pan sausage, peppers &amp; potatoes</v>
      </c>
      <c r="C22" s="10" t="s">
        <v>117</v>
      </c>
      <c r="D22" s="10" t="n">
        <v>3</v>
      </c>
      <c r="E22" s="12" t="str">
        <f aca="false">IF(C22="","",IFERROR(INDEX('Ingredient Catalog'!$C:$C,MATCH(C22,'Ingredient Catalog'!$A:$A,0)),"⚠ not in catalog"))</f>
        <v>each</v>
      </c>
      <c r="F22" s="10" t="s">
        <v>118</v>
      </c>
      <c r="G22" s="12" t="n">
        <f aca="false">IF(A22="","",COUNTIFS('Weekly Log'!$A:$A,'Grocery List'!$B$3,'Weekly Log'!$C:$C,A22,'Weekly Log'!$E:$E,"Yes"))</f>
        <v>1</v>
      </c>
      <c r="H22" s="12" t="n">
        <f aca="false">IF(OR(A22="",D22=""),"",D22*G22)</f>
        <v>3</v>
      </c>
    </row>
    <row r="23" customFormat="false" ht="15" hidden="false" customHeight="false" outlineLevel="0" collapsed="false">
      <c r="A23" s="10" t="s">
        <v>55</v>
      </c>
      <c r="B23" s="12" t="str">
        <f aca="false">IF(A23="","",IFERROR(INDEX(Recipes!$B:$B,MATCH(A23,Recipes!$A:$A,0)),"⚠ unknown recipe_id"))</f>
        <v>Sheet-pan sausage, peppers &amp; potatoes</v>
      </c>
      <c r="C23" s="10" t="s">
        <v>107</v>
      </c>
      <c r="D23" s="10" t="n">
        <v>1</v>
      </c>
      <c r="E23" s="12" t="str">
        <f aca="false">IF(C23="","",IFERROR(INDEX('Ingredient Catalog'!$C:$C,MATCH(C23,'Ingredient Catalog'!$A:$A,0)),"⚠ not in catalog"))</f>
        <v>each</v>
      </c>
      <c r="F23" s="10" t="s">
        <v>119</v>
      </c>
      <c r="G23" s="12" t="n">
        <f aca="false">IF(A23="","",COUNTIFS('Weekly Log'!$A:$A,'Grocery List'!$B$3,'Weekly Log'!$C:$C,A23,'Weekly Log'!$E:$E,"Yes"))</f>
        <v>1</v>
      </c>
      <c r="H23" s="12" t="n">
        <f aca="false">IF(OR(A23="",D23=""),"",D23*G23)</f>
        <v>1</v>
      </c>
    </row>
    <row r="24" customFormat="false" ht="15" hidden="false" customHeight="false" outlineLevel="0" collapsed="false">
      <c r="A24" s="10" t="s">
        <v>55</v>
      </c>
      <c r="B24" s="12" t="str">
        <f aca="false">IF(A24="","",IFERROR(INDEX(Recipes!$B:$B,MATCH(A24,Recipes!$A:$A,0)),"⚠ unknown recipe_id"))</f>
        <v>Sheet-pan sausage, peppers &amp; potatoes</v>
      </c>
      <c r="C24" s="10" t="s">
        <v>120</v>
      </c>
      <c r="D24" s="10" t="n">
        <v>1.5</v>
      </c>
      <c r="E24" s="12" t="str">
        <f aca="false">IF(C24="","",IFERROR(INDEX('Ingredient Catalog'!$C:$C,MATCH(C24,'Ingredient Catalog'!$A:$A,0)),"⚠ not in catalog"))</f>
        <v>lb</v>
      </c>
      <c r="F24" s="10" t="s">
        <v>121</v>
      </c>
      <c r="G24" s="12" t="n">
        <f aca="false">IF(A24="","",COUNTIFS('Weekly Log'!$A:$A,'Grocery List'!$B$3,'Weekly Log'!$C:$C,A24,'Weekly Log'!$E:$E,"Yes"))</f>
        <v>1</v>
      </c>
      <c r="H24" s="12" t="n">
        <f aca="false">IF(OR(A24="",D24=""),"",D24*G24)</f>
        <v>1.5</v>
      </c>
    </row>
    <row r="25" customFormat="false" ht="15" hidden="false" customHeight="false" outlineLevel="0" collapsed="false">
      <c r="A25" s="10" t="s">
        <v>55</v>
      </c>
      <c r="B25" s="12" t="str">
        <f aca="false">IF(A25="","",IFERROR(INDEX(Recipes!$B:$B,MATCH(A25,Recipes!$A:$A,0)),"⚠ unknown recipe_id"))</f>
        <v>Sheet-pan sausage, peppers &amp; potatoes</v>
      </c>
      <c r="C25" s="10" t="s">
        <v>122</v>
      </c>
      <c r="D25" s="10" t="n">
        <v>3</v>
      </c>
      <c r="E25" s="12" t="str">
        <f aca="false">IF(C25="","",IFERROR(INDEX('Ingredient Catalog'!$C:$C,MATCH(C25,'Ingredient Catalog'!$A:$A,0)),"⚠ not in catalog"))</f>
        <v>tbsp</v>
      </c>
      <c r="G25" s="12" t="n">
        <f aca="false">IF(A25="","",COUNTIFS('Weekly Log'!$A:$A,'Grocery List'!$B$3,'Weekly Log'!$C:$C,A25,'Weekly Log'!$E:$E,"Yes"))</f>
        <v>1</v>
      </c>
      <c r="H25" s="12" t="n">
        <f aca="false">IF(OR(A25="",D25=""),"",D25*G25)</f>
        <v>3</v>
      </c>
    </row>
    <row r="26" customFormat="false" ht="15" hidden="false" customHeight="false" outlineLevel="0" collapsed="false">
      <c r="A26" s="10" t="s">
        <v>55</v>
      </c>
      <c r="B26" s="12" t="str">
        <f aca="false">IF(A26="","",IFERROR(INDEX(Recipes!$B:$B,MATCH(A26,Recipes!$A:$A,0)),"⚠ unknown recipe_id"))</f>
        <v>Sheet-pan sausage, peppers &amp; potatoes</v>
      </c>
      <c r="C26" s="10" t="s">
        <v>102</v>
      </c>
      <c r="D26" s="10" t="n">
        <v>4</v>
      </c>
      <c r="E26" s="12" t="str">
        <f aca="false">IF(C26="","",IFERROR(INDEX('Ingredient Catalog'!$C:$C,MATCH(C26,'Ingredient Catalog'!$A:$A,0)),"⚠ not in catalog"))</f>
        <v>clove</v>
      </c>
      <c r="G26" s="12" t="n">
        <f aca="false">IF(A26="","",COUNTIFS('Weekly Log'!$A:$A,'Grocery List'!$B$3,'Weekly Log'!$C:$C,A26,'Weekly Log'!$E:$E,"Yes"))</f>
        <v>1</v>
      </c>
      <c r="H26" s="12" t="n">
        <f aca="false">IF(OR(A26="",D26=""),"",D26*G26)</f>
        <v>4</v>
      </c>
    </row>
    <row r="27" customFormat="false" ht="15" hidden="false" customHeight="false" outlineLevel="0" collapsed="false">
      <c r="A27" s="10" t="s">
        <v>63</v>
      </c>
      <c r="B27" s="12" t="str">
        <f aca="false">IF(A27="","",IFERROR(INDEX(Recipes!$B:$B,MATCH(A27,Recipes!$A:$A,0)),"⚠ unknown recipe_id"))</f>
        <v>Chicken papricaș with mămăligă</v>
      </c>
      <c r="C27" s="10" t="s">
        <v>123</v>
      </c>
      <c r="D27" s="10" t="n">
        <v>2</v>
      </c>
      <c r="E27" s="12" t="str">
        <f aca="false">IF(C27="","",IFERROR(INDEX('Ingredient Catalog'!$C:$C,MATCH(C27,'Ingredient Catalog'!$A:$A,0)),"⚠ not in catalog"))</f>
        <v>lb</v>
      </c>
      <c r="G27" s="12" t="n">
        <f aca="false">IF(A27="","",COUNTIFS('Weekly Log'!$A:$A,'Grocery List'!$B$3,'Weekly Log'!$C:$C,A27,'Weekly Log'!$E:$E,"Yes"))</f>
        <v>1</v>
      </c>
      <c r="H27" s="12" t="n">
        <f aca="false">IF(OR(A27="",D27=""),"",D27*G27)</f>
        <v>2</v>
      </c>
    </row>
    <row r="28" customFormat="false" ht="15" hidden="false" customHeight="false" outlineLevel="0" collapsed="false">
      <c r="A28" s="10" t="s">
        <v>63</v>
      </c>
      <c r="B28" s="12" t="str">
        <f aca="false">IF(A28="","",IFERROR(INDEX(Recipes!$B:$B,MATCH(A28,Recipes!$A:$A,0)),"⚠ unknown recipe_id"))</f>
        <v>Chicken papricaș with mămăligă</v>
      </c>
      <c r="C28" s="10" t="s">
        <v>107</v>
      </c>
      <c r="D28" s="10" t="n">
        <v>2</v>
      </c>
      <c r="E28" s="12" t="str">
        <f aca="false">IF(C28="","",IFERROR(INDEX('Ingredient Catalog'!$C:$C,MATCH(C28,'Ingredient Catalog'!$A:$A,0)),"⚠ not in catalog"))</f>
        <v>each</v>
      </c>
      <c r="G28" s="12" t="n">
        <f aca="false">IF(A28="","",COUNTIFS('Weekly Log'!$A:$A,'Grocery List'!$B$3,'Weekly Log'!$C:$C,A28,'Weekly Log'!$E:$E,"Yes"))</f>
        <v>1</v>
      </c>
      <c r="H28" s="12" t="n">
        <f aca="false">IF(OR(A28="",D28=""),"",D28*G28)</f>
        <v>2</v>
      </c>
    </row>
    <row r="29" customFormat="false" ht="15" hidden="false" customHeight="false" outlineLevel="0" collapsed="false">
      <c r="A29" s="10" t="s">
        <v>63</v>
      </c>
      <c r="B29" s="12" t="str">
        <f aca="false">IF(A29="","",IFERROR(INDEX(Recipes!$B:$B,MATCH(A29,Recipes!$A:$A,0)),"⚠ unknown recipe_id"))</f>
        <v>Chicken papricaș with mămăligă</v>
      </c>
      <c r="C29" s="10" t="s">
        <v>124</v>
      </c>
      <c r="D29" s="10" t="n">
        <v>2</v>
      </c>
      <c r="E29" s="12" t="str">
        <f aca="false">IF(C29="","",IFERROR(INDEX('Ingredient Catalog'!$C:$C,MATCH(C29,'Ingredient Catalog'!$A:$A,0)),"⚠ not in catalog"))</f>
        <v>tbsp</v>
      </c>
      <c r="G29" s="12" t="n">
        <f aca="false">IF(A29="","",COUNTIFS('Weekly Log'!$A:$A,'Grocery List'!$B$3,'Weekly Log'!$C:$C,A29,'Weekly Log'!$E:$E,"Yes"))</f>
        <v>1</v>
      </c>
      <c r="H29" s="12" t="n">
        <f aca="false">IF(OR(A29="",D29=""),"",D29*G29)</f>
        <v>2</v>
      </c>
    </row>
    <row r="30" customFormat="false" ht="15" hidden="false" customHeight="false" outlineLevel="0" collapsed="false">
      <c r="A30" s="10" t="s">
        <v>63</v>
      </c>
      <c r="B30" s="12" t="str">
        <f aca="false">IF(A30="","",IFERROR(INDEX(Recipes!$B:$B,MATCH(A30,Recipes!$A:$A,0)),"⚠ unknown recipe_id"))</f>
        <v>Chicken papricaș with mămăligă</v>
      </c>
      <c r="C30" s="10" t="s">
        <v>113</v>
      </c>
      <c r="D30" s="10" t="n">
        <v>1</v>
      </c>
      <c r="E30" s="12" t="str">
        <f aca="false">IF(C30="","",IFERROR(INDEX('Ingredient Catalog'!$C:$C,MATCH(C30,'Ingredient Catalog'!$A:$A,0)),"⚠ not in catalog"))</f>
        <v>cup</v>
      </c>
      <c r="G30" s="12" t="n">
        <f aca="false">IF(A30="","",COUNTIFS('Weekly Log'!$A:$A,'Grocery List'!$B$3,'Weekly Log'!$C:$C,A30,'Weekly Log'!$E:$E,"Yes"))</f>
        <v>1</v>
      </c>
      <c r="H30" s="12" t="n">
        <f aca="false">IF(OR(A30="",D30=""),"",D30*G30)</f>
        <v>1</v>
      </c>
    </row>
    <row r="31" customFormat="false" ht="15" hidden="false" customHeight="false" outlineLevel="0" collapsed="false">
      <c r="A31" s="10" t="s">
        <v>63</v>
      </c>
      <c r="B31" s="12" t="str">
        <f aca="false">IF(A31="","",IFERROR(INDEX(Recipes!$B:$B,MATCH(A31,Recipes!$A:$A,0)),"⚠ unknown recipe_id"))</f>
        <v>Chicken papricaș with mămăligă</v>
      </c>
      <c r="C31" s="10" t="s">
        <v>117</v>
      </c>
      <c r="D31" s="10" t="n">
        <v>1</v>
      </c>
      <c r="E31" s="12" t="str">
        <f aca="false">IF(C31="","",IFERROR(INDEX('Ingredient Catalog'!$C:$C,MATCH(C31,'Ingredient Catalog'!$A:$A,0)),"⚠ not in catalog"))</f>
        <v>each</v>
      </c>
      <c r="G31" s="12" t="n">
        <f aca="false">IF(A31="","",COUNTIFS('Weekly Log'!$A:$A,'Grocery List'!$B$3,'Weekly Log'!$C:$C,A31,'Weekly Log'!$E:$E,"Yes"))</f>
        <v>1</v>
      </c>
      <c r="H31" s="12" t="n">
        <f aca="false">IF(OR(A31="",D31=""),"",D31*G31)</f>
        <v>1</v>
      </c>
    </row>
    <row r="32" customFormat="false" ht="15" hidden="false" customHeight="false" outlineLevel="0" collapsed="false">
      <c r="A32" s="10" t="s">
        <v>63</v>
      </c>
      <c r="B32" s="12" t="str">
        <f aca="false">IF(A32="","",IFERROR(INDEX(Recipes!$B:$B,MATCH(A32,Recipes!$A:$A,0)),"⚠ unknown recipe_id"))</f>
        <v>Chicken papricaș with mămăligă</v>
      </c>
      <c r="C32" s="10" t="s">
        <v>125</v>
      </c>
      <c r="D32" s="10" t="n">
        <v>2</v>
      </c>
      <c r="E32" s="12" t="str">
        <f aca="false">IF(C32="","",IFERROR(INDEX('Ingredient Catalog'!$C:$C,MATCH(C32,'Ingredient Catalog'!$A:$A,0)),"⚠ not in catalog"))</f>
        <v>tbsp</v>
      </c>
      <c r="G32" s="12" t="n">
        <f aca="false">IF(A32="","",COUNTIFS('Weekly Log'!$A:$A,'Grocery List'!$B$3,'Weekly Log'!$C:$C,A32,'Weekly Log'!$E:$E,"Yes"))</f>
        <v>1</v>
      </c>
      <c r="H32" s="12" t="n">
        <f aca="false">IF(OR(A32="",D32=""),"",D32*G32)</f>
        <v>2</v>
      </c>
    </row>
    <row r="33" customFormat="false" ht="15" hidden="false" customHeight="false" outlineLevel="0" collapsed="false">
      <c r="A33" s="10" t="s">
        <v>63</v>
      </c>
      <c r="B33" s="12" t="str">
        <f aca="false">IF(A33="","",IFERROR(INDEX(Recipes!$B:$B,MATCH(A33,Recipes!$A:$A,0)),"⚠ unknown recipe_id"))</f>
        <v>Chicken papricaș with mămăligă</v>
      </c>
      <c r="C33" s="10" t="s">
        <v>126</v>
      </c>
      <c r="D33" s="10" t="n">
        <v>1.5</v>
      </c>
      <c r="E33" s="12" t="str">
        <f aca="false">IF(C33="","",IFERROR(INDEX('Ingredient Catalog'!$C:$C,MATCH(C33,'Ingredient Catalog'!$A:$A,0)),"⚠ not in catalog"))</f>
        <v>cup</v>
      </c>
      <c r="G33" s="12" t="n">
        <f aca="false">IF(A33="","",COUNTIFS('Weekly Log'!$A:$A,'Grocery List'!$B$3,'Weekly Log'!$C:$C,A33,'Weekly Log'!$E:$E,"Yes"))</f>
        <v>1</v>
      </c>
      <c r="H33" s="12" t="n">
        <f aca="false">IF(OR(A33="",D33=""),"",D33*G33)</f>
        <v>1.5</v>
      </c>
    </row>
    <row r="34" customFormat="false" ht="15" hidden="false" customHeight="false" outlineLevel="0" collapsed="false">
      <c r="A34" s="10" t="s">
        <v>63</v>
      </c>
      <c r="B34" s="12" t="str">
        <f aca="false">IF(A34="","",IFERROR(INDEX(Recipes!$B:$B,MATCH(A34,Recipes!$A:$A,0)),"⚠ unknown recipe_id"))</f>
        <v>Chicken papricaș with mămăligă</v>
      </c>
      <c r="C34" s="10" t="s">
        <v>127</v>
      </c>
      <c r="E34" s="12" t="str">
        <f aca="false">IF(C34="","",IFERROR(INDEX('Ingredient Catalog'!$C:$C,MATCH(C34,'Ingredient Catalog'!$A:$A,0)),"⚠ not in catalog"))</f>
        <v>to taste</v>
      </c>
      <c r="G34" s="12" t="n">
        <f aca="false">IF(A34="","",COUNTIFS('Weekly Log'!$A:$A,'Grocery List'!$B$3,'Weekly Log'!$C:$C,A34,'Weekly Log'!$E:$E,"Yes"))</f>
        <v>1</v>
      </c>
      <c r="H34" s="12" t="str">
        <f aca="false">IF(OR(A34="",D34=""),"",D34*G34)</f>
        <v/>
      </c>
    </row>
    <row r="35" customFormat="false" ht="15" hidden="false" customHeight="false" outlineLevel="0" collapsed="false">
      <c r="A35" s="10" t="s">
        <v>61</v>
      </c>
      <c r="B35" s="12" t="str">
        <f aca="false">IF(A35="","",IFERROR(INDEX(Recipes!$B:$B,MATCH(A35,Recipes!$A:$A,0)),"⚠ unknown recipe_id"))</f>
        <v>Tomato egg stir-fry</v>
      </c>
      <c r="C35" s="10" t="s">
        <v>112</v>
      </c>
      <c r="D35" s="10" t="n">
        <v>4</v>
      </c>
      <c r="E35" s="12" t="str">
        <f aca="false">IF(C35="","",IFERROR(INDEX('Ingredient Catalog'!$C:$C,MATCH(C35,'Ingredient Catalog'!$A:$A,0)),"⚠ not in catalog"))</f>
        <v>each</v>
      </c>
      <c r="G35" s="12" t="n">
        <f aca="false">IF(A35="","",COUNTIFS('Weekly Log'!$A:$A,'Grocery List'!$B$3,'Weekly Log'!$C:$C,A35,'Weekly Log'!$E:$E,"Yes"))</f>
        <v>0</v>
      </c>
      <c r="H35" s="12" t="n">
        <f aca="false">IF(OR(A35="",D35=""),"",D35*G35)</f>
        <v>0</v>
      </c>
    </row>
    <row r="36" customFormat="false" ht="15" hidden="false" customHeight="false" outlineLevel="0" collapsed="false">
      <c r="A36" s="10" t="s">
        <v>61</v>
      </c>
      <c r="B36" s="12" t="str">
        <f aca="false">IF(A36="","",IFERROR(INDEX(Recipes!$B:$B,MATCH(A36,Recipes!$A:$A,0)),"⚠ unknown recipe_id"))</f>
        <v>Tomato egg stir-fry</v>
      </c>
      <c r="C36" s="10" t="s">
        <v>104</v>
      </c>
      <c r="D36" s="10" t="n">
        <v>1</v>
      </c>
      <c r="E36" s="12" t="str">
        <f aca="false">IF(C36="","",IFERROR(INDEX('Ingredient Catalog'!$C:$C,MATCH(C36,'Ingredient Catalog'!$A:$A,0)),"⚠ not in catalog"))</f>
        <v>bunch</v>
      </c>
      <c r="G36" s="12" t="n">
        <f aca="false">IF(A36="","",COUNTIFS('Weekly Log'!$A:$A,'Grocery List'!$B$3,'Weekly Log'!$C:$C,A36,'Weekly Log'!$E:$E,"Yes"))</f>
        <v>0</v>
      </c>
      <c r="H36" s="12" t="n">
        <f aca="false">IF(OR(A36="",D36=""),"",D36*G36)</f>
        <v>0</v>
      </c>
    </row>
    <row r="37" customFormat="false" ht="15" hidden="false" customHeight="false" outlineLevel="0" collapsed="false">
      <c r="B37" s="12" t="str">
        <f aca="false">IF(A37="","",IFERROR(INDEX(Recipes!$B:$B,MATCH(A37,Recipes!$A:$A,0)),"⚠ unknown recipe_id"))</f>
        <v/>
      </c>
      <c r="E37" s="12" t="str">
        <f aca="false">IF(C37="","",IFERROR(INDEX('Ingredient Catalog'!$C:$C,MATCH(C37,'Ingredient Catalog'!$A:$A,0)),"⚠ not in catalog"))</f>
        <v/>
      </c>
      <c r="G37" s="12" t="str">
        <f aca="false">IF(A37="","",COUNTIFS('Weekly Log'!$A:$A,'Grocery List'!$B$3,'Weekly Log'!$C:$C,A37,'Weekly Log'!$E:$E,"Yes"))</f>
        <v/>
      </c>
      <c r="H37" s="12" t="str">
        <f aca="false">IF(OR(A37="",D37=""),"",D37*G37)</f>
        <v/>
      </c>
    </row>
    <row r="38" customFormat="false" ht="15" hidden="false" customHeight="false" outlineLevel="0" collapsed="false">
      <c r="B38" s="12" t="str">
        <f aca="false">IF(A38="","",IFERROR(INDEX(Recipes!$B:$B,MATCH(A38,Recipes!$A:$A,0)),"⚠ unknown recipe_id"))</f>
        <v/>
      </c>
      <c r="E38" s="12" t="str">
        <f aca="false">IF(C38="","",IFERROR(INDEX('Ingredient Catalog'!$C:$C,MATCH(C38,'Ingredient Catalog'!$A:$A,0)),"⚠ not in catalog"))</f>
        <v/>
      </c>
      <c r="G38" s="12" t="str">
        <f aca="false">IF(A38="","",COUNTIFS('Weekly Log'!$A:$A,'Grocery List'!$B$3,'Weekly Log'!$C:$C,A38,'Weekly Log'!$E:$E,"Yes"))</f>
        <v/>
      </c>
      <c r="H38" s="12" t="str">
        <f aca="false">IF(OR(A38="",D38=""),"",D38*G38)</f>
        <v/>
      </c>
    </row>
    <row r="39" customFormat="false" ht="15" hidden="false" customHeight="false" outlineLevel="0" collapsed="false">
      <c r="B39" s="12" t="str">
        <f aca="false">IF(A39="","",IFERROR(INDEX(Recipes!$B:$B,MATCH(A39,Recipes!$A:$A,0)),"⚠ unknown recipe_id"))</f>
        <v/>
      </c>
      <c r="E39" s="12" t="str">
        <f aca="false">IF(C39="","",IFERROR(INDEX('Ingredient Catalog'!$C:$C,MATCH(C39,'Ingredient Catalog'!$A:$A,0)),"⚠ not in catalog"))</f>
        <v/>
      </c>
      <c r="G39" s="12" t="str">
        <f aca="false">IF(A39="","",COUNTIFS('Weekly Log'!$A:$A,'Grocery List'!$B$3,'Weekly Log'!$C:$C,A39,'Weekly Log'!$E:$E,"Yes"))</f>
        <v/>
      </c>
      <c r="H39" s="12" t="str">
        <f aca="false">IF(OR(A39="",D39=""),"",D39*G39)</f>
        <v/>
      </c>
    </row>
    <row r="40" customFormat="false" ht="15" hidden="false" customHeight="false" outlineLevel="0" collapsed="false">
      <c r="B40" s="12" t="str">
        <f aca="false">IF(A40="","",IFERROR(INDEX(Recipes!$B:$B,MATCH(A40,Recipes!$A:$A,0)),"⚠ unknown recipe_id"))</f>
        <v/>
      </c>
      <c r="E40" s="12" t="str">
        <f aca="false">IF(C40="","",IFERROR(INDEX('Ingredient Catalog'!$C:$C,MATCH(C40,'Ingredient Catalog'!$A:$A,0)),"⚠ not in catalog"))</f>
        <v/>
      </c>
      <c r="G40" s="12" t="str">
        <f aca="false">IF(A40="","",COUNTIFS('Weekly Log'!$A:$A,'Grocery List'!$B$3,'Weekly Log'!$C:$C,A40,'Weekly Log'!$E:$E,"Yes"))</f>
        <v/>
      </c>
      <c r="H40" s="12" t="str">
        <f aca="false">IF(OR(A40="",D40=""),"",D40*G40)</f>
        <v/>
      </c>
    </row>
    <row r="41" customFormat="false" ht="15" hidden="false" customHeight="false" outlineLevel="0" collapsed="false">
      <c r="B41" s="12" t="str">
        <f aca="false">IF(A41="","",IFERROR(INDEX(Recipes!$B:$B,MATCH(A41,Recipes!$A:$A,0)),"⚠ unknown recipe_id"))</f>
        <v/>
      </c>
      <c r="E41" s="12" t="str">
        <f aca="false">IF(C41="","",IFERROR(INDEX('Ingredient Catalog'!$C:$C,MATCH(C41,'Ingredient Catalog'!$A:$A,0)),"⚠ not in catalog"))</f>
        <v/>
      </c>
      <c r="G41" s="12" t="str">
        <f aca="false">IF(A41="","",COUNTIFS('Weekly Log'!$A:$A,'Grocery List'!$B$3,'Weekly Log'!$C:$C,A41,'Weekly Log'!$E:$E,"Yes"))</f>
        <v/>
      </c>
      <c r="H41" s="12" t="str">
        <f aca="false">IF(OR(A41="",D41=""),"",D41*G41)</f>
        <v/>
      </c>
    </row>
    <row r="42" customFormat="false" ht="15" hidden="false" customHeight="false" outlineLevel="0" collapsed="false">
      <c r="B42" s="12" t="str">
        <f aca="false">IF(A42="","",IFERROR(INDEX(Recipes!$B:$B,MATCH(A42,Recipes!$A:$A,0)),"⚠ unknown recipe_id"))</f>
        <v/>
      </c>
      <c r="E42" s="12" t="str">
        <f aca="false">IF(C42="","",IFERROR(INDEX('Ingredient Catalog'!$C:$C,MATCH(C42,'Ingredient Catalog'!$A:$A,0)),"⚠ not in catalog"))</f>
        <v/>
      </c>
      <c r="G42" s="12" t="str">
        <f aca="false">IF(A42="","",COUNTIFS('Weekly Log'!$A:$A,'Grocery List'!$B$3,'Weekly Log'!$C:$C,A42,'Weekly Log'!$E:$E,"Yes"))</f>
        <v/>
      </c>
      <c r="H42" s="12" t="str">
        <f aca="false">IF(OR(A42="",D42=""),"",D42*G42)</f>
        <v/>
      </c>
    </row>
    <row r="43" customFormat="false" ht="15" hidden="false" customHeight="false" outlineLevel="0" collapsed="false">
      <c r="B43" s="12" t="str">
        <f aca="false">IF(A43="","",IFERROR(INDEX(Recipes!$B:$B,MATCH(A43,Recipes!$A:$A,0)),"⚠ unknown recipe_id"))</f>
        <v/>
      </c>
      <c r="E43" s="12" t="str">
        <f aca="false">IF(C43="","",IFERROR(INDEX('Ingredient Catalog'!$C:$C,MATCH(C43,'Ingredient Catalog'!$A:$A,0)),"⚠ not in catalog"))</f>
        <v/>
      </c>
      <c r="G43" s="12" t="str">
        <f aca="false">IF(A43="","",COUNTIFS('Weekly Log'!$A:$A,'Grocery List'!$B$3,'Weekly Log'!$C:$C,A43,'Weekly Log'!$E:$E,"Yes"))</f>
        <v/>
      </c>
      <c r="H43" s="12" t="str">
        <f aca="false">IF(OR(A43="",D43=""),"",D43*G43)</f>
        <v/>
      </c>
    </row>
    <row r="44" customFormat="false" ht="15" hidden="false" customHeight="false" outlineLevel="0" collapsed="false">
      <c r="B44" s="12" t="str">
        <f aca="false">IF(A44="","",IFERROR(INDEX(Recipes!$B:$B,MATCH(A44,Recipes!$A:$A,0)),"⚠ unknown recipe_id"))</f>
        <v/>
      </c>
      <c r="E44" s="12" t="str">
        <f aca="false">IF(C44="","",IFERROR(INDEX('Ingredient Catalog'!$C:$C,MATCH(C44,'Ingredient Catalog'!$A:$A,0)),"⚠ not in catalog"))</f>
        <v/>
      </c>
      <c r="G44" s="12" t="str">
        <f aca="false">IF(A44="","",COUNTIFS('Weekly Log'!$A:$A,'Grocery List'!$B$3,'Weekly Log'!$C:$C,A44,'Weekly Log'!$E:$E,"Yes"))</f>
        <v/>
      </c>
      <c r="H44" s="12" t="str">
        <f aca="false">IF(OR(A44="",D44=""),"",D44*G44)</f>
        <v/>
      </c>
    </row>
    <row r="45" customFormat="false" ht="15" hidden="false" customHeight="false" outlineLevel="0" collapsed="false">
      <c r="B45" s="12" t="str">
        <f aca="false">IF(A45="","",IFERROR(INDEX(Recipes!$B:$B,MATCH(A45,Recipes!$A:$A,0)),"⚠ unknown recipe_id"))</f>
        <v/>
      </c>
      <c r="E45" s="12" t="str">
        <f aca="false">IF(C45="","",IFERROR(INDEX('Ingredient Catalog'!$C:$C,MATCH(C45,'Ingredient Catalog'!$A:$A,0)),"⚠ not in catalog"))</f>
        <v/>
      </c>
      <c r="G45" s="12" t="str">
        <f aca="false">IF(A45="","",COUNTIFS('Weekly Log'!$A:$A,'Grocery List'!$B$3,'Weekly Log'!$C:$C,A45,'Weekly Log'!$E:$E,"Yes"))</f>
        <v/>
      </c>
      <c r="H45" s="12" t="str">
        <f aca="false">IF(OR(A45="",D45=""),"",D45*G45)</f>
        <v/>
      </c>
    </row>
    <row r="46" customFormat="false" ht="15" hidden="false" customHeight="false" outlineLevel="0" collapsed="false">
      <c r="B46" s="12" t="str">
        <f aca="false">IF(A46="","",IFERROR(INDEX(Recipes!$B:$B,MATCH(A46,Recipes!$A:$A,0)),"⚠ unknown recipe_id"))</f>
        <v/>
      </c>
      <c r="E46" s="12" t="str">
        <f aca="false">IF(C46="","",IFERROR(INDEX('Ingredient Catalog'!$C:$C,MATCH(C46,'Ingredient Catalog'!$A:$A,0)),"⚠ not in catalog"))</f>
        <v/>
      </c>
      <c r="G46" s="12" t="str">
        <f aca="false">IF(A46="","",COUNTIFS('Weekly Log'!$A:$A,'Grocery List'!$B$3,'Weekly Log'!$C:$C,A46,'Weekly Log'!$E:$E,"Yes"))</f>
        <v/>
      </c>
      <c r="H46" s="12" t="str">
        <f aca="false">IF(OR(A46="",D46=""),"",D46*G46)</f>
        <v/>
      </c>
    </row>
    <row r="47" customFormat="false" ht="15" hidden="false" customHeight="false" outlineLevel="0" collapsed="false">
      <c r="B47" s="12" t="str">
        <f aca="false">IF(A47="","",IFERROR(INDEX(Recipes!$B:$B,MATCH(A47,Recipes!$A:$A,0)),"⚠ unknown recipe_id"))</f>
        <v/>
      </c>
      <c r="E47" s="12" t="str">
        <f aca="false">IF(C47="","",IFERROR(INDEX('Ingredient Catalog'!$C:$C,MATCH(C47,'Ingredient Catalog'!$A:$A,0)),"⚠ not in catalog"))</f>
        <v/>
      </c>
      <c r="G47" s="12" t="str">
        <f aca="false">IF(A47="","",COUNTIFS('Weekly Log'!$A:$A,'Grocery List'!$B$3,'Weekly Log'!$C:$C,A47,'Weekly Log'!$E:$E,"Yes"))</f>
        <v/>
      </c>
      <c r="H47" s="12" t="str">
        <f aca="false">IF(OR(A47="",D47=""),"",D47*G47)</f>
        <v/>
      </c>
    </row>
    <row r="48" customFormat="false" ht="15" hidden="false" customHeight="false" outlineLevel="0" collapsed="false">
      <c r="B48" s="12" t="str">
        <f aca="false">IF(A48="","",IFERROR(INDEX(Recipes!$B:$B,MATCH(A48,Recipes!$A:$A,0)),"⚠ unknown recipe_id"))</f>
        <v/>
      </c>
      <c r="E48" s="12" t="str">
        <f aca="false">IF(C48="","",IFERROR(INDEX('Ingredient Catalog'!$C:$C,MATCH(C48,'Ingredient Catalog'!$A:$A,0)),"⚠ not in catalog"))</f>
        <v/>
      </c>
      <c r="G48" s="12" t="str">
        <f aca="false">IF(A48="","",COUNTIFS('Weekly Log'!$A:$A,'Grocery List'!$B$3,'Weekly Log'!$C:$C,A48,'Weekly Log'!$E:$E,"Yes"))</f>
        <v/>
      </c>
      <c r="H48" s="12" t="str">
        <f aca="false">IF(OR(A48="",D48=""),"",D48*G48)</f>
        <v/>
      </c>
    </row>
    <row r="49" customFormat="false" ht="15" hidden="false" customHeight="false" outlineLevel="0" collapsed="false">
      <c r="B49" s="12" t="str">
        <f aca="false">IF(A49="","",IFERROR(INDEX(Recipes!$B:$B,MATCH(A49,Recipes!$A:$A,0)),"⚠ unknown recipe_id"))</f>
        <v/>
      </c>
      <c r="E49" s="12" t="str">
        <f aca="false">IF(C49="","",IFERROR(INDEX('Ingredient Catalog'!$C:$C,MATCH(C49,'Ingredient Catalog'!$A:$A,0)),"⚠ not in catalog"))</f>
        <v/>
      </c>
      <c r="G49" s="12" t="str">
        <f aca="false">IF(A49="","",COUNTIFS('Weekly Log'!$A:$A,'Grocery List'!$B$3,'Weekly Log'!$C:$C,A49,'Weekly Log'!$E:$E,"Yes"))</f>
        <v/>
      </c>
      <c r="H49" s="12" t="str">
        <f aca="false">IF(OR(A49="",D49=""),"",D49*G49)</f>
        <v/>
      </c>
    </row>
    <row r="50" customFormat="false" ht="15" hidden="false" customHeight="false" outlineLevel="0" collapsed="false">
      <c r="B50" s="12" t="str">
        <f aca="false">IF(A50="","",IFERROR(INDEX(Recipes!$B:$B,MATCH(A50,Recipes!$A:$A,0)),"⚠ unknown recipe_id"))</f>
        <v/>
      </c>
      <c r="E50" s="12" t="str">
        <f aca="false">IF(C50="","",IFERROR(INDEX('Ingredient Catalog'!$C:$C,MATCH(C50,'Ingredient Catalog'!$A:$A,0)),"⚠ not in catalog"))</f>
        <v/>
      </c>
      <c r="G50" s="12" t="str">
        <f aca="false">IF(A50="","",COUNTIFS('Weekly Log'!$A:$A,'Grocery List'!$B$3,'Weekly Log'!$C:$C,A50,'Weekly Log'!$E:$E,"Yes"))</f>
        <v/>
      </c>
      <c r="H50" s="12" t="str">
        <f aca="false">IF(OR(A50="",D50=""),"",D50*G50)</f>
        <v/>
      </c>
    </row>
    <row r="51" customFormat="false" ht="15" hidden="false" customHeight="false" outlineLevel="0" collapsed="false">
      <c r="B51" s="12" t="str">
        <f aca="false">IF(A51="","",IFERROR(INDEX(Recipes!$B:$B,MATCH(A51,Recipes!$A:$A,0)),"⚠ unknown recipe_id"))</f>
        <v/>
      </c>
      <c r="E51" s="12" t="str">
        <f aca="false">IF(C51="","",IFERROR(INDEX('Ingredient Catalog'!$C:$C,MATCH(C51,'Ingredient Catalog'!$A:$A,0)),"⚠ not in catalog"))</f>
        <v/>
      </c>
      <c r="G51" s="12" t="str">
        <f aca="false">IF(A51="","",COUNTIFS('Weekly Log'!$A:$A,'Grocery List'!$B$3,'Weekly Log'!$C:$C,A51,'Weekly Log'!$E:$E,"Yes"))</f>
        <v/>
      </c>
      <c r="H51" s="12" t="str">
        <f aca="false">IF(OR(A51="",D51=""),"",D51*G51)</f>
        <v/>
      </c>
    </row>
    <row r="52" customFormat="false" ht="15" hidden="false" customHeight="false" outlineLevel="0" collapsed="false">
      <c r="B52" s="12" t="str">
        <f aca="false">IF(A52="","",IFERROR(INDEX(Recipes!$B:$B,MATCH(A52,Recipes!$A:$A,0)),"⚠ unknown recipe_id"))</f>
        <v/>
      </c>
      <c r="E52" s="12" t="str">
        <f aca="false">IF(C52="","",IFERROR(INDEX('Ingredient Catalog'!$C:$C,MATCH(C52,'Ingredient Catalog'!$A:$A,0)),"⚠ not in catalog"))</f>
        <v/>
      </c>
      <c r="G52" s="12" t="str">
        <f aca="false">IF(A52="","",COUNTIFS('Weekly Log'!$A:$A,'Grocery List'!$B$3,'Weekly Log'!$C:$C,A52,'Weekly Log'!$E:$E,"Yes"))</f>
        <v/>
      </c>
      <c r="H52" s="12" t="str">
        <f aca="false">IF(OR(A52="",D52=""),"",D52*G52)</f>
        <v/>
      </c>
    </row>
    <row r="53" customFormat="false" ht="15" hidden="false" customHeight="false" outlineLevel="0" collapsed="false">
      <c r="B53" s="12" t="str">
        <f aca="false">IF(A53="","",IFERROR(INDEX(Recipes!$B:$B,MATCH(A53,Recipes!$A:$A,0)),"⚠ unknown recipe_id"))</f>
        <v/>
      </c>
      <c r="E53" s="12" t="str">
        <f aca="false">IF(C53="","",IFERROR(INDEX('Ingredient Catalog'!$C:$C,MATCH(C53,'Ingredient Catalog'!$A:$A,0)),"⚠ not in catalog"))</f>
        <v/>
      </c>
      <c r="G53" s="12" t="str">
        <f aca="false">IF(A53="","",COUNTIFS('Weekly Log'!$A:$A,'Grocery List'!$B$3,'Weekly Log'!$C:$C,A53,'Weekly Log'!$E:$E,"Yes"))</f>
        <v/>
      </c>
      <c r="H53" s="12" t="str">
        <f aca="false">IF(OR(A53="",D53=""),"",D53*G53)</f>
        <v/>
      </c>
    </row>
    <row r="54" customFormat="false" ht="15" hidden="false" customHeight="false" outlineLevel="0" collapsed="false">
      <c r="B54" s="12" t="str">
        <f aca="false">IF(A54="","",IFERROR(INDEX(Recipes!$B:$B,MATCH(A54,Recipes!$A:$A,0)),"⚠ unknown recipe_id"))</f>
        <v/>
      </c>
      <c r="E54" s="12" t="str">
        <f aca="false">IF(C54="","",IFERROR(INDEX('Ingredient Catalog'!$C:$C,MATCH(C54,'Ingredient Catalog'!$A:$A,0)),"⚠ not in catalog"))</f>
        <v/>
      </c>
      <c r="G54" s="12" t="str">
        <f aca="false">IF(A54="","",COUNTIFS('Weekly Log'!$A:$A,'Grocery List'!$B$3,'Weekly Log'!$C:$C,A54,'Weekly Log'!$E:$E,"Yes"))</f>
        <v/>
      </c>
      <c r="H54" s="12" t="str">
        <f aca="false">IF(OR(A54="",D54=""),"",D54*G54)</f>
        <v/>
      </c>
    </row>
    <row r="55" customFormat="false" ht="15" hidden="false" customHeight="false" outlineLevel="0" collapsed="false">
      <c r="B55" s="12" t="str">
        <f aca="false">IF(A55="","",IFERROR(INDEX(Recipes!$B:$B,MATCH(A55,Recipes!$A:$A,0)),"⚠ unknown recipe_id"))</f>
        <v/>
      </c>
      <c r="E55" s="12" t="str">
        <f aca="false">IF(C55="","",IFERROR(INDEX('Ingredient Catalog'!$C:$C,MATCH(C55,'Ingredient Catalog'!$A:$A,0)),"⚠ not in catalog"))</f>
        <v/>
      </c>
      <c r="G55" s="12" t="str">
        <f aca="false">IF(A55="","",COUNTIFS('Weekly Log'!$A:$A,'Grocery List'!$B$3,'Weekly Log'!$C:$C,A55,'Weekly Log'!$E:$E,"Yes"))</f>
        <v/>
      </c>
      <c r="H55" s="12" t="str">
        <f aca="false">IF(OR(A55="",D55=""),"",D55*G55)</f>
        <v/>
      </c>
    </row>
    <row r="56" customFormat="false" ht="15" hidden="false" customHeight="false" outlineLevel="0" collapsed="false">
      <c r="B56" s="12" t="str">
        <f aca="false">IF(A56="","",IFERROR(INDEX(Recipes!$B:$B,MATCH(A56,Recipes!$A:$A,0)),"⚠ unknown recipe_id"))</f>
        <v/>
      </c>
      <c r="E56" s="12" t="str">
        <f aca="false">IF(C56="","",IFERROR(INDEX('Ingredient Catalog'!$C:$C,MATCH(C56,'Ingredient Catalog'!$A:$A,0)),"⚠ not in catalog"))</f>
        <v/>
      </c>
      <c r="G56" s="12" t="str">
        <f aca="false">IF(A56="","",COUNTIFS('Weekly Log'!$A:$A,'Grocery List'!$B$3,'Weekly Log'!$C:$C,A56,'Weekly Log'!$E:$E,"Yes"))</f>
        <v/>
      </c>
      <c r="H56" s="12" t="str">
        <f aca="false">IF(OR(A56="",D56=""),"",D56*G56)</f>
        <v/>
      </c>
    </row>
    <row r="57" customFormat="false" ht="15" hidden="false" customHeight="false" outlineLevel="0" collapsed="false">
      <c r="B57" s="12" t="str">
        <f aca="false">IF(A57="","",IFERROR(INDEX(Recipes!$B:$B,MATCH(A57,Recipes!$A:$A,0)),"⚠ unknown recipe_id"))</f>
        <v/>
      </c>
      <c r="E57" s="12" t="str">
        <f aca="false">IF(C57="","",IFERROR(INDEX('Ingredient Catalog'!$C:$C,MATCH(C57,'Ingredient Catalog'!$A:$A,0)),"⚠ not in catalog"))</f>
        <v/>
      </c>
      <c r="G57" s="12" t="str">
        <f aca="false">IF(A57="","",COUNTIFS('Weekly Log'!$A:$A,'Grocery List'!$B$3,'Weekly Log'!$C:$C,A57,'Weekly Log'!$E:$E,"Yes"))</f>
        <v/>
      </c>
      <c r="H57" s="12" t="str">
        <f aca="false">IF(OR(A57="",D57=""),"",D57*G57)</f>
        <v/>
      </c>
    </row>
    <row r="58" customFormat="false" ht="15" hidden="false" customHeight="false" outlineLevel="0" collapsed="false">
      <c r="B58" s="12" t="str">
        <f aca="false">IF(A58="","",IFERROR(INDEX(Recipes!$B:$B,MATCH(A58,Recipes!$A:$A,0)),"⚠ unknown recipe_id"))</f>
        <v/>
      </c>
      <c r="E58" s="12" t="str">
        <f aca="false">IF(C58="","",IFERROR(INDEX('Ingredient Catalog'!$C:$C,MATCH(C58,'Ingredient Catalog'!$A:$A,0)),"⚠ not in catalog"))</f>
        <v/>
      </c>
      <c r="G58" s="12" t="str">
        <f aca="false">IF(A58="","",COUNTIFS('Weekly Log'!$A:$A,'Grocery List'!$B$3,'Weekly Log'!$C:$C,A58,'Weekly Log'!$E:$E,"Yes"))</f>
        <v/>
      </c>
      <c r="H58" s="12" t="str">
        <f aca="false">IF(OR(A58="",D58=""),"",D58*G58)</f>
        <v/>
      </c>
    </row>
    <row r="59" customFormat="false" ht="15" hidden="false" customHeight="false" outlineLevel="0" collapsed="false">
      <c r="B59" s="12" t="str">
        <f aca="false">IF(A59="","",IFERROR(INDEX(Recipes!$B:$B,MATCH(A59,Recipes!$A:$A,0)),"⚠ unknown recipe_id"))</f>
        <v/>
      </c>
      <c r="E59" s="12" t="str">
        <f aca="false">IF(C59="","",IFERROR(INDEX('Ingredient Catalog'!$C:$C,MATCH(C59,'Ingredient Catalog'!$A:$A,0)),"⚠ not in catalog"))</f>
        <v/>
      </c>
      <c r="G59" s="12" t="str">
        <f aca="false">IF(A59="","",COUNTIFS('Weekly Log'!$A:$A,'Grocery List'!$B$3,'Weekly Log'!$C:$C,A59,'Weekly Log'!$E:$E,"Yes"))</f>
        <v/>
      </c>
      <c r="H59" s="12" t="str">
        <f aca="false">IF(OR(A59="",D59=""),"",D59*G59)</f>
        <v/>
      </c>
    </row>
    <row r="60" customFormat="false" ht="15" hidden="false" customHeight="false" outlineLevel="0" collapsed="false">
      <c r="B60" s="12" t="str">
        <f aca="false">IF(A60="","",IFERROR(INDEX(Recipes!$B:$B,MATCH(A60,Recipes!$A:$A,0)),"⚠ unknown recipe_id"))</f>
        <v/>
      </c>
      <c r="E60" s="12" t="str">
        <f aca="false">IF(C60="","",IFERROR(INDEX('Ingredient Catalog'!$C:$C,MATCH(C60,'Ingredient Catalog'!$A:$A,0)),"⚠ not in catalog"))</f>
        <v/>
      </c>
      <c r="G60" s="12" t="str">
        <f aca="false">IF(A60="","",COUNTIFS('Weekly Log'!$A:$A,'Grocery List'!$B$3,'Weekly Log'!$C:$C,A60,'Weekly Log'!$E:$E,"Yes"))</f>
        <v/>
      </c>
      <c r="H60" s="12" t="str">
        <f aca="false">IF(OR(A60="",D60=""),"",D60*G60)</f>
        <v/>
      </c>
    </row>
    <row r="61" customFormat="false" ht="15" hidden="false" customHeight="false" outlineLevel="0" collapsed="false">
      <c r="B61" s="12" t="str">
        <f aca="false">IF(A61="","",IFERROR(INDEX(Recipes!$B:$B,MATCH(A61,Recipes!$A:$A,0)),"⚠ unknown recipe_id"))</f>
        <v/>
      </c>
      <c r="E61" s="12" t="str">
        <f aca="false">IF(C61="","",IFERROR(INDEX('Ingredient Catalog'!$C:$C,MATCH(C61,'Ingredient Catalog'!$A:$A,0)),"⚠ not in catalog"))</f>
        <v/>
      </c>
      <c r="G61" s="12" t="str">
        <f aca="false">IF(A61="","",COUNTIFS('Weekly Log'!$A:$A,'Grocery List'!$B$3,'Weekly Log'!$C:$C,A61,'Weekly Log'!$E:$E,"Yes"))</f>
        <v/>
      </c>
      <c r="H61" s="12" t="str">
        <f aca="false">IF(OR(A61="",D61=""),"",D61*G61)</f>
        <v/>
      </c>
    </row>
    <row r="62" customFormat="false" ht="15" hidden="false" customHeight="false" outlineLevel="0" collapsed="false">
      <c r="B62" s="12" t="str">
        <f aca="false">IF(A62="","",IFERROR(INDEX(Recipes!$B:$B,MATCH(A62,Recipes!$A:$A,0)),"⚠ unknown recipe_id"))</f>
        <v/>
      </c>
      <c r="E62" s="12" t="str">
        <f aca="false">IF(C62="","",IFERROR(INDEX('Ingredient Catalog'!$C:$C,MATCH(C62,'Ingredient Catalog'!$A:$A,0)),"⚠ not in catalog"))</f>
        <v/>
      </c>
      <c r="G62" s="12" t="str">
        <f aca="false">IF(A62="","",COUNTIFS('Weekly Log'!$A:$A,'Grocery List'!$B$3,'Weekly Log'!$C:$C,A62,'Weekly Log'!$E:$E,"Yes"))</f>
        <v/>
      </c>
      <c r="H62" s="12" t="str">
        <f aca="false">IF(OR(A62="",D62=""),"",D62*G62)</f>
        <v/>
      </c>
    </row>
    <row r="63" customFormat="false" ht="15" hidden="false" customHeight="false" outlineLevel="0" collapsed="false">
      <c r="B63" s="12" t="str">
        <f aca="false">IF(A63="","",IFERROR(INDEX(Recipes!$B:$B,MATCH(A63,Recipes!$A:$A,0)),"⚠ unknown recipe_id"))</f>
        <v/>
      </c>
      <c r="E63" s="12" t="str">
        <f aca="false">IF(C63="","",IFERROR(INDEX('Ingredient Catalog'!$C:$C,MATCH(C63,'Ingredient Catalog'!$A:$A,0)),"⚠ not in catalog"))</f>
        <v/>
      </c>
      <c r="G63" s="12" t="str">
        <f aca="false">IF(A63="","",COUNTIFS('Weekly Log'!$A:$A,'Grocery List'!$B$3,'Weekly Log'!$C:$C,A63,'Weekly Log'!$E:$E,"Yes"))</f>
        <v/>
      </c>
      <c r="H63" s="12" t="str">
        <f aca="false">IF(OR(A63="",D63=""),"",D63*G63)</f>
        <v/>
      </c>
    </row>
    <row r="64" customFormat="false" ht="15" hidden="false" customHeight="false" outlineLevel="0" collapsed="false">
      <c r="B64" s="12" t="str">
        <f aca="false">IF(A64="","",IFERROR(INDEX(Recipes!$B:$B,MATCH(A64,Recipes!$A:$A,0)),"⚠ unknown recipe_id"))</f>
        <v/>
      </c>
      <c r="E64" s="12" t="str">
        <f aca="false">IF(C64="","",IFERROR(INDEX('Ingredient Catalog'!$C:$C,MATCH(C64,'Ingredient Catalog'!$A:$A,0)),"⚠ not in catalog"))</f>
        <v/>
      </c>
      <c r="G64" s="12" t="str">
        <f aca="false">IF(A64="","",COUNTIFS('Weekly Log'!$A:$A,'Grocery List'!$B$3,'Weekly Log'!$C:$C,A64,'Weekly Log'!$E:$E,"Yes"))</f>
        <v/>
      </c>
      <c r="H64" s="12" t="str">
        <f aca="false">IF(OR(A64="",D64=""),"",D64*G64)</f>
        <v/>
      </c>
    </row>
    <row r="65" customFormat="false" ht="15" hidden="false" customHeight="false" outlineLevel="0" collapsed="false">
      <c r="B65" s="12" t="str">
        <f aca="false">IF(A65="","",IFERROR(INDEX(Recipes!$B:$B,MATCH(A65,Recipes!$A:$A,0)),"⚠ unknown recipe_id"))</f>
        <v/>
      </c>
      <c r="E65" s="12" t="str">
        <f aca="false">IF(C65="","",IFERROR(INDEX('Ingredient Catalog'!$C:$C,MATCH(C65,'Ingredient Catalog'!$A:$A,0)),"⚠ not in catalog"))</f>
        <v/>
      </c>
      <c r="G65" s="12" t="str">
        <f aca="false">IF(A65="","",COUNTIFS('Weekly Log'!$A:$A,'Grocery List'!$B$3,'Weekly Log'!$C:$C,A65,'Weekly Log'!$E:$E,"Yes"))</f>
        <v/>
      </c>
      <c r="H65" s="12" t="str">
        <f aca="false">IF(OR(A65="",D65=""),"",D65*G65)</f>
        <v/>
      </c>
    </row>
    <row r="66" customFormat="false" ht="15" hidden="false" customHeight="false" outlineLevel="0" collapsed="false">
      <c r="B66" s="12" t="str">
        <f aca="false">IF(A66="","",IFERROR(INDEX(Recipes!$B:$B,MATCH(A66,Recipes!$A:$A,0)),"⚠ unknown recipe_id"))</f>
        <v/>
      </c>
      <c r="E66" s="12" t="str">
        <f aca="false">IF(C66="","",IFERROR(INDEX('Ingredient Catalog'!$C:$C,MATCH(C66,'Ingredient Catalog'!$A:$A,0)),"⚠ not in catalog"))</f>
        <v/>
      </c>
      <c r="G66" s="12" t="str">
        <f aca="false">IF(A66="","",COUNTIFS('Weekly Log'!$A:$A,'Grocery List'!$B$3,'Weekly Log'!$C:$C,A66,'Weekly Log'!$E:$E,"Yes"))</f>
        <v/>
      </c>
      <c r="H66" s="12" t="str">
        <f aca="false">IF(OR(A66="",D66=""),"",D66*G66)</f>
        <v/>
      </c>
    </row>
    <row r="67" customFormat="false" ht="15" hidden="false" customHeight="false" outlineLevel="0" collapsed="false">
      <c r="B67" s="12" t="str">
        <f aca="false">IF(A67="","",IFERROR(INDEX(Recipes!$B:$B,MATCH(A67,Recipes!$A:$A,0)),"⚠ unknown recipe_id"))</f>
        <v/>
      </c>
      <c r="E67" s="12" t="str">
        <f aca="false">IF(C67="","",IFERROR(INDEX('Ingredient Catalog'!$C:$C,MATCH(C67,'Ingredient Catalog'!$A:$A,0)),"⚠ not in catalog"))</f>
        <v/>
      </c>
      <c r="G67" s="12" t="str">
        <f aca="false">IF(A67="","",COUNTIFS('Weekly Log'!$A:$A,'Grocery List'!$B$3,'Weekly Log'!$C:$C,A67,'Weekly Log'!$E:$E,"Yes"))</f>
        <v/>
      </c>
      <c r="H67" s="12" t="str">
        <f aca="false">IF(OR(A67="",D67=""),"",D67*G67)</f>
        <v/>
      </c>
    </row>
    <row r="68" customFormat="false" ht="15" hidden="false" customHeight="false" outlineLevel="0" collapsed="false">
      <c r="B68" s="12" t="str">
        <f aca="false">IF(A68="","",IFERROR(INDEX(Recipes!$B:$B,MATCH(A68,Recipes!$A:$A,0)),"⚠ unknown recipe_id"))</f>
        <v/>
      </c>
      <c r="E68" s="12" t="str">
        <f aca="false">IF(C68="","",IFERROR(INDEX('Ingredient Catalog'!$C:$C,MATCH(C68,'Ingredient Catalog'!$A:$A,0)),"⚠ not in catalog"))</f>
        <v/>
      </c>
      <c r="G68" s="12" t="str">
        <f aca="false">IF(A68="","",COUNTIFS('Weekly Log'!$A:$A,'Grocery List'!$B$3,'Weekly Log'!$C:$C,A68,'Weekly Log'!$E:$E,"Yes"))</f>
        <v/>
      </c>
      <c r="H68" s="12" t="str">
        <f aca="false">IF(OR(A68="",D68=""),"",D68*G68)</f>
        <v/>
      </c>
    </row>
    <row r="69" customFormat="false" ht="15" hidden="false" customHeight="false" outlineLevel="0" collapsed="false">
      <c r="B69" s="12" t="str">
        <f aca="false">IF(A69="","",IFERROR(INDEX(Recipes!$B:$B,MATCH(A69,Recipes!$A:$A,0)),"⚠ unknown recipe_id"))</f>
        <v/>
      </c>
      <c r="E69" s="12" t="str">
        <f aca="false">IF(C69="","",IFERROR(INDEX('Ingredient Catalog'!$C:$C,MATCH(C69,'Ingredient Catalog'!$A:$A,0)),"⚠ not in catalog"))</f>
        <v/>
      </c>
      <c r="G69" s="12" t="str">
        <f aca="false">IF(A69="","",COUNTIFS('Weekly Log'!$A:$A,'Grocery List'!$B$3,'Weekly Log'!$C:$C,A69,'Weekly Log'!$E:$E,"Yes"))</f>
        <v/>
      </c>
      <c r="H69" s="12" t="str">
        <f aca="false">IF(OR(A69="",D69=""),"",D69*G69)</f>
        <v/>
      </c>
    </row>
    <row r="70" customFormat="false" ht="15" hidden="false" customHeight="false" outlineLevel="0" collapsed="false">
      <c r="B70" s="12" t="str">
        <f aca="false">IF(A70="","",IFERROR(INDEX(Recipes!$B:$B,MATCH(A70,Recipes!$A:$A,0)),"⚠ unknown recipe_id"))</f>
        <v/>
      </c>
      <c r="E70" s="12" t="str">
        <f aca="false">IF(C70="","",IFERROR(INDEX('Ingredient Catalog'!$C:$C,MATCH(C70,'Ingredient Catalog'!$A:$A,0)),"⚠ not in catalog"))</f>
        <v/>
      </c>
      <c r="G70" s="12" t="str">
        <f aca="false">IF(A70="","",COUNTIFS('Weekly Log'!$A:$A,'Grocery List'!$B$3,'Weekly Log'!$C:$C,A70,'Weekly Log'!$E:$E,"Yes"))</f>
        <v/>
      </c>
      <c r="H70" s="12" t="str">
        <f aca="false">IF(OR(A70="",D70=""),"",D70*G70)</f>
        <v/>
      </c>
    </row>
    <row r="71" customFormat="false" ht="15" hidden="false" customHeight="false" outlineLevel="0" collapsed="false">
      <c r="B71" s="12" t="str">
        <f aca="false">IF(A71="","",IFERROR(INDEX(Recipes!$B:$B,MATCH(A71,Recipes!$A:$A,0)),"⚠ unknown recipe_id"))</f>
        <v/>
      </c>
      <c r="E71" s="12" t="str">
        <f aca="false">IF(C71="","",IFERROR(INDEX('Ingredient Catalog'!$C:$C,MATCH(C71,'Ingredient Catalog'!$A:$A,0)),"⚠ not in catalog"))</f>
        <v/>
      </c>
      <c r="G71" s="12" t="str">
        <f aca="false">IF(A71="","",COUNTIFS('Weekly Log'!$A:$A,'Grocery List'!$B$3,'Weekly Log'!$C:$C,A71,'Weekly Log'!$E:$E,"Yes"))</f>
        <v/>
      </c>
      <c r="H71" s="12" t="str">
        <f aca="false">IF(OR(A71="",D71=""),"",D71*G71)</f>
        <v/>
      </c>
    </row>
    <row r="72" customFormat="false" ht="15" hidden="false" customHeight="false" outlineLevel="0" collapsed="false">
      <c r="B72" s="12" t="str">
        <f aca="false">IF(A72="","",IFERROR(INDEX(Recipes!$B:$B,MATCH(A72,Recipes!$A:$A,0)),"⚠ unknown recipe_id"))</f>
        <v/>
      </c>
      <c r="E72" s="12" t="str">
        <f aca="false">IF(C72="","",IFERROR(INDEX('Ingredient Catalog'!$C:$C,MATCH(C72,'Ingredient Catalog'!$A:$A,0)),"⚠ not in catalog"))</f>
        <v/>
      </c>
      <c r="G72" s="12" t="str">
        <f aca="false">IF(A72="","",COUNTIFS('Weekly Log'!$A:$A,'Grocery List'!$B$3,'Weekly Log'!$C:$C,A72,'Weekly Log'!$E:$E,"Yes"))</f>
        <v/>
      </c>
      <c r="H72" s="12" t="str">
        <f aca="false">IF(OR(A72="",D72=""),"",D72*G72)</f>
        <v/>
      </c>
    </row>
    <row r="73" customFormat="false" ht="15" hidden="false" customHeight="false" outlineLevel="0" collapsed="false">
      <c r="B73" s="12" t="str">
        <f aca="false">IF(A73="","",IFERROR(INDEX(Recipes!$B:$B,MATCH(A73,Recipes!$A:$A,0)),"⚠ unknown recipe_id"))</f>
        <v/>
      </c>
      <c r="E73" s="12" t="str">
        <f aca="false">IF(C73="","",IFERROR(INDEX('Ingredient Catalog'!$C:$C,MATCH(C73,'Ingredient Catalog'!$A:$A,0)),"⚠ not in catalog"))</f>
        <v/>
      </c>
      <c r="G73" s="12" t="str">
        <f aca="false">IF(A73="","",COUNTIFS('Weekly Log'!$A:$A,'Grocery List'!$B$3,'Weekly Log'!$C:$C,A73,'Weekly Log'!$E:$E,"Yes"))</f>
        <v/>
      </c>
      <c r="H73" s="12" t="str">
        <f aca="false">IF(OR(A73="",D73=""),"",D73*G73)</f>
        <v/>
      </c>
    </row>
    <row r="74" customFormat="false" ht="15" hidden="false" customHeight="false" outlineLevel="0" collapsed="false">
      <c r="B74" s="12" t="str">
        <f aca="false">IF(A74="","",IFERROR(INDEX(Recipes!$B:$B,MATCH(A74,Recipes!$A:$A,0)),"⚠ unknown recipe_id"))</f>
        <v/>
      </c>
      <c r="E74" s="12" t="str">
        <f aca="false">IF(C74="","",IFERROR(INDEX('Ingredient Catalog'!$C:$C,MATCH(C74,'Ingredient Catalog'!$A:$A,0)),"⚠ not in catalog"))</f>
        <v/>
      </c>
      <c r="G74" s="12" t="str">
        <f aca="false">IF(A74="","",COUNTIFS('Weekly Log'!$A:$A,'Grocery List'!$B$3,'Weekly Log'!$C:$C,A74,'Weekly Log'!$E:$E,"Yes"))</f>
        <v/>
      </c>
      <c r="H74" s="12" t="str">
        <f aca="false">IF(OR(A74="",D74=""),"",D74*G74)</f>
        <v/>
      </c>
    </row>
    <row r="75" customFormat="false" ht="15" hidden="false" customHeight="false" outlineLevel="0" collapsed="false">
      <c r="B75" s="12" t="str">
        <f aca="false">IF(A75="","",IFERROR(INDEX(Recipes!$B:$B,MATCH(A75,Recipes!$A:$A,0)),"⚠ unknown recipe_id"))</f>
        <v/>
      </c>
      <c r="E75" s="12" t="str">
        <f aca="false">IF(C75="","",IFERROR(INDEX('Ingredient Catalog'!$C:$C,MATCH(C75,'Ingredient Catalog'!$A:$A,0)),"⚠ not in catalog"))</f>
        <v/>
      </c>
      <c r="G75" s="12" t="str">
        <f aca="false">IF(A75="","",COUNTIFS('Weekly Log'!$A:$A,'Grocery List'!$B$3,'Weekly Log'!$C:$C,A75,'Weekly Log'!$E:$E,"Yes"))</f>
        <v/>
      </c>
      <c r="H75" s="12" t="str">
        <f aca="false">IF(OR(A75="",D75=""),"",D75*G75)</f>
        <v/>
      </c>
    </row>
    <row r="76" customFormat="false" ht="15" hidden="false" customHeight="false" outlineLevel="0" collapsed="false">
      <c r="B76" s="12" t="str">
        <f aca="false">IF(A76="","",IFERROR(INDEX(Recipes!$B:$B,MATCH(A76,Recipes!$A:$A,0)),"⚠ unknown recipe_id"))</f>
        <v/>
      </c>
      <c r="E76" s="12" t="str">
        <f aca="false">IF(C76="","",IFERROR(INDEX('Ingredient Catalog'!$C:$C,MATCH(C76,'Ingredient Catalog'!$A:$A,0)),"⚠ not in catalog"))</f>
        <v/>
      </c>
      <c r="G76" s="12" t="str">
        <f aca="false">IF(A76="","",COUNTIFS('Weekly Log'!$A:$A,'Grocery List'!$B$3,'Weekly Log'!$C:$C,A76,'Weekly Log'!$E:$E,"Yes"))</f>
        <v/>
      </c>
      <c r="H76" s="12" t="str">
        <f aca="false">IF(OR(A76="",D76=""),"",D76*G76)</f>
        <v/>
      </c>
    </row>
    <row r="77" customFormat="false" ht="15" hidden="false" customHeight="false" outlineLevel="0" collapsed="false">
      <c r="B77" s="12" t="str">
        <f aca="false">IF(A77="","",IFERROR(INDEX(Recipes!$B:$B,MATCH(A77,Recipes!$A:$A,0)),"⚠ unknown recipe_id"))</f>
        <v/>
      </c>
      <c r="E77" s="12" t="str">
        <f aca="false">IF(C77="","",IFERROR(INDEX('Ingredient Catalog'!$C:$C,MATCH(C77,'Ingredient Catalog'!$A:$A,0)),"⚠ not in catalog"))</f>
        <v/>
      </c>
      <c r="G77" s="12" t="str">
        <f aca="false">IF(A77="","",COUNTIFS('Weekly Log'!$A:$A,'Grocery List'!$B$3,'Weekly Log'!$C:$C,A77,'Weekly Log'!$E:$E,"Yes"))</f>
        <v/>
      </c>
      <c r="H77" s="12" t="str">
        <f aca="false">IF(OR(A77="",D77=""),"",D77*G77)</f>
        <v/>
      </c>
    </row>
    <row r="78" customFormat="false" ht="15" hidden="false" customHeight="false" outlineLevel="0" collapsed="false">
      <c r="B78" s="12" t="str">
        <f aca="false">IF(A78="","",IFERROR(INDEX(Recipes!$B:$B,MATCH(A78,Recipes!$A:$A,0)),"⚠ unknown recipe_id"))</f>
        <v/>
      </c>
      <c r="E78" s="12" t="str">
        <f aca="false">IF(C78="","",IFERROR(INDEX('Ingredient Catalog'!$C:$C,MATCH(C78,'Ingredient Catalog'!$A:$A,0)),"⚠ not in catalog"))</f>
        <v/>
      </c>
      <c r="G78" s="12" t="str">
        <f aca="false">IF(A78="","",COUNTIFS('Weekly Log'!$A:$A,'Grocery List'!$B$3,'Weekly Log'!$C:$C,A78,'Weekly Log'!$E:$E,"Yes"))</f>
        <v/>
      </c>
      <c r="H78" s="12" t="str">
        <f aca="false">IF(OR(A78="",D78=""),"",D78*G78)</f>
        <v/>
      </c>
    </row>
    <row r="79" customFormat="false" ht="15" hidden="false" customHeight="false" outlineLevel="0" collapsed="false">
      <c r="B79" s="12" t="str">
        <f aca="false">IF(A79="","",IFERROR(INDEX(Recipes!$B:$B,MATCH(A79,Recipes!$A:$A,0)),"⚠ unknown recipe_id"))</f>
        <v/>
      </c>
      <c r="E79" s="12" t="str">
        <f aca="false">IF(C79="","",IFERROR(INDEX('Ingredient Catalog'!$C:$C,MATCH(C79,'Ingredient Catalog'!$A:$A,0)),"⚠ not in catalog"))</f>
        <v/>
      </c>
      <c r="G79" s="12" t="str">
        <f aca="false">IF(A79="","",COUNTIFS('Weekly Log'!$A:$A,'Grocery List'!$B$3,'Weekly Log'!$C:$C,A79,'Weekly Log'!$E:$E,"Yes"))</f>
        <v/>
      </c>
      <c r="H79" s="12" t="str">
        <f aca="false">IF(OR(A79="",D79=""),"",D79*G79)</f>
        <v/>
      </c>
    </row>
    <row r="80" customFormat="false" ht="15" hidden="false" customHeight="false" outlineLevel="0" collapsed="false">
      <c r="B80" s="12" t="str">
        <f aca="false">IF(A80="","",IFERROR(INDEX(Recipes!$B:$B,MATCH(A80,Recipes!$A:$A,0)),"⚠ unknown recipe_id"))</f>
        <v/>
      </c>
      <c r="E80" s="12" t="str">
        <f aca="false">IF(C80="","",IFERROR(INDEX('Ingredient Catalog'!$C:$C,MATCH(C80,'Ingredient Catalog'!$A:$A,0)),"⚠ not in catalog"))</f>
        <v/>
      </c>
      <c r="G80" s="12" t="str">
        <f aca="false">IF(A80="","",COUNTIFS('Weekly Log'!$A:$A,'Grocery List'!$B$3,'Weekly Log'!$C:$C,A80,'Weekly Log'!$E:$E,"Yes"))</f>
        <v/>
      </c>
      <c r="H80" s="12" t="str">
        <f aca="false">IF(OR(A80="",D80=""),"",D80*G80)</f>
        <v/>
      </c>
    </row>
    <row r="81" customFormat="false" ht="15" hidden="false" customHeight="false" outlineLevel="0" collapsed="false">
      <c r="B81" s="12" t="str">
        <f aca="false">IF(A81="","",IFERROR(INDEX(Recipes!$B:$B,MATCH(A81,Recipes!$A:$A,0)),"⚠ unknown recipe_id"))</f>
        <v/>
      </c>
      <c r="E81" s="12" t="str">
        <f aca="false">IF(C81="","",IFERROR(INDEX('Ingredient Catalog'!$C:$C,MATCH(C81,'Ingredient Catalog'!$A:$A,0)),"⚠ not in catalog"))</f>
        <v/>
      </c>
      <c r="G81" s="12" t="str">
        <f aca="false">IF(A81="","",COUNTIFS('Weekly Log'!$A:$A,'Grocery List'!$B$3,'Weekly Log'!$C:$C,A81,'Weekly Log'!$E:$E,"Yes"))</f>
        <v/>
      </c>
      <c r="H81" s="12" t="str">
        <f aca="false">IF(OR(A81="",D81=""),"",D81*G81)</f>
        <v/>
      </c>
    </row>
    <row r="82" customFormat="false" ht="15" hidden="false" customHeight="false" outlineLevel="0" collapsed="false">
      <c r="B82" s="12" t="str">
        <f aca="false">IF(A82="","",IFERROR(INDEX(Recipes!$B:$B,MATCH(A82,Recipes!$A:$A,0)),"⚠ unknown recipe_id"))</f>
        <v/>
      </c>
      <c r="E82" s="12" t="str">
        <f aca="false">IF(C82="","",IFERROR(INDEX('Ingredient Catalog'!$C:$C,MATCH(C82,'Ingredient Catalog'!$A:$A,0)),"⚠ not in catalog"))</f>
        <v/>
      </c>
      <c r="G82" s="12" t="str">
        <f aca="false">IF(A82="","",COUNTIFS('Weekly Log'!$A:$A,'Grocery List'!$B$3,'Weekly Log'!$C:$C,A82,'Weekly Log'!$E:$E,"Yes"))</f>
        <v/>
      </c>
      <c r="H82" s="12" t="str">
        <f aca="false">IF(OR(A82="",D82=""),"",D82*G82)</f>
        <v/>
      </c>
    </row>
    <row r="83" customFormat="false" ht="15" hidden="false" customHeight="false" outlineLevel="0" collapsed="false">
      <c r="B83" s="12" t="str">
        <f aca="false">IF(A83="","",IFERROR(INDEX(Recipes!$B:$B,MATCH(A83,Recipes!$A:$A,0)),"⚠ unknown recipe_id"))</f>
        <v/>
      </c>
      <c r="E83" s="12" t="str">
        <f aca="false">IF(C83="","",IFERROR(INDEX('Ingredient Catalog'!$C:$C,MATCH(C83,'Ingredient Catalog'!$A:$A,0)),"⚠ not in catalog"))</f>
        <v/>
      </c>
      <c r="G83" s="12" t="str">
        <f aca="false">IF(A83="","",COUNTIFS('Weekly Log'!$A:$A,'Grocery List'!$B$3,'Weekly Log'!$C:$C,A83,'Weekly Log'!$E:$E,"Yes"))</f>
        <v/>
      </c>
      <c r="H83" s="12" t="str">
        <f aca="false">IF(OR(A83="",D83=""),"",D83*G83)</f>
        <v/>
      </c>
    </row>
    <row r="84" customFormat="false" ht="15" hidden="false" customHeight="false" outlineLevel="0" collapsed="false">
      <c r="B84" s="12" t="str">
        <f aca="false">IF(A84="","",IFERROR(INDEX(Recipes!$B:$B,MATCH(A84,Recipes!$A:$A,0)),"⚠ unknown recipe_id"))</f>
        <v/>
      </c>
      <c r="E84" s="12" t="str">
        <f aca="false">IF(C84="","",IFERROR(INDEX('Ingredient Catalog'!$C:$C,MATCH(C84,'Ingredient Catalog'!$A:$A,0)),"⚠ not in catalog"))</f>
        <v/>
      </c>
      <c r="G84" s="12" t="str">
        <f aca="false">IF(A84="","",COUNTIFS('Weekly Log'!$A:$A,'Grocery List'!$B$3,'Weekly Log'!$C:$C,A84,'Weekly Log'!$E:$E,"Yes"))</f>
        <v/>
      </c>
      <c r="H84" s="12" t="str">
        <f aca="false">IF(OR(A84="",D84=""),"",D84*G84)</f>
        <v/>
      </c>
    </row>
    <row r="85" customFormat="false" ht="15" hidden="false" customHeight="false" outlineLevel="0" collapsed="false">
      <c r="B85" s="12" t="str">
        <f aca="false">IF(A85="","",IFERROR(INDEX(Recipes!$B:$B,MATCH(A85,Recipes!$A:$A,0)),"⚠ unknown recipe_id"))</f>
        <v/>
      </c>
      <c r="E85" s="12" t="str">
        <f aca="false">IF(C85="","",IFERROR(INDEX('Ingredient Catalog'!$C:$C,MATCH(C85,'Ingredient Catalog'!$A:$A,0)),"⚠ not in catalog"))</f>
        <v/>
      </c>
      <c r="G85" s="12" t="str">
        <f aca="false">IF(A85="","",COUNTIFS('Weekly Log'!$A:$A,'Grocery List'!$B$3,'Weekly Log'!$C:$C,A85,'Weekly Log'!$E:$E,"Yes"))</f>
        <v/>
      </c>
      <c r="H85" s="12" t="str">
        <f aca="false">IF(OR(A85="",D85=""),"",D85*G85)</f>
        <v/>
      </c>
    </row>
    <row r="86" customFormat="false" ht="15" hidden="false" customHeight="false" outlineLevel="0" collapsed="false">
      <c r="B86" s="12" t="str">
        <f aca="false">IF(A86="","",IFERROR(INDEX(Recipes!$B:$B,MATCH(A86,Recipes!$A:$A,0)),"⚠ unknown recipe_id"))</f>
        <v/>
      </c>
      <c r="E86" s="12" t="str">
        <f aca="false">IF(C86="","",IFERROR(INDEX('Ingredient Catalog'!$C:$C,MATCH(C86,'Ingredient Catalog'!$A:$A,0)),"⚠ not in catalog"))</f>
        <v/>
      </c>
      <c r="G86" s="12" t="str">
        <f aca="false">IF(A86="","",COUNTIFS('Weekly Log'!$A:$A,'Grocery List'!$B$3,'Weekly Log'!$C:$C,A86,'Weekly Log'!$E:$E,"Yes"))</f>
        <v/>
      </c>
      <c r="H86" s="12" t="str">
        <f aca="false">IF(OR(A86="",D86=""),"",D86*G86)</f>
        <v/>
      </c>
    </row>
    <row r="87" customFormat="false" ht="15" hidden="false" customHeight="false" outlineLevel="0" collapsed="false">
      <c r="B87" s="12" t="str">
        <f aca="false">IF(A87="","",IFERROR(INDEX(Recipes!$B:$B,MATCH(A87,Recipes!$A:$A,0)),"⚠ unknown recipe_id"))</f>
        <v/>
      </c>
      <c r="E87" s="12" t="str">
        <f aca="false">IF(C87="","",IFERROR(INDEX('Ingredient Catalog'!$C:$C,MATCH(C87,'Ingredient Catalog'!$A:$A,0)),"⚠ not in catalog"))</f>
        <v/>
      </c>
      <c r="G87" s="12" t="str">
        <f aca="false">IF(A87="","",COUNTIFS('Weekly Log'!$A:$A,'Grocery List'!$B$3,'Weekly Log'!$C:$C,A87,'Weekly Log'!$E:$E,"Yes"))</f>
        <v/>
      </c>
      <c r="H87" s="12" t="str">
        <f aca="false">IF(OR(A87="",D87=""),"",D87*G87)</f>
        <v/>
      </c>
    </row>
    <row r="88" customFormat="false" ht="15" hidden="false" customHeight="false" outlineLevel="0" collapsed="false">
      <c r="B88" s="12" t="str">
        <f aca="false">IF(A88="","",IFERROR(INDEX(Recipes!$B:$B,MATCH(A88,Recipes!$A:$A,0)),"⚠ unknown recipe_id"))</f>
        <v/>
      </c>
      <c r="E88" s="12" t="str">
        <f aca="false">IF(C88="","",IFERROR(INDEX('Ingredient Catalog'!$C:$C,MATCH(C88,'Ingredient Catalog'!$A:$A,0)),"⚠ not in catalog"))</f>
        <v/>
      </c>
      <c r="G88" s="12" t="str">
        <f aca="false">IF(A88="","",COUNTIFS('Weekly Log'!$A:$A,'Grocery List'!$B$3,'Weekly Log'!$C:$C,A88,'Weekly Log'!$E:$E,"Yes"))</f>
        <v/>
      </c>
      <c r="H88" s="12" t="str">
        <f aca="false">IF(OR(A88="",D88=""),"",D88*G88)</f>
        <v/>
      </c>
    </row>
    <row r="89" customFormat="false" ht="15" hidden="false" customHeight="false" outlineLevel="0" collapsed="false">
      <c r="B89" s="12" t="str">
        <f aca="false">IF(A89="","",IFERROR(INDEX(Recipes!$B:$B,MATCH(A89,Recipes!$A:$A,0)),"⚠ unknown recipe_id"))</f>
        <v/>
      </c>
      <c r="E89" s="12" t="str">
        <f aca="false">IF(C89="","",IFERROR(INDEX('Ingredient Catalog'!$C:$C,MATCH(C89,'Ingredient Catalog'!$A:$A,0)),"⚠ not in catalog"))</f>
        <v/>
      </c>
      <c r="G89" s="12" t="str">
        <f aca="false">IF(A89="","",COUNTIFS('Weekly Log'!$A:$A,'Grocery List'!$B$3,'Weekly Log'!$C:$C,A89,'Weekly Log'!$E:$E,"Yes"))</f>
        <v/>
      </c>
      <c r="H89" s="12" t="str">
        <f aca="false">IF(OR(A89="",D89=""),"",D89*G89)</f>
        <v/>
      </c>
    </row>
    <row r="90" customFormat="false" ht="15" hidden="false" customHeight="false" outlineLevel="0" collapsed="false">
      <c r="B90" s="12" t="str">
        <f aca="false">IF(A90="","",IFERROR(INDEX(Recipes!$B:$B,MATCH(A90,Recipes!$A:$A,0)),"⚠ unknown recipe_id"))</f>
        <v/>
      </c>
      <c r="E90" s="12" t="str">
        <f aca="false">IF(C90="","",IFERROR(INDEX('Ingredient Catalog'!$C:$C,MATCH(C90,'Ingredient Catalog'!$A:$A,0)),"⚠ not in catalog"))</f>
        <v/>
      </c>
      <c r="G90" s="12" t="str">
        <f aca="false">IF(A90="","",COUNTIFS('Weekly Log'!$A:$A,'Grocery List'!$B$3,'Weekly Log'!$C:$C,A90,'Weekly Log'!$E:$E,"Yes"))</f>
        <v/>
      </c>
      <c r="H90" s="12" t="str">
        <f aca="false">IF(OR(A90="",D90=""),"",D90*G90)</f>
        <v/>
      </c>
    </row>
    <row r="91" customFormat="false" ht="15" hidden="false" customHeight="false" outlineLevel="0" collapsed="false">
      <c r="B91" s="12" t="str">
        <f aca="false">IF(A91="","",IFERROR(INDEX(Recipes!$B:$B,MATCH(A91,Recipes!$A:$A,0)),"⚠ unknown recipe_id"))</f>
        <v/>
      </c>
      <c r="E91" s="12" t="str">
        <f aca="false">IF(C91="","",IFERROR(INDEX('Ingredient Catalog'!$C:$C,MATCH(C91,'Ingredient Catalog'!$A:$A,0)),"⚠ not in catalog"))</f>
        <v/>
      </c>
      <c r="G91" s="12" t="str">
        <f aca="false">IF(A91="","",COUNTIFS('Weekly Log'!$A:$A,'Grocery List'!$B$3,'Weekly Log'!$C:$C,A91,'Weekly Log'!$E:$E,"Yes"))</f>
        <v/>
      </c>
      <c r="H91" s="12" t="str">
        <f aca="false">IF(OR(A91="",D91=""),"",D91*G91)</f>
        <v/>
      </c>
    </row>
    <row r="92" customFormat="false" ht="15" hidden="false" customHeight="false" outlineLevel="0" collapsed="false">
      <c r="B92" s="12" t="str">
        <f aca="false">IF(A92="","",IFERROR(INDEX(Recipes!$B:$B,MATCH(A92,Recipes!$A:$A,0)),"⚠ unknown recipe_id"))</f>
        <v/>
      </c>
      <c r="E92" s="12" t="str">
        <f aca="false">IF(C92="","",IFERROR(INDEX('Ingredient Catalog'!$C:$C,MATCH(C92,'Ingredient Catalog'!$A:$A,0)),"⚠ not in catalog"))</f>
        <v/>
      </c>
      <c r="G92" s="12" t="str">
        <f aca="false">IF(A92="","",COUNTIFS('Weekly Log'!$A:$A,'Grocery List'!$B$3,'Weekly Log'!$C:$C,A92,'Weekly Log'!$E:$E,"Yes"))</f>
        <v/>
      </c>
      <c r="H92" s="12" t="str">
        <f aca="false">IF(OR(A92="",D92=""),"",D92*G92)</f>
        <v/>
      </c>
    </row>
    <row r="93" customFormat="false" ht="15" hidden="false" customHeight="false" outlineLevel="0" collapsed="false">
      <c r="B93" s="12" t="str">
        <f aca="false">IF(A93="","",IFERROR(INDEX(Recipes!$B:$B,MATCH(A93,Recipes!$A:$A,0)),"⚠ unknown recipe_id"))</f>
        <v/>
      </c>
      <c r="E93" s="12" t="str">
        <f aca="false">IF(C93="","",IFERROR(INDEX('Ingredient Catalog'!$C:$C,MATCH(C93,'Ingredient Catalog'!$A:$A,0)),"⚠ not in catalog"))</f>
        <v/>
      </c>
      <c r="G93" s="12" t="str">
        <f aca="false">IF(A93="","",COUNTIFS('Weekly Log'!$A:$A,'Grocery List'!$B$3,'Weekly Log'!$C:$C,A93,'Weekly Log'!$E:$E,"Yes"))</f>
        <v/>
      </c>
      <c r="H93" s="12" t="str">
        <f aca="false">IF(OR(A93="",D93=""),"",D93*G93)</f>
        <v/>
      </c>
    </row>
    <row r="94" customFormat="false" ht="15" hidden="false" customHeight="false" outlineLevel="0" collapsed="false">
      <c r="B94" s="12" t="str">
        <f aca="false">IF(A94="","",IFERROR(INDEX(Recipes!$B:$B,MATCH(A94,Recipes!$A:$A,0)),"⚠ unknown recipe_id"))</f>
        <v/>
      </c>
      <c r="E94" s="12" t="str">
        <f aca="false">IF(C94="","",IFERROR(INDEX('Ingredient Catalog'!$C:$C,MATCH(C94,'Ingredient Catalog'!$A:$A,0)),"⚠ not in catalog"))</f>
        <v/>
      </c>
      <c r="G94" s="12" t="str">
        <f aca="false">IF(A94="","",COUNTIFS('Weekly Log'!$A:$A,'Grocery List'!$B$3,'Weekly Log'!$C:$C,A94,'Weekly Log'!$E:$E,"Yes"))</f>
        <v/>
      </c>
      <c r="H94" s="12" t="str">
        <f aca="false">IF(OR(A94="",D94=""),"",D94*G94)</f>
        <v/>
      </c>
    </row>
    <row r="95" customFormat="false" ht="15" hidden="false" customHeight="false" outlineLevel="0" collapsed="false">
      <c r="B95" s="12" t="str">
        <f aca="false">IF(A95="","",IFERROR(INDEX(Recipes!$B:$B,MATCH(A95,Recipes!$A:$A,0)),"⚠ unknown recipe_id"))</f>
        <v/>
      </c>
      <c r="E95" s="12" t="str">
        <f aca="false">IF(C95="","",IFERROR(INDEX('Ingredient Catalog'!$C:$C,MATCH(C95,'Ingredient Catalog'!$A:$A,0)),"⚠ not in catalog"))</f>
        <v/>
      </c>
      <c r="G95" s="12" t="str">
        <f aca="false">IF(A95="","",COUNTIFS('Weekly Log'!$A:$A,'Grocery List'!$B$3,'Weekly Log'!$C:$C,A95,'Weekly Log'!$E:$E,"Yes"))</f>
        <v/>
      </c>
      <c r="H95" s="12" t="str">
        <f aca="false">IF(OR(A95="",D95=""),"",D95*G95)</f>
        <v/>
      </c>
    </row>
    <row r="96" customFormat="false" ht="15" hidden="false" customHeight="false" outlineLevel="0" collapsed="false">
      <c r="B96" s="12" t="str">
        <f aca="false">IF(A96="","",IFERROR(INDEX(Recipes!$B:$B,MATCH(A96,Recipes!$A:$A,0)),"⚠ unknown recipe_id"))</f>
        <v/>
      </c>
      <c r="E96" s="12" t="str">
        <f aca="false">IF(C96="","",IFERROR(INDEX('Ingredient Catalog'!$C:$C,MATCH(C96,'Ingredient Catalog'!$A:$A,0)),"⚠ not in catalog"))</f>
        <v/>
      </c>
      <c r="G96" s="12" t="str">
        <f aca="false">IF(A96="","",COUNTIFS('Weekly Log'!$A:$A,'Grocery List'!$B$3,'Weekly Log'!$C:$C,A96,'Weekly Log'!$E:$E,"Yes"))</f>
        <v/>
      </c>
      <c r="H96" s="12" t="str">
        <f aca="false">IF(OR(A96="",D96=""),"",D96*G96)</f>
        <v/>
      </c>
    </row>
    <row r="97" customFormat="false" ht="15" hidden="false" customHeight="false" outlineLevel="0" collapsed="false">
      <c r="B97" s="12" t="str">
        <f aca="false">IF(A97="","",IFERROR(INDEX(Recipes!$B:$B,MATCH(A97,Recipes!$A:$A,0)),"⚠ unknown recipe_id"))</f>
        <v/>
      </c>
      <c r="E97" s="12" t="str">
        <f aca="false">IF(C97="","",IFERROR(INDEX('Ingredient Catalog'!$C:$C,MATCH(C97,'Ingredient Catalog'!$A:$A,0)),"⚠ not in catalog"))</f>
        <v/>
      </c>
      <c r="G97" s="12" t="str">
        <f aca="false">IF(A97="","",COUNTIFS('Weekly Log'!$A:$A,'Grocery List'!$B$3,'Weekly Log'!$C:$C,A97,'Weekly Log'!$E:$E,"Yes"))</f>
        <v/>
      </c>
      <c r="H97" s="12" t="str">
        <f aca="false">IF(OR(A97="",D97=""),"",D97*G97)</f>
        <v/>
      </c>
    </row>
    <row r="98" customFormat="false" ht="15" hidden="false" customHeight="false" outlineLevel="0" collapsed="false">
      <c r="B98" s="12" t="str">
        <f aca="false">IF(A98="","",IFERROR(INDEX(Recipes!$B:$B,MATCH(A98,Recipes!$A:$A,0)),"⚠ unknown recipe_id"))</f>
        <v/>
      </c>
      <c r="E98" s="12" t="str">
        <f aca="false">IF(C98="","",IFERROR(INDEX('Ingredient Catalog'!$C:$C,MATCH(C98,'Ingredient Catalog'!$A:$A,0)),"⚠ not in catalog"))</f>
        <v/>
      </c>
      <c r="G98" s="12" t="str">
        <f aca="false">IF(A98="","",COUNTIFS('Weekly Log'!$A:$A,'Grocery List'!$B$3,'Weekly Log'!$C:$C,A98,'Weekly Log'!$E:$E,"Yes"))</f>
        <v/>
      </c>
      <c r="H98" s="12" t="str">
        <f aca="false">IF(OR(A98="",D98=""),"",D98*G98)</f>
        <v/>
      </c>
    </row>
    <row r="99" customFormat="false" ht="15" hidden="false" customHeight="false" outlineLevel="0" collapsed="false">
      <c r="B99" s="12" t="str">
        <f aca="false">IF(A99="","",IFERROR(INDEX(Recipes!$B:$B,MATCH(A99,Recipes!$A:$A,0)),"⚠ unknown recipe_id"))</f>
        <v/>
      </c>
      <c r="E99" s="12" t="str">
        <f aca="false">IF(C99="","",IFERROR(INDEX('Ingredient Catalog'!$C:$C,MATCH(C99,'Ingredient Catalog'!$A:$A,0)),"⚠ not in catalog"))</f>
        <v/>
      </c>
      <c r="G99" s="12" t="str">
        <f aca="false">IF(A99="","",COUNTIFS('Weekly Log'!$A:$A,'Grocery List'!$B$3,'Weekly Log'!$C:$C,A99,'Weekly Log'!$E:$E,"Yes"))</f>
        <v/>
      </c>
      <c r="H99" s="12" t="str">
        <f aca="false">IF(OR(A99="",D99=""),"",D99*G99)</f>
        <v/>
      </c>
    </row>
    <row r="100" customFormat="false" ht="15" hidden="false" customHeight="false" outlineLevel="0" collapsed="false">
      <c r="B100" s="12" t="str">
        <f aca="false">IF(A100="","",IFERROR(INDEX(Recipes!$B:$B,MATCH(A100,Recipes!$A:$A,0)),"⚠ unknown recipe_id"))</f>
        <v/>
      </c>
      <c r="E100" s="12" t="str">
        <f aca="false">IF(C100="","",IFERROR(INDEX('Ingredient Catalog'!$C:$C,MATCH(C100,'Ingredient Catalog'!$A:$A,0)),"⚠ not in catalog"))</f>
        <v/>
      </c>
      <c r="G100" s="12" t="str">
        <f aca="false">IF(A100="","",COUNTIFS('Weekly Log'!$A:$A,'Grocery List'!$B$3,'Weekly Log'!$C:$C,A100,'Weekly Log'!$E:$E,"Yes"))</f>
        <v/>
      </c>
      <c r="H100" s="12" t="str">
        <f aca="false">IF(OR(A100="",D100=""),"",D100*G100)</f>
        <v/>
      </c>
    </row>
    <row r="101" customFormat="false" ht="15" hidden="false" customHeight="false" outlineLevel="0" collapsed="false">
      <c r="B101" s="12" t="str">
        <f aca="false">IF(A101="","",IFERROR(INDEX(Recipes!$B:$B,MATCH(A101,Recipes!$A:$A,0)),"⚠ unknown recipe_id"))</f>
        <v/>
      </c>
      <c r="E101" s="12" t="str">
        <f aca="false">IF(C101="","",IFERROR(INDEX('Ingredient Catalog'!$C:$C,MATCH(C101,'Ingredient Catalog'!$A:$A,0)),"⚠ not in catalog"))</f>
        <v/>
      </c>
      <c r="G101" s="12" t="str">
        <f aca="false">IF(A101="","",COUNTIFS('Weekly Log'!$A:$A,'Grocery List'!$B$3,'Weekly Log'!$C:$C,A101,'Weekly Log'!$E:$E,"Yes"))</f>
        <v/>
      </c>
      <c r="H101" s="12" t="str">
        <f aca="false">IF(OR(A101="",D101=""),"",D101*G101)</f>
        <v/>
      </c>
    </row>
    <row r="102" customFormat="false" ht="15" hidden="false" customHeight="false" outlineLevel="0" collapsed="false">
      <c r="B102" s="12" t="str">
        <f aca="false">IF(A102="","",IFERROR(INDEX(Recipes!$B:$B,MATCH(A102,Recipes!$A:$A,0)),"⚠ unknown recipe_id"))</f>
        <v/>
      </c>
      <c r="E102" s="12" t="str">
        <f aca="false">IF(C102="","",IFERROR(INDEX('Ingredient Catalog'!$C:$C,MATCH(C102,'Ingredient Catalog'!$A:$A,0)),"⚠ not in catalog"))</f>
        <v/>
      </c>
      <c r="G102" s="12" t="str">
        <f aca="false">IF(A102="","",COUNTIFS('Weekly Log'!$A:$A,'Grocery List'!$B$3,'Weekly Log'!$C:$C,A102,'Weekly Log'!$E:$E,"Yes"))</f>
        <v/>
      </c>
      <c r="H102" s="12" t="str">
        <f aca="false">IF(OR(A102="",D102=""),"",D102*G102)</f>
        <v/>
      </c>
    </row>
    <row r="103" customFormat="false" ht="15" hidden="false" customHeight="false" outlineLevel="0" collapsed="false">
      <c r="B103" s="12" t="str">
        <f aca="false">IF(A103="","",IFERROR(INDEX(Recipes!$B:$B,MATCH(A103,Recipes!$A:$A,0)),"⚠ unknown recipe_id"))</f>
        <v/>
      </c>
      <c r="E103" s="12" t="str">
        <f aca="false">IF(C103="","",IFERROR(INDEX('Ingredient Catalog'!$C:$C,MATCH(C103,'Ingredient Catalog'!$A:$A,0)),"⚠ not in catalog"))</f>
        <v/>
      </c>
      <c r="G103" s="12" t="str">
        <f aca="false">IF(A103="","",COUNTIFS('Weekly Log'!$A:$A,'Grocery List'!$B$3,'Weekly Log'!$C:$C,A103,'Weekly Log'!$E:$E,"Yes"))</f>
        <v/>
      </c>
      <c r="H103" s="12" t="str">
        <f aca="false">IF(OR(A103="",D103=""),"",D103*G103)</f>
        <v/>
      </c>
    </row>
    <row r="104" customFormat="false" ht="15" hidden="false" customHeight="false" outlineLevel="0" collapsed="false">
      <c r="B104" s="12" t="str">
        <f aca="false">IF(A104="","",IFERROR(INDEX(Recipes!$B:$B,MATCH(A104,Recipes!$A:$A,0)),"⚠ unknown recipe_id"))</f>
        <v/>
      </c>
      <c r="E104" s="12" t="str">
        <f aca="false">IF(C104="","",IFERROR(INDEX('Ingredient Catalog'!$C:$C,MATCH(C104,'Ingredient Catalog'!$A:$A,0)),"⚠ not in catalog"))</f>
        <v/>
      </c>
      <c r="G104" s="12" t="str">
        <f aca="false">IF(A104="","",COUNTIFS('Weekly Log'!$A:$A,'Grocery List'!$B$3,'Weekly Log'!$C:$C,A104,'Weekly Log'!$E:$E,"Yes"))</f>
        <v/>
      </c>
      <c r="H104" s="12" t="str">
        <f aca="false">IF(OR(A104="",D104=""),"",D104*G104)</f>
        <v/>
      </c>
    </row>
    <row r="105" customFormat="false" ht="15" hidden="false" customHeight="false" outlineLevel="0" collapsed="false">
      <c r="B105" s="12" t="str">
        <f aca="false">IF(A105="","",IFERROR(INDEX(Recipes!$B:$B,MATCH(A105,Recipes!$A:$A,0)),"⚠ unknown recipe_id"))</f>
        <v/>
      </c>
      <c r="E105" s="12" t="str">
        <f aca="false">IF(C105="","",IFERROR(INDEX('Ingredient Catalog'!$C:$C,MATCH(C105,'Ingredient Catalog'!$A:$A,0)),"⚠ not in catalog"))</f>
        <v/>
      </c>
      <c r="G105" s="12" t="str">
        <f aca="false">IF(A105="","",COUNTIFS('Weekly Log'!$A:$A,'Grocery List'!$B$3,'Weekly Log'!$C:$C,A105,'Weekly Log'!$E:$E,"Yes"))</f>
        <v/>
      </c>
      <c r="H105" s="12" t="str">
        <f aca="false">IF(OR(A105="",D105=""),"",D105*G105)</f>
        <v/>
      </c>
    </row>
    <row r="106" customFormat="false" ht="15" hidden="false" customHeight="false" outlineLevel="0" collapsed="false">
      <c r="B106" s="12" t="str">
        <f aca="false">IF(A106="","",IFERROR(INDEX(Recipes!$B:$B,MATCH(A106,Recipes!$A:$A,0)),"⚠ unknown recipe_id"))</f>
        <v/>
      </c>
      <c r="E106" s="12" t="str">
        <f aca="false">IF(C106="","",IFERROR(INDEX('Ingredient Catalog'!$C:$C,MATCH(C106,'Ingredient Catalog'!$A:$A,0)),"⚠ not in catalog"))</f>
        <v/>
      </c>
      <c r="G106" s="12" t="str">
        <f aca="false">IF(A106="","",COUNTIFS('Weekly Log'!$A:$A,'Grocery List'!$B$3,'Weekly Log'!$C:$C,A106,'Weekly Log'!$E:$E,"Yes"))</f>
        <v/>
      </c>
      <c r="H106" s="12" t="str">
        <f aca="false">IF(OR(A106="",D106=""),"",D106*G106)</f>
        <v/>
      </c>
    </row>
    <row r="107" customFormat="false" ht="15" hidden="false" customHeight="false" outlineLevel="0" collapsed="false">
      <c r="B107" s="12" t="str">
        <f aca="false">IF(A107="","",IFERROR(INDEX(Recipes!$B:$B,MATCH(A107,Recipes!$A:$A,0)),"⚠ unknown recipe_id"))</f>
        <v/>
      </c>
      <c r="E107" s="12" t="str">
        <f aca="false">IF(C107="","",IFERROR(INDEX('Ingredient Catalog'!$C:$C,MATCH(C107,'Ingredient Catalog'!$A:$A,0)),"⚠ not in catalog"))</f>
        <v/>
      </c>
      <c r="G107" s="12" t="str">
        <f aca="false">IF(A107="","",COUNTIFS('Weekly Log'!$A:$A,'Grocery List'!$B$3,'Weekly Log'!$C:$C,A107,'Weekly Log'!$E:$E,"Yes"))</f>
        <v/>
      </c>
      <c r="H107" s="12" t="str">
        <f aca="false">IF(OR(A107="",D107=""),"",D107*G107)</f>
        <v/>
      </c>
    </row>
    <row r="108" customFormat="false" ht="15" hidden="false" customHeight="false" outlineLevel="0" collapsed="false">
      <c r="B108" s="12" t="str">
        <f aca="false">IF(A108="","",IFERROR(INDEX(Recipes!$B:$B,MATCH(A108,Recipes!$A:$A,0)),"⚠ unknown recipe_id"))</f>
        <v/>
      </c>
      <c r="E108" s="12" t="str">
        <f aca="false">IF(C108="","",IFERROR(INDEX('Ingredient Catalog'!$C:$C,MATCH(C108,'Ingredient Catalog'!$A:$A,0)),"⚠ not in catalog"))</f>
        <v/>
      </c>
      <c r="G108" s="12" t="str">
        <f aca="false">IF(A108="","",COUNTIFS('Weekly Log'!$A:$A,'Grocery List'!$B$3,'Weekly Log'!$C:$C,A108,'Weekly Log'!$E:$E,"Yes"))</f>
        <v/>
      </c>
      <c r="H108" s="12" t="str">
        <f aca="false">IF(OR(A108="",D108=""),"",D108*G108)</f>
        <v/>
      </c>
    </row>
    <row r="109" customFormat="false" ht="15" hidden="false" customHeight="false" outlineLevel="0" collapsed="false">
      <c r="B109" s="12" t="str">
        <f aca="false">IF(A109="","",IFERROR(INDEX(Recipes!$B:$B,MATCH(A109,Recipes!$A:$A,0)),"⚠ unknown recipe_id"))</f>
        <v/>
      </c>
      <c r="E109" s="12" t="str">
        <f aca="false">IF(C109="","",IFERROR(INDEX('Ingredient Catalog'!$C:$C,MATCH(C109,'Ingredient Catalog'!$A:$A,0)),"⚠ not in catalog"))</f>
        <v/>
      </c>
      <c r="G109" s="12" t="str">
        <f aca="false">IF(A109="","",COUNTIFS('Weekly Log'!$A:$A,'Grocery List'!$B$3,'Weekly Log'!$C:$C,A109,'Weekly Log'!$E:$E,"Yes"))</f>
        <v/>
      </c>
      <c r="H109" s="12" t="str">
        <f aca="false">IF(OR(A109="",D109=""),"",D109*G109)</f>
        <v/>
      </c>
    </row>
    <row r="110" customFormat="false" ht="15" hidden="false" customHeight="false" outlineLevel="0" collapsed="false">
      <c r="B110" s="12" t="str">
        <f aca="false">IF(A110="","",IFERROR(INDEX(Recipes!$B:$B,MATCH(A110,Recipes!$A:$A,0)),"⚠ unknown recipe_id"))</f>
        <v/>
      </c>
      <c r="E110" s="12" t="str">
        <f aca="false">IF(C110="","",IFERROR(INDEX('Ingredient Catalog'!$C:$C,MATCH(C110,'Ingredient Catalog'!$A:$A,0)),"⚠ not in catalog"))</f>
        <v/>
      </c>
      <c r="G110" s="12" t="str">
        <f aca="false">IF(A110="","",COUNTIFS('Weekly Log'!$A:$A,'Grocery List'!$B$3,'Weekly Log'!$C:$C,A110,'Weekly Log'!$E:$E,"Yes"))</f>
        <v/>
      </c>
      <c r="H110" s="12" t="str">
        <f aca="false">IF(OR(A110="",D110=""),"",D110*G110)</f>
        <v/>
      </c>
    </row>
    <row r="111" customFormat="false" ht="15" hidden="false" customHeight="false" outlineLevel="0" collapsed="false">
      <c r="B111" s="12" t="str">
        <f aca="false">IF(A111="","",IFERROR(INDEX(Recipes!$B:$B,MATCH(A111,Recipes!$A:$A,0)),"⚠ unknown recipe_id"))</f>
        <v/>
      </c>
      <c r="E111" s="12" t="str">
        <f aca="false">IF(C111="","",IFERROR(INDEX('Ingredient Catalog'!$C:$C,MATCH(C111,'Ingredient Catalog'!$A:$A,0)),"⚠ not in catalog"))</f>
        <v/>
      </c>
      <c r="G111" s="12" t="str">
        <f aca="false">IF(A111="","",COUNTIFS('Weekly Log'!$A:$A,'Grocery List'!$B$3,'Weekly Log'!$C:$C,A111,'Weekly Log'!$E:$E,"Yes"))</f>
        <v/>
      </c>
      <c r="H111" s="12" t="str">
        <f aca="false">IF(OR(A111="",D111=""),"",D111*G111)</f>
        <v/>
      </c>
    </row>
    <row r="112" customFormat="false" ht="15" hidden="false" customHeight="false" outlineLevel="0" collapsed="false">
      <c r="B112" s="12" t="str">
        <f aca="false">IF(A112="","",IFERROR(INDEX(Recipes!$B:$B,MATCH(A112,Recipes!$A:$A,0)),"⚠ unknown recipe_id"))</f>
        <v/>
      </c>
      <c r="E112" s="12" t="str">
        <f aca="false">IF(C112="","",IFERROR(INDEX('Ingredient Catalog'!$C:$C,MATCH(C112,'Ingredient Catalog'!$A:$A,0)),"⚠ not in catalog"))</f>
        <v/>
      </c>
      <c r="G112" s="12" t="str">
        <f aca="false">IF(A112="","",COUNTIFS('Weekly Log'!$A:$A,'Grocery List'!$B$3,'Weekly Log'!$C:$C,A112,'Weekly Log'!$E:$E,"Yes"))</f>
        <v/>
      </c>
      <c r="H112" s="12" t="str">
        <f aca="false">IF(OR(A112="",D112=""),"",D112*G112)</f>
        <v/>
      </c>
    </row>
    <row r="113" customFormat="false" ht="15" hidden="false" customHeight="false" outlineLevel="0" collapsed="false">
      <c r="B113" s="12" t="str">
        <f aca="false">IF(A113="","",IFERROR(INDEX(Recipes!$B:$B,MATCH(A113,Recipes!$A:$A,0)),"⚠ unknown recipe_id"))</f>
        <v/>
      </c>
      <c r="E113" s="12" t="str">
        <f aca="false">IF(C113="","",IFERROR(INDEX('Ingredient Catalog'!$C:$C,MATCH(C113,'Ingredient Catalog'!$A:$A,0)),"⚠ not in catalog"))</f>
        <v/>
      </c>
      <c r="G113" s="12" t="str">
        <f aca="false">IF(A113="","",COUNTIFS('Weekly Log'!$A:$A,'Grocery List'!$B$3,'Weekly Log'!$C:$C,A113,'Weekly Log'!$E:$E,"Yes"))</f>
        <v/>
      </c>
      <c r="H113" s="12" t="str">
        <f aca="false">IF(OR(A113="",D113=""),"",D113*G113)</f>
        <v/>
      </c>
    </row>
    <row r="114" customFormat="false" ht="15" hidden="false" customHeight="false" outlineLevel="0" collapsed="false">
      <c r="B114" s="12" t="str">
        <f aca="false">IF(A114="","",IFERROR(INDEX(Recipes!$B:$B,MATCH(A114,Recipes!$A:$A,0)),"⚠ unknown recipe_id"))</f>
        <v/>
      </c>
      <c r="E114" s="12" t="str">
        <f aca="false">IF(C114="","",IFERROR(INDEX('Ingredient Catalog'!$C:$C,MATCH(C114,'Ingredient Catalog'!$A:$A,0)),"⚠ not in catalog"))</f>
        <v/>
      </c>
      <c r="G114" s="12" t="str">
        <f aca="false">IF(A114="","",COUNTIFS('Weekly Log'!$A:$A,'Grocery List'!$B$3,'Weekly Log'!$C:$C,A114,'Weekly Log'!$E:$E,"Yes"))</f>
        <v/>
      </c>
      <c r="H114" s="12" t="str">
        <f aca="false">IF(OR(A114="",D114=""),"",D114*G114)</f>
        <v/>
      </c>
    </row>
    <row r="115" customFormat="false" ht="15" hidden="false" customHeight="false" outlineLevel="0" collapsed="false">
      <c r="B115" s="12" t="str">
        <f aca="false">IF(A115="","",IFERROR(INDEX(Recipes!$B:$B,MATCH(A115,Recipes!$A:$A,0)),"⚠ unknown recipe_id"))</f>
        <v/>
      </c>
      <c r="E115" s="12" t="str">
        <f aca="false">IF(C115="","",IFERROR(INDEX('Ingredient Catalog'!$C:$C,MATCH(C115,'Ingredient Catalog'!$A:$A,0)),"⚠ not in catalog"))</f>
        <v/>
      </c>
      <c r="G115" s="12" t="str">
        <f aca="false">IF(A115="","",COUNTIFS('Weekly Log'!$A:$A,'Grocery List'!$B$3,'Weekly Log'!$C:$C,A115,'Weekly Log'!$E:$E,"Yes"))</f>
        <v/>
      </c>
      <c r="H115" s="12" t="str">
        <f aca="false">IF(OR(A115="",D115=""),"",D115*G115)</f>
        <v/>
      </c>
    </row>
    <row r="116" customFormat="false" ht="15" hidden="false" customHeight="false" outlineLevel="0" collapsed="false">
      <c r="B116" s="12" t="str">
        <f aca="false">IF(A116="","",IFERROR(INDEX(Recipes!$B:$B,MATCH(A116,Recipes!$A:$A,0)),"⚠ unknown recipe_id"))</f>
        <v/>
      </c>
      <c r="E116" s="12" t="str">
        <f aca="false">IF(C116="","",IFERROR(INDEX('Ingredient Catalog'!$C:$C,MATCH(C116,'Ingredient Catalog'!$A:$A,0)),"⚠ not in catalog"))</f>
        <v/>
      </c>
      <c r="G116" s="12" t="str">
        <f aca="false">IF(A116="","",COUNTIFS('Weekly Log'!$A:$A,'Grocery List'!$B$3,'Weekly Log'!$C:$C,A116,'Weekly Log'!$E:$E,"Yes"))</f>
        <v/>
      </c>
      <c r="H116" s="12" t="str">
        <f aca="false">IF(OR(A116="",D116=""),"",D116*G116)</f>
        <v/>
      </c>
    </row>
    <row r="117" customFormat="false" ht="15" hidden="false" customHeight="false" outlineLevel="0" collapsed="false">
      <c r="B117" s="12" t="str">
        <f aca="false">IF(A117="","",IFERROR(INDEX(Recipes!$B:$B,MATCH(A117,Recipes!$A:$A,0)),"⚠ unknown recipe_id"))</f>
        <v/>
      </c>
      <c r="E117" s="12" t="str">
        <f aca="false">IF(C117="","",IFERROR(INDEX('Ingredient Catalog'!$C:$C,MATCH(C117,'Ingredient Catalog'!$A:$A,0)),"⚠ not in catalog"))</f>
        <v/>
      </c>
      <c r="G117" s="12" t="str">
        <f aca="false">IF(A117="","",COUNTIFS('Weekly Log'!$A:$A,'Grocery List'!$B$3,'Weekly Log'!$C:$C,A117,'Weekly Log'!$E:$E,"Yes"))</f>
        <v/>
      </c>
      <c r="H117" s="12" t="str">
        <f aca="false">IF(OR(A117="",D117=""),"",D117*G117)</f>
        <v/>
      </c>
    </row>
    <row r="118" customFormat="false" ht="15" hidden="false" customHeight="false" outlineLevel="0" collapsed="false">
      <c r="B118" s="12" t="str">
        <f aca="false">IF(A118="","",IFERROR(INDEX(Recipes!$B:$B,MATCH(A118,Recipes!$A:$A,0)),"⚠ unknown recipe_id"))</f>
        <v/>
      </c>
      <c r="E118" s="12" t="str">
        <f aca="false">IF(C118="","",IFERROR(INDEX('Ingredient Catalog'!$C:$C,MATCH(C118,'Ingredient Catalog'!$A:$A,0)),"⚠ not in catalog"))</f>
        <v/>
      </c>
      <c r="G118" s="12" t="str">
        <f aca="false">IF(A118="","",COUNTIFS('Weekly Log'!$A:$A,'Grocery List'!$B$3,'Weekly Log'!$C:$C,A118,'Weekly Log'!$E:$E,"Yes"))</f>
        <v/>
      </c>
      <c r="H118" s="12" t="str">
        <f aca="false">IF(OR(A118="",D118=""),"",D118*G118)</f>
        <v/>
      </c>
    </row>
    <row r="119" customFormat="false" ht="15" hidden="false" customHeight="false" outlineLevel="0" collapsed="false">
      <c r="B119" s="12" t="str">
        <f aca="false">IF(A119="","",IFERROR(INDEX(Recipes!$B:$B,MATCH(A119,Recipes!$A:$A,0)),"⚠ unknown recipe_id"))</f>
        <v/>
      </c>
      <c r="E119" s="12" t="str">
        <f aca="false">IF(C119="","",IFERROR(INDEX('Ingredient Catalog'!$C:$C,MATCH(C119,'Ingredient Catalog'!$A:$A,0)),"⚠ not in catalog"))</f>
        <v/>
      </c>
      <c r="G119" s="12" t="str">
        <f aca="false">IF(A119="","",COUNTIFS('Weekly Log'!$A:$A,'Grocery List'!$B$3,'Weekly Log'!$C:$C,A119,'Weekly Log'!$E:$E,"Yes"))</f>
        <v/>
      </c>
      <c r="H119" s="12" t="str">
        <f aca="false">IF(OR(A119="",D119=""),"",D119*G119)</f>
        <v/>
      </c>
    </row>
    <row r="120" customFormat="false" ht="15" hidden="false" customHeight="false" outlineLevel="0" collapsed="false">
      <c r="B120" s="12" t="str">
        <f aca="false">IF(A120="","",IFERROR(INDEX(Recipes!$B:$B,MATCH(A120,Recipes!$A:$A,0)),"⚠ unknown recipe_id"))</f>
        <v/>
      </c>
      <c r="E120" s="12" t="str">
        <f aca="false">IF(C120="","",IFERROR(INDEX('Ingredient Catalog'!$C:$C,MATCH(C120,'Ingredient Catalog'!$A:$A,0)),"⚠ not in catalog"))</f>
        <v/>
      </c>
      <c r="G120" s="12" t="str">
        <f aca="false">IF(A120="","",COUNTIFS('Weekly Log'!$A:$A,'Grocery List'!$B$3,'Weekly Log'!$C:$C,A120,'Weekly Log'!$E:$E,"Yes"))</f>
        <v/>
      </c>
      <c r="H120" s="12" t="str">
        <f aca="false">IF(OR(A120="",D120=""),"",D120*G120)</f>
        <v/>
      </c>
    </row>
    <row r="121" customFormat="false" ht="15" hidden="false" customHeight="false" outlineLevel="0" collapsed="false">
      <c r="B121" s="12" t="str">
        <f aca="false">IF(A121="","",IFERROR(INDEX(Recipes!$B:$B,MATCH(A121,Recipes!$A:$A,0)),"⚠ unknown recipe_id"))</f>
        <v/>
      </c>
      <c r="E121" s="12" t="str">
        <f aca="false">IF(C121="","",IFERROR(INDEX('Ingredient Catalog'!$C:$C,MATCH(C121,'Ingredient Catalog'!$A:$A,0)),"⚠ not in catalog"))</f>
        <v/>
      </c>
      <c r="G121" s="12" t="str">
        <f aca="false">IF(A121="","",COUNTIFS('Weekly Log'!$A:$A,'Grocery List'!$B$3,'Weekly Log'!$C:$C,A121,'Weekly Log'!$E:$E,"Yes"))</f>
        <v/>
      </c>
      <c r="H121" s="12" t="str">
        <f aca="false">IF(OR(A121="",D121=""),"",D121*G121)</f>
        <v/>
      </c>
    </row>
    <row r="122" customFormat="false" ht="15" hidden="false" customHeight="false" outlineLevel="0" collapsed="false">
      <c r="B122" s="12" t="str">
        <f aca="false">IF(A122="","",IFERROR(INDEX(Recipes!$B:$B,MATCH(A122,Recipes!$A:$A,0)),"⚠ unknown recipe_id"))</f>
        <v/>
      </c>
      <c r="E122" s="12" t="str">
        <f aca="false">IF(C122="","",IFERROR(INDEX('Ingredient Catalog'!$C:$C,MATCH(C122,'Ingredient Catalog'!$A:$A,0)),"⚠ not in catalog"))</f>
        <v/>
      </c>
      <c r="G122" s="12" t="str">
        <f aca="false">IF(A122="","",COUNTIFS('Weekly Log'!$A:$A,'Grocery List'!$B$3,'Weekly Log'!$C:$C,A122,'Weekly Log'!$E:$E,"Yes"))</f>
        <v/>
      </c>
      <c r="H122" s="12" t="str">
        <f aca="false">IF(OR(A122="",D122=""),"",D122*G122)</f>
        <v/>
      </c>
    </row>
    <row r="123" customFormat="false" ht="15" hidden="false" customHeight="false" outlineLevel="0" collapsed="false">
      <c r="B123" s="12" t="str">
        <f aca="false">IF(A123="","",IFERROR(INDEX(Recipes!$B:$B,MATCH(A123,Recipes!$A:$A,0)),"⚠ unknown recipe_id"))</f>
        <v/>
      </c>
      <c r="E123" s="12" t="str">
        <f aca="false">IF(C123="","",IFERROR(INDEX('Ingredient Catalog'!$C:$C,MATCH(C123,'Ingredient Catalog'!$A:$A,0)),"⚠ not in catalog"))</f>
        <v/>
      </c>
      <c r="G123" s="12" t="str">
        <f aca="false">IF(A123="","",COUNTIFS('Weekly Log'!$A:$A,'Grocery List'!$B$3,'Weekly Log'!$C:$C,A123,'Weekly Log'!$E:$E,"Yes"))</f>
        <v/>
      </c>
      <c r="H123" s="12" t="str">
        <f aca="false">IF(OR(A123="",D123=""),"",D123*G123)</f>
        <v/>
      </c>
    </row>
    <row r="124" customFormat="false" ht="15" hidden="false" customHeight="false" outlineLevel="0" collapsed="false">
      <c r="B124" s="12" t="str">
        <f aca="false">IF(A124="","",IFERROR(INDEX(Recipes!$B:$B,MATCH(A124,Recipes!$A:$A,0)),"⚠ unknown recipe_id"))</f>
        <v/>
      </c>
      <c r="E124" s="12" t="str">
        <f aca="false">IF(C124="","",IFERROR(INDEX('Ingredient Catalog'!$C:$C,MATCH(C124,'Ingredient Catalog'!$A:$A,0)),"⚠ not in catalog"))</f>
        <v/>
      </c>
      <c r="G124" s="12" t="str">
        <f aca="false">IF(A124="","",COUNTIFS('Weekly Log'!$A:$A,'Grocery List'!$B$3,'Weekly Log'!$C:$C,A124,'Weekly Log'!$E:$E,"Yes"))</f>
        <v/>
      </c>
      <c r="H124" s="12" t="str">
        <f aca="false">IF(OR(A124="",D124=""),"",D124*G124)</f>
        <v/>
      </c>
    </row>
    <row r="125" customFormat="false" ht="15" hidden="false" customHeight="false" outlineLevel="0" collapsed="false">
      <c r="B125" s="12" t="str">
        <f aca="false">IF(A125="","",IFERROR(INDEX(Recipes!$B:$B,MATCH(A125,Recipes!$A:$A,0)),"⚠ unknown recipe_id"))</f>
        <v/>
      </c>
      <c r="E125" s="12" t="str">
        <f aca="false">IF(C125="","",IFERROR(INDEX('Ingredient Catalog'!$C:$C,MATCH(C125,'Ingredient Catalog'!$A:$A,0)),"⚠ not in catalog"))</f>
        <v/>
      </c>
      <c r="G125" s="12" t="str">
        <f aca="false">IF(A125="","",COUNTIFS('Weekly Log'!$A:$A,'Grocery List'!$B$3,'Weekly Log'!$C:$C,A125,'Weekly Log'!$E:$E,"Yes"))</f>
        <v/>
      </c>
      <c r="H125" s="12" t="str">
        <f aca="false">IF(OR(A125="",D125=""),"",D125*G125)</f>
        <v/>
      </c>
    </row>
    <row r="126" customFormat="false" ht="15" hidden="false" customHeight="false" outlineLevel="0" collapsed="false">
      <c r="B126" s="12" t="str">
        <f aca="false">IF(A126="","",IFERROR(INDEX(Recipes!$B:$B,MATCH(A126,Recipes!$A:$A,0)),"⚠ unknown recipe_id"))</f>
        <v/>
      </c>
      <c r="E126" s="12" t="str">
        <f aca="false">IF(C126="","",IFERROR(INDEX('Ingredient Catalog'!$C:$C,MATCH(C126,'Ingredient Catalog'!$A:$A,0)),"⚠ not in catalog"))</f>
        <v/>
      </c>
      <c r="G126" s="12" t="str">
        <f aca="false">IF(A126="","",COUNTIFS('Weekly Log'!$A:$A,'Grocery List'!$B$3,'Weekly Log'!$C:$C,A126,'Weekly Log'!$E:$E,"Yes"))</f>
        <v/>
      </c>
      <c r="H126" s="12" t="str">
        <f aca="false">IF(OR(A126="",D126=""),"",D126*G126)</f>
        <v/>
      </c>
    </row>
    <row r="127" customFormat="false" ht="15" hidden="false" customHeight="false" outlineLevel="0" collapsed="false">
      <c r="B127" s="12" t="str">
        <f aca="false">IF(A127="","",IFERROR(INDEX(Recipes!$B:$B,MATCH(A127,Recipes!$A:$A,0)),"⚠ unknown recipe_id"))</f>
        <v/>
      </c>
      <c r="E127" s="12" t="str">
        <f aca="false">IF(C127="","",IFERROR(INDEX('Ingredient Catalog'!$C:$C,MATCH(C127,'Ingredient Catalog'!$A:$A,0)),"⚠ not in catalog"))</f>
        <v/>
      </c>
      <c r="G127" s="12" t="str">
        <f aca="false">IF(A127="","",COUNTIFS('Weekly Log'!$A:$A,'Grocery List'!$B$3,'Weekly Log'!$C:$C,A127,'Weekly Log'!$E:$E,"Yes"))</f>
        <v/>
      </c>
      <c r="H127" s="12" t="str">
        <f aca="false">IF(OR(A127="",D127=""),"",D127*G127)</f>
        <v/>
      </c>
    </row>
    <row r="128" customFormat="false" ht="15" hidden="false" customHeight="false" outlineLevel="0" collapsed="false">
      <c r="B128" s="12" t="str">
        <f aca="false">IF(A128="","",IFERROR(INDEX(Recipes!$B:$B,MATCH(A128,Recipes!$A:$A,0)),"⚠ unknown recipe_id"))</f>
        <v/>
      </c>
      <c r="E128" s="12" t="str">
        <f aca="false">IF(C128="","",IFERROR(INDEX('Ingredient Catalog'!$C:$C,MATCH(C128,'Ingredient Catalog'!$A:$A,0)),"⚠ not in catalog"))</f>
        <v/>
      </c>
      <c r="G128" s="12" t="str">
        <f aca="false">IF(A128="","",COUNTIFS('Weekly Log'!$A:$A,'Grocery List'!$B$3,'Weekly Log'!$C:$C,A128,'Weekly Log'!$E:$E,"Yes"))</f>
        <v/>
      </c>
      <c r="H128" s="12" t="str">
        <f aca="false">IF(OR(A128="",D128=""),"",D128*G128)</f>
        <v/>
      </c>
    </row>
    <row r="129" customFormat="false" ht="15" hidden="false" customHeight="false" outlineLevel="0" collapsed="false">
      <c r="B129" s="12" t="str">
        <f aca="false">IF(A129="","",IFERROR(INDEX(Recipes!$B:$B,MATCH(A129,Recipes!$A:$A,0)),"⚠ unknown recipe_id"))</f>
        <v/>
      </c>
      <c r="E129" s="12" t="str">
        <f aca="false">IF(C129="","",IFERROR(INDEX('Ingredient Catalog'!$C:$C,MATCH(C129,'Ingredient Catalog'!$A:$A,0)),"⚠ not in catalog"))</f>
        <v/>
      </c>
      <c r="G129" s="12" t="str">
        <f aca="false">IF(A129="","",COUNTIFS('Weekly Log'!$A:$A,'Grocery List'!$B$3,'Weekly Log'!$C:$C,A129,'Weekly Log'!$E:$E,"Yes"))</f>
        <v/>
      </c>
      <c r="H129" s="12" t="str">
        <f aca="false">IF(OR(A129="",D129=""),"",D129*G129)</f>
        <v/>
      </c>
    </row>
    <row r="130" customFormat="false" ht="15" hidden="false" customHeight="false" outlineLevel="0" collapsed="false">
      <c r="B130" s="12" t="str">
        <f aca="false">IF(A130="","",IFERROR(INDEX(Recipes!$B:$B,MATCH(A130,Recipes!$A:$A,0)),"⚠ unknown recipe_id"))</f>
        <v/>
      </c>
      <c r="E130" s="12" t="str">
        <f aca="false">IF(C130="","",IFERROR(INDEX('Ingredient Catalog'!$C:$C,MATCH(C130,'Ingredient Catalog'!$A:$A,0)),"⚠ not in catalog"))</f>
        <v/>
      </c>
      <c r="G130" s="12" t="str">
        <f aca="false">IF(A130="","",COUNTIFS('Weekly Log'!$A:$A,'Grocery List'!$B$3,'Weekly Log'!$C:$C,A130,'Weekly Log'!$E:$E,"Yes"))</f>
        <v/>
      </c>
      <c r="H130" s="12" t="str">
        <f aca="false">IF(OR(A130="",D130=""),"",D130*G130)</f>
        <v/>
      </c>
    </row>
    <row r="131" customFormat="false" ht="15" hidden="false" customHeight="false" outlineLevel="0" collapsed="false">
      <c r="B131" s="12" t="str">
        <f aca="false">IF(A131="","",IFERROR(INDEX(Recipes!$B:$B,MATCH(A131,Recipes!$A:$A,0)),"⚠ unknown recipe_id"))</f>
        <v/>
      </c>
      <c r="E131" s="12" t="str">
        <f aca="false">IF(C131="","",IFERROR(INDEX('Ingredient Catalog'!$C:$C,MATCH(C131,'Ingredient Catalog'!$A:$A,0)),"⚠ not in catalog"))</f>
        <v/>
      </c>
      <c r="G131" s="12" t="str">
        <f aca="false">IF(A131="","",COUNTIFS('Weekly Log'!$A:$A,'Grocery List'!$B$3,'Weekly Log'!$C:$C,A131,'Weekly Log'!$E:$E,"Yes"))</f>
        <v/>
      </c>
      <c r="H131" s="12" t="str">
        <f aca="false">IF(OR(A131="",D131=""),"",D131*G131)</f>
        <v/>
      </c>
    </row>
    <row r="132" customFormat="false" ht="15" hidden="false" customHeight="false" outlineLevel="0" collapsed="false">
      <c r="B132" s="12" t="str">
        <f aca="false">IF(A132="","",IFERROR(INDEX(Recipes!$B:$B,MATCH(A132,Recipes!$A:$A,0)),"⚠ unknown recipe_id"))</f>
        <v/>
      </c>
      <c r="E132" s="12" t="str">
        <f aca="false">IF(C132="","",IFERROR(INDEX('Ingredient Catalog'!$C:$C,MATCH(C132,'Ingredient Catalog'!$A:$A,0)),"⚠ not in catalog"))</f>
        <v/>
      </c>
      <c r="G132" s="12" t="str">
        <f aca="false">IF(A132="","",COUNTIFS('Weekly Log'!$A:$A,'Grocery List'!$B$3,'Weekly Log'!$C:$C,A132,'Weekly Log'!$E:$E,"Yes"))</f>
        <v/>
      </c>
      <c r="H132" s="12" t="str">
        <f aca="false">IF(OR(A132="",D132=""),"",D132*G132)</f>
        <v/>
      </c>
    </row>
    <row r="133" customFormat="false" ht="15" hidden="false" customHeight="false" outlineLevel="0" collapsed="false">
      <c r="B133" s="12" t="str">
        <f aca="false">IF(A133="","",IFERROR(INDEX(Recipes!$B:$B,MATCH(A133,Recipes!$A:$A,0)),"⚠ unknown recipe_id"))</f>
        <v/>
      </c>
      <c r="E133" s="12" t="str">
        <f aca="false">IF(C133="","",IFERROR(INDEX('Ingredient Catalog'!$C:$C,MATCH(C133,'Ingredient Catalog'!$A:$A,0)),"⚠ not in catalog"))</f>
        <v/>
      </c>
      <c r="G133" s="12" t="str">
        <f aca="false">IF(A133="","",COUNTIFS('Weekly Log'!$A:$A,'Grocery List'!$B$3,'Weekly Log'!$C:$C,A133,'Weekly Log'!$E:$E,"Yes"))</f>
        <v/>
      </c>
      <c r="H133" s="12" t="str">
        <f aca="false">IF(OR(A133="",D133=""),"",D133*G133)</f>
        <v/>
      </c>
    </row>
    <row r="134" customFormat="false" ht="15" hidden="false" customHeight="false" outlineLevel="0" collapsed="false">
      <c r="B134" s="12" t="str">
        <f aca="false">IF(A134="","",IFERROR(INDEX(Recipes!$B:$B,MATCH(A134,Recipes!$A:$A,0)),"⚠ unknown recipe_id"))</f>
        <v/>
      </c>
      <c r="E134" s="12" t="str">
        <f aca="false">IF(C134="","",IFERROR(INDEX('Ingredient Catalog'!$C:$C,MATCH(C134,'Ingredient Catalog'!$A:$A,0)),"⚠ not in catalog"))</f>
        <v/>
      </c>
      <c r="G134" s="12" t="str">
        <f aca="false">IF(A134="","",COUNTIFS('Weekly Log'!$A:$A,'Grocery List'!$B$3,'Weekly Log'!$C:$C,A134,'Weekly Log'!$E:$E,"Yes"))</f>
        <v/>
      </c>
      <c r="H134" s="12" t="str">
        <f aca="false">IF(OR(A134="",D134=""),"",D134*G134)</f>
        <v/>
      </c>
    </row>
    <row r="135" customFormat="false" ht="15" hidden="false" customHeight="false" outlineLevel="0" collapsed="false">
      <c r="B135" s="12" t="str">
        <f aca="false">IF(A135="","",IFERROR(INDEX(Recipes!$B:$B,MATCH(A135,Recipes!$A:$A,0)),"⚠ unknown recipe_id"))</f>
        <v/>
      </c>
      <c r="E135" s="12" t="str">
        <f aca="false">IF(C135="","",IFERROR(INDEX('Ingredient Catalog'!$C:$C,MATCH(C135,'Ingredient Catalog'!$A:$A,0)),"⚠ not in catalog"))</f>
        <v/>
      </c>
      <c r="G135" s="12" t="str">
        <f aca="false">IF(A135="","",COUNTIFS('Weekly Log'!$A:$A,'Grocery List'!$B$3,'Weekly Log'!$C:$C,A135,'Weekly Log'!$E:$E,"Yes"))</f>
        <v/>
      </c>
      <c r="H135" s="12" t="str">
        <f aca="false">IF(OR(A135="",D135=""),"",D135*G135)</f>
        <v/>
      </c>
    </row>
    <row r="136" customFormat="false" ht="15" hidden="false" customHeight="false" outlineLevel="0" collapsed="false">
      <c r="B136" s="12" t="str">
        <f aca="false">IF(A136="","",IFERROR(INDEX(Recipes!$B:$B,MATCH(A136,Recipes!$A:$A,0)),"⚠ unknown recipe_id"))</f>
        <v/>
      </c>
      <c r="E136" s="12" t="str">
        <f aca="false">IF(C136="","",IFERROR(INDEX('Ingredient Catalog'!$C:$C,MATCH(C136,'Ingredient Catalog'!$A:$A,0)),"⚠ not in catalog"))</f>
        <v/>
      </c>
      <c r="G136" s="12" t="str">
        <f aca="false">IF(A136="","",COUNTIFS('Weekly Log'!$A:$A,'Grocery List'!$B$3,'Weekly Log'!$C:$C,A136,'Weekly Log'!$E:$E,"Yes"))</f>
        <v/>
      </c>
      <c r="H136" s="12" t="str">
        <f aca="false">IF(OR(A136="",D136=""),"",D136*G136)</f>
        <v/>
      </c>
    </row>
    <row r="137" customFormat="false" ht="15" hidden="false" customHeight="false" outlineLevel="0" collapsed="false">
      <c r="B137" s="12" t="str">
        <f aca="false">IF(A137="","",IFERROR(INDEX(Recipes!$B:$B,MATCH(A137,Recipes!$A:$A,0)),"⚠ unknown recipe_id"))</f>
        <v/>
      </c>
      <c r="E137" s="12" t="str">
        <f aca="false">IF(C137="","",IFERROR(INDEX('Ingredient Catalog'!$C:$C,MATCH(C137,'Ingredient Catalog'!$A:$A,0)),"⚠ not in catalog"))</f>
        <v/>
      </c>
      <c r="G137" s="12" t="str">
        <f aca="false">IF(A137="","",COUNTIFS('Weekly Log'!$A:$A,'Grocery List'!$B$3,'Weekly Log'!$C:$C,A137,'Weekly Log'!$E:$E,"Yes"))</f>
        <v/>
      </c>
      <c r="H137" s="12" t="str">
        <f aca="false">IF(OR(A137="",D137=""),"",D137*G137)</f>
        <v/>
      </c>
    </row>
    <row r="138" customFormat="false" ht="15" hidden="false" customHeight="false" outlineLevel="0" collapsed="false">
      <c r="B138" s="12" t="str">
        <f aca="false">IF(A138="","",IFERROR(INDEX(Recipes!$B:$B,MATCH(A138,Recipes!$A:$A,0)),"⚠ unknown recipe_id"))</f>
        <v/>
      </c>
      <c r="E138" s="12" t="str">
        <f aca="false">IF(C138="","",IFERROR(INDEX('Ingredient Catalog'!$C:$C,MATCH(C138,'Ingredient Catalog'!$A:$A,0)),"⚠ not in catalog"))</f>
        <v/>
      </c>
      <c r="G138" s="12" t="str">
        <f aca="false">IF(A138="","",COUNTIFS('Weekly Log'!$A:$A,'Grocery List'!$B$3,'Weekly Log'!$C:$C,A138,'Weekly Log'!$E:$E,"Yes"))</f>
        <v/>
      </c>
      <c r="H138" s="12" t="str">
        <f aca="false">IF(OR(A138="",D138=""),"",D138*G138)</f>
        <v/>
      </c>
    </row>
    <row r="139" customFormat="false" ht="15" hidden="false" customHeight="false" outlineLevel="0" collapsed="false">
      <c r="B139" s="12" t="str">
        <f aca="false">IF(A139="","",IFERROR(INDEX(Recipes!$B:$B,MATCH(A139,Recipes!$A:$A,0)),"⚠ unknown recipe_id"))</f>
        <v/>
      </c>
      <c r="E139" s="12" t="str">
        <f aca="false">IF(C139="","",IFERROR(INDEX('Ingredient Catalog'!$C:$C,MATCH(C139,'Ingredient Catalog'!$A:$A,0)),"⚠ not in catalog"))</f>
        <v/>
      </c>
      <c r="G139" s="12" t="str">
        <f aca="false">IF(A139="","",COUNTIFS('Weekly Log'!$A:$A,'Grocery List'!$B$3,'Weekly Log'!$C:$C,A139,'Weekly Log'!$E:$E,"Yes"))</f>
        <v/>
      </c>
      <c r="H139" s="12" t="str">
        <f aca="false">IF(OR(A139="",D139=""),"",D139*G139)</f>
        <v/>
      </c>
    </row>
    <row r="140" customFormat="false" ht="15" hidden="false" customHeight="false" outlineLevel="0" collapsed="false">
      <c r="B140" s="12" t="str">
        <f aca="false">IF(A140="","",IFERROR(INDEX(Recipes!$B:$B,MATCH(A140,Recipes!$A:$A,0)),"⚠ unknown recipe_id"))</f>
        <v/>
      </c>
      <c r="E140" s="12" t="str">
        <f aca="false">IF(C140="","",IFERROR(INDEX('Ingredient Catalog'!$C:$C,MATCH(C140,'Ingredient Catalog'!$A:$A,0)),"⚠ not in catalog"))</f>
        <v/>
      </c>
      <c r="G140" s="12" t="str">
        <f aca="false">IF(A140="","",COUNTIFS('Weekly Log'!$A:$A,'Grocery List'!$B$3,'Weekly Log'!$C:$C,A140,'Weekly Log'!$E:$E,"Yes"))</f>
        <v/>
      </c>
      <c r="H140" s="12" t="str">
        <f aca="false">IF(OR(A140="",D140=""),"",D140*G140)</f>
        <v/>
      </c>
    </row>
    <row r="141" customFormat="false" ht="15" hidden="false" customHeight="false" outlineLevel="0" collapsed="false">
      <c r="B141" s="12" t="str">
        <f aca="false">IF(A141="","",IFERROR(INDEX(Recipes!$B:$B,MATCH(A141,Recipes!$A:$A,0)),"⚠ unknown recipe_id"))</f>
        <v/>
      </c>
      <c r="E141" s="12" t="str">
        <f aca="false">IF(C141="","",IFERROR(INDEX('Ingredient Catalog'!$C:$C,MATCH(C141,'Ingredient Catalog'!$A:$A,0)),"⚠ not in catalog"))</f>
        <v/>
      </c>
      <c r="G141" s="12" t="str">
        <f aca="false">IF(A141="","",COUNTIFS('Weekly Log'!$A:$A,'Grocery List'!$B$3,'Weekly Log'!$C:$C,A141,'Weekly Log'!$E:$E,"Yes"))</f>
        <v/>
      </c>
      <c r="H141" s="12" t="str">
        <f aca="false">IF(OR(A141="",D141=""),"",D141*G141)</f>
        <v/>
      </c>
    </row>
    <row r="142" customFormat="false" ht="15" hidden="false" customHeight="false" outlineLevel="0" collapsed="false">
      <c r="B142" s="12" t="str">
        <f aca="false">IF(A142="","",IFERROR(INDEX(Recipes!$B:$B,MATCH(A142,Recipes!$A:$A,0)),"⚠ unknown recipe_id"))</f>
        <v/>
      </c>
      <c r="E142" s="12" t="str">
        <f aca="false">IF(C142="","",IFERROR(INDEX('Ingredient Catalog'!$C:$C,MATCH(C142,'Ingredient Catalog'!$A:$A,0)),"⚠ not in catalog"))</f>
        <v/>
      </c>
      <c r="G142" s="12" t="str">
        <f aca="false">IF(A142="","",COUNTIFS('Weekly Log'!$A:$A,'Grocery List'!$B$3,'Weekly Log'!$C:$C,A142,'Weekly Log'!$E:$E,"Yes"))</f>
        <v/>
      </c>
      <c r="H142" s="12" t="str">
        <f aca="false">IF(OR(A142="",D142=""),"",D142*G142)</f>
        <v/>
      </c>
    </row>
    <row r="143" customFormat="false" ht="15" hidden="false" customHeight="false" outlineLevel="0" collapsed="false">
      <c r="B143" s="12" t="str">
        <f aca="false">IF(A143="","",IFERROR(INDEX(Recipes!$B:$B,MATCH(A143,Recipes!$A:$A,0)),"⚠ unknown recipe_id"))</f>
        <v/>
      </c>
      <c r="E143" s="12" t="str">
        <f aca="false">IF(C143="","",IFERROR(INDEX('Ingredient Catalog'!$C:$C,MATCH(C143,'Ingredient Catalog'!$A:$A,0)),"⚠ not in catalog"))</f>
        <v/>
      </c>
      <c r="G143" s="12" t="str">
        <f aca="false">IF(A143="","",COUNTIFS('Weekly Log'!$A:$A,'Grocery List'!$B$3,'Weekly Log'!$C:$C,A143,'Weekly Log'!$E:$E,"Yes"))</f>
        <v/>
      </c>
      <c r="H143" s="12" t="str">
        <f aca="false">IF(OR(A143="",D143=""),"",D143*G143)</f>
        <v/>
      </c>
    </row>
    <row r="144" customFormat="false" ht="15" hidden="false" customHeight="false" outlineLevel="0" collapsed="false">
      <c r="B144" s="12" t="str">
        <f aca="false">IF(A144="","",IFERROR(INDEX(Recipes!$B:$B,MATCH(A144,Recipes!$A:$A,0)),"⚠ unknown recipe_id"))</f>
        <v/>
      </c>
      <c r="E144" s="12" t="str">
        <f aca="false">IF(C144="","",IFERROR(INDEX('Ingredient Catalog'!$C:$C,MATCH(C144,'Ingredient Catalog'!$A:$A,0)),"⚠ not in catalog"))</f>
        <v/>
      </c>
      <c r="G144" s="12" t="str">
        <f aca="false">IF(A144="","",COUNTIFS('Weekly Log'!$A:$A,'Grocery List'!$B$3,'Weekly Log'!$C:$C,A144,'Weekly Log'!$E:$E,"Yes"))</f>
        <v/>
      </c>
      <c r="H144" s="12" t="str">
        <f aca="false">IF(OR(A144="",D144=""),"",D144*G144)</f>
        <v/>
      </c>
    </row>
    <row r="145" customFormat="false" ht="15" hidden="false" customHeight="false" outlineLevel="0" collapsed="false">
      <c r="B145" s="12" t="str">
        <f aca="false">IF(A145="","",IFERROR(INDEX(Recipes!$B:$B,MATCH(A145,Recipes!$A:$A,0)),"⚠ unknown recipe_id"))</f>
        <v/>
      </c>
      <c r="E145" s="12" t="str">
        <f aca="false">IF(C145="","",IFERROR(INDEX('Ingredient Catalog'!$C:$C,MATCH(C145,'Ingredient Catalog'!$A:$A,0)),"⚠ not in catalog"))</f>
        <v/>
      </c>
      <c r="G145" s="12" t="str">
        <f aca="false">IF(A145="","",COUNTIFS('Weekly Log'!$A:$A,'Grocery List'!$B$3,'Weekly Log'!$C:$C,A145,'Weekly Log'!$E:$E,"Yes"))</f>
        <v/>
      </c>
      <c r="H145" s="12" t="str">
        <f aca="false">IF(OR(A145="",D145=""),"",D145*G145)</f>
        <v/>
      </c>
    </row>
    <row r="146" customFormat="false" ht="15" hidden="false" customHeight="false" outlineLevel="0" collapsed="false">
      <c r="B146" s="12" t="str">
        <f aca="false">IF(A146="","",IFERROR(INDEX(Recipes!$B:$B,MATCH(A146,Recipes!$A:$A,0)),"⚠ unknown recipe_id"))</f>
        <v/>
      </c>
      <c r="E146" s="12" t="str">
        <f aca="false">IF(C146="","",IFERROR(INDEX('Ingredient Catalog'!$C:$C,MATCH(C146,'Ingredient Catalog'!$A:$A,0)),"⚠ not in catalog"))</f>
        <v/>
      </c>
      <c r="G146" s="12" t="str">
        <f aca="false">IF(A146="","",COUNTIFS('Weekly Log'!$A:$A,'Grocery List'!$B$3,'Weekly Log'!$C:$C,A146,'Weekly Log'!$E:$E,"Yes"))</f>
        <v/>
      </c>
      <c r="H146" s="12" t="str">
        <f aca="false">IF(OR(A146="",D146=""),"",D146*G146)</f>
        <v/>
      </c>
    </row>
    <row r="147" customFormat="false" ht="15" hidden="false" customHeight="false" outlineLevel="0" collapsed="false">
      <c r="B147" s="12" t="str">
        <f aca="false">IF(A147="","",IFERROR(INDEX(Recipes!$B:$B,MATCH(A147,Recipes!$A:$A,0)),"⚠ unknown recipe_id"))</f>
        <v/>
      </c>
      <c r="E147" s="12" t="str">
        <f aca="false">IF(C147="","",IFERROR(INDEX('Ingredient Catalog'!$C:$C,MATCH(C147,'Ingredient Catalog'!$A:$A,0)),"⚠ not in catalog"))</f>
        <v/>
      </c>
      <c r="G147" s="12" t="str">
        <f aca="false">IF(A147="","",COUNTIFS('Weekly Log'!$A:$A,'Grocery List'!$B$3,'Weekly Log'!$C:$C,A147,'Weekly Log'!$E:$E,"Yes"))</f>
        <v/>
      </c>
      <c r="H147" s="12" t="str">
        <f aca="false">IF(OR(A147="",D147=""),"",D147*G147)</f>
        <v/>
      </c>
    </row>
    <row r="148" customFormat="false" ht="15" hidden="false" customHeight="false" outlineLevel="0" collapsed="false">
      <c r="B148" s="12" t="str">
        <f aca="false">IF(A148="","",IFERROR(INDEX(Recipes!$B:$B,MATCH(A148,Recipes!$A:$A,0)),"⚠ unknown recipe_id"))</f>
        <v/>
      </c>
      <c r="E148" s="12" t="str">
        <f aca="false">IF(C148="","",IFERROR(INDEX('Ingredient Catalog'!$C:$C,MATCH(C148,'Ingredient Catalog'!$A:$A,0)),"⚠ not in catalog"))</f>
        <v/>
      </c>
      <c r="G148" s="12" t="str">
        <f aca="false">IF(A148="","",COUNTIFS('Weekly Log'!$A:$A,'Grocery List'!$B$3,'Weekly Log'!$C:$C,A148,'Weekly Log'!$E:$E,"Yes"))</f>
        <v/>
      </c>
      <c r="H148" s="12" t="str">
        <f aca="false">IF(OR(A148="",D148=""),"",D148*G148)</f>
        <v/>
      </c>
    </row>
    <row r="149" customFormat="false" ht="15" hidden="false" customHeight="false" outlineLevel="0" collapsed="false">
      <c r="B149" s="12" t="str">
        <f aca="false">IF(A149="","",IFERROR(INDEX(Recipes!$B:$B,MATCH(A149,Recipes!$A:$A,0)),"⚠ unknown recipe_id"))</f>
        <v/>
      </c>
      <c r="E149" s="12" t="str">
        <f aca="false">IF(C149="","",IFERROR(INDEX('Ingredient Catalog'!$C:$C,MATCH(C149,'Ingredient Catalog'!$A:$A,0)),"⚠ not in catalog"))</f>
        <v/>
      </c>
      <c r="G149" s="12" t="str">
        <f aca="false">IF(A149="","",COUNTIFS('Weekly Log'!$A:$A,'Grocery List'!$B$3,'Weekly Log'!$C:$C,A149,'Weekly Log'!$E:$E,"Yes"))</f>
        <v/>
      </c>
      <c r="H149" s="12" t="str">
        <f aca="false">IF(OR(A149="",D149=""),"",D149*G149)</f>
        <v/>
      </c>
    </row>
    <row r="150" customFormat="false" ht="15" hidden="false" customHeight="false" outlineLevel="0" collapsed="false">
      <c r="B150" s="12" t="str">
        <f aca="false">IF(A150="","",IFERROR(INDEX(Recipes!$B:$B,MATCH(A150,Recipes!$A:$A,0)),"⚠ unknown recipe_id"))</f>
        <v/>
      </c>
      <c r="E150" s="12" t="str">
        <f aca="false">IF(C150="","",IFERROR(INDEX('Ingredient Catalog'!$C:$C,MATCH(C150,'Ingredient Catalog'!$A:$A,0)),"⚠ not in catalog"))</f>
        <v/>
      </c>
      <c r="G150" s="12" t="str">
        <f aca="false">IF(A150="","",COUNTIFS('Weekly Log'!$A:$A,'Grocery List'!$B$3,'Weekly Log'!$C:$C,A150,'Weekly Log'!$E:$E,"Yes"))</f>
        <v/>
      </c>
      <c r="H150" s="12" t="str">
        <f aca="false">IF(OR(A150="",D150=""),"",D150*G150)</f>
        <v/>
      </c>
    </row>
    <row r="151" customFormat="false" ht="15" hidden="false" customHeight="false" outlineLevel="0" collapsed="false">
      <c r="B151" s="12" t="str">
        <f aca="false">IF(A151="","",IFERROR(INDEX(Recipes!$B:$B,MATCH(A151,Recipes!$A:$A,0)),"⚠ unknown recipe_id"))</f>
        <v/>
      </c>
      <c r="E151" s="12" t="str">
        <f aca="false">IF(C151="","",IFERROR(INDEX('Ingredient Catalog'!$C:$C,MATCH(C151,'Ingredient Catalog'!$A:$A,0)),"⚠ not in catalog"))</f>
        <v/>
      </c>
      <c r="G151" s="12" t="str">
        <f aca="false">IF(A151="","",COUNTIFS('Weekly Log'!$A:$A,'Grocery List'!$B$3,'Weekly Log'!$C:$C,A151,'Weekly Log'!$E:$E,"Yes"))</f>
        <v/>
      </c>
      <c r="H151" s="12" t="str">
        <f aca="false">IF(OR(A151="",D151=""),"",D151*G151)</f>
        <v/>
      </c>
    </row>
    <row r="152" customFormat="false" ht="15" hidden="false" customHeight="false" outlineLevel="0" collapsed="false">
      <c r="B152" s="12" t="str">
        <f aca="false">IF(A152="","",IFERROR(INDEX(Recipes!$B:$B,MATCH(A152,Recipes!$A:$A,0)),"⚠ unknown recipe_id"))</f>
        <v/>
      </c>
      <c r="E152" s="12" t="str">
        <f aca="false">IF(C152="","",IFERROR(INDEX('Ingredient Catalog'!$C:$C,MATCH(C152,'Ingredient Catalog'!$A:$A,0)),"⚠ not in catalog"))</f>
        <v/>
      </c>
      <c r="G152" s="12" t="str">
        <f aca="false">IF(A152="","",COUNTIFS('Weekly Log'!$A:$A,'Grocery List'!$B$3,'Weekly Log'!$C:$C,A152,'Weekly Log'!$E:$E,"Yes"))</f>
        <v/>
      </c>
      <c r="H152" s="12" t="str">
        <f aca="false">IF(OR(A152="",D152=""),"",D152*G152)</f>
        <v/>
      </c>
    </row>
    <row r="153" customFormat="false" ht="15" hidden="false" customHeight="false" outlineLevel="0" collapsed="false">
      <c r="B153" s="12" t="str">
        <f aca="false">IF(A153="","",IFERROR(INDEX(Recipes!$B:$B,MATCH(A153,Recipes!$A:$A,0)),"⚠ unknown recipe_id"))</f>
        <v/>
      </c>
      <c r="E153" s="12" t="str">
        <f aca="false">IF(C153="","",IFERROR(INDEX('Ingredient Catalog'!$C:$C,MATCH(C153,'Ingredient Catalog'!$A:$A,0)),"⚠ not in catalog"))</f>
        <v/>
      </c>
      <c r="G153" s="12" t="str">
        <f aca="false">IF(A153="","",COUNTIFS('Weekly Log'!$A:$A,'Grocery List'!$B$3,'Weekly Log'!$C:$C,A153,'Weekly Log'!$E:$E,"Yes"))</f>
        <v/>
      </c>
      <c r="H153" s="12" t="str">
        <f aca="false">IF(OR(A153="",D153=""),"",D153*G153)</f>
        <v/>
      </c>
    </row>
    <row r="154" customFormat="false" ht="15" hidden="false" customHeight="false" outlineLevel="0" collapsed="false">
      <c r="B154" s="12" t="str">
        <f aca="false">IF(A154="","",IFERROR(INDEX(Recipes!$B:$B,MATCH(A154,Recipes!$A:$A,0)),"⚠ unknown recipe_id"))</f>
        <v/>
      </c>
      <c r="E154" s="12" t="str">
        <f aca="false">IF(C154="","",IFERROR(INDEX('Ingredient Catalog'!$C:$C,MATCH(C154,'Ingredient Catalog'!$A:$A,0)),"⚠ not in catalog"))</f>
        <v/>
      </c>
      <c r="G154" s="12" t="str">
        <f aca="false">IF(A154="","",COUNTIFS('Weekly Log'!$A:$A,'Grocery List'!$B$3,'Weekly Log'!$C:$C,A154,'Weekly Log'!$E:$E,"Yes"))</f>
        <v/>
      </c>
      <c r="H154" s="12" t="str">
        <f aca="false">IF(OR(A154="",D154=""),"",D154*G154)</f>
        <v/>
      </c>
    </row>
    <row r="155" customFormat="false" ht="15" hidden="false" customHeight="false" outlineLevel="0" collapsed="false">
      <c r="B155" s="12" t="str">
        <f aca="false">IF(A155="","",IFERROR(INDEX(Recipes!$B:$B,MATCH(A155,Recipes!$A:$A,0)),"⚠ unknown recipe_id"))</f>
        <v/>
      </c>
      <c r="E155" s="12" t="str">
        <f aca="false">IF(C155="","",IFERROR(INDEX('Ingredient Catalog'!$C:$C,MATCH(C155,'Ingredient Catalog'!$A:$A,0)),"⚠ not in catalog"))</f>
        <v/>
      </c>
      <c r="G155" s="12" t="str">
        <f aca="false">IF(A155="","",COUNTIFS('Weekly Log'!$A:$A,'Grocery List'!$B$3,'Weekly Log'!$C:$C,A155,'Weekly Log'!$E:$E,"Yes"))</f>
        <v/>
      </c>
      <c r="H155" s="12" t="str">
        <f aca="false">IF(OR(A155="",D155=""),"",D155*G155)</f>
        <v/>
      </c>
    </row>
    <row r="156" customFormat="false" ht="15" hidden="false" customHeight="false" outlineLevel="0" collapsed="false">
      <c r="B156" s="12" t="str">
        <f aca="false">IF(A156="","",IFERROR(INDEX(Recipes!$B:$B,MATCH(A156,Recipes!$A:$A,0)),"⚠ unknown recipe_id"))</f>
        <v/>
      </c>
      <c r="E156" s="12" t="str">
        <f aca="false">IF(C156="","",IFERROR(INDEX('Ingredient Catalog'!$C:$C,MATCH(C156,'Ingredient Catalog'!$A:$A,0)),"⚠ not in catalog"))</f>
        <v/>
      </c>
      <c r="G156" s="12" t="str">
        <f aca="false">IF(A156="","",COUNTIFS('Weekly Log'!$A:$A,'Grocery List'!$B$3,'Weekly Log'!$C:$C,A156,'Weekly Log'!$E:$E,"Yes"))</f>
        <v/>
      </c>
      <c r="H156" s="12" t="str">
        <f aca="false">IF(OR(A156="",D156=""),"",D156*G156)</f>
        <v/>
      </c>
    </row>
    <row r="157" customFormat="false" ht="15" hidden="false" customHeight="false" outlineLevel="0" collapsed="false">
      <c r="B157" s="12" t="str">
        <f aca="false">IF(A157="","",IFERROR(INDEX(Recipes!$B:$B,MATCH(A157,Recipes!$A:$A,0)),"⚠ unknown recipe_id"))</f>
        <v/>
      </c>
      <c r="E157" s="12" t="str">
        <f aca="false">IF(C157="","",IFERROR(INDEX('Ingredient Catalog'!$C:$C,MATCH(C157,'Ingredient Catalog'!$A:$A,0)),"⚠ not in catalog"))</f>
        <v/>
      </c>
      <c r="G157" s="12" t="str">
        <f aca="false">IF(A157="","",COUNTIFS('Weekly Log'!$A:$A,'Grocery List'!$B$3,'Weekly Log'!$C:$C,A157,'Weekly Log'!$E:$E,"Yes"))</f>
        <v/>
      </c>
      <c r="H157" s="12" t="str">
        <f aca="false">IF(OR(A157="",D157=""),"",D157*G157)</f>
        <v/>
      </c>
    </row>
    <row r="158" customFormat="false" ht="15" hidden="false" customHeight="false" outlineLevel="0" collapsed="false">
      <c r="B158" s="12" t="str">
        <f aca="false">IF(A158="","",IFERROR(INDEX(Recipes!$B:$B,MATCH(A158,Recipes!$A:$A,0)),"⚠ unknown recipe_id"))</f>
        <v/>
      </c>
      <c r="E158" s="12" t="str">
        <f aca="false">IF(C158="","",IFERROR(INDEX('Ingredient Catalog'!$C:$C,MATCH(C158,'Ingredient Catalog'!$A:$A,0)),"⚠ not in catalog"))</f>
        <v/>
      </c>
      <c r="G158" s="12" t="str">
        <f aca="false">IF(A158="","",COUNTIFS('Weekly Log'!$A:$A,'Grocery List'!$B$3,'Weekly Log'!$C:$C,A158,'Weekly Log'!$E:$E,"Yes"))</f>
        <v/>
      </c>
      <c r="H158" s="12" t="str">
        <f aca="false">IF(OR(A158="",D158=""),"",D158*G158)</f>
        <v/>
      </c>
    </row>
    <row r="159" customFormat="false" ht="15" hidden="false" customHeight="false" outlineLevel="0" collapsed="false">
      <c r="B159" s="12" t="str">
        <f aca="false">IF(A159="","",IFERROR(INDEX(Recipes!$B:$B,MATCH(A159,Recipes!$A:$A,0)),"⚠ unknown recipe_id"))</f>
        <v/>
      </c>
      <c r="E159" s="12" t="str">
        <f aca="false">IF(C159="","",IFERROR(INDEX('Ingredient Catalog'!$C:$C,MATCH(C159,'Ingredient Catalog'!$A:$A,0)),"⚠ not in catalog"))</f>
        <v/>
      </c>
      <c r="G159" s="12" t="str">
        <f aca="false">IF(A159="","",COUNTIFS('Weekly Log'!$A:$A,'Grocery List'!$B$3,'Weekly Log'!$C:$C,A159,'Weekly Log'!$E:$E,"Yes"))</f>
        <v/>
      </c>
      <c r="H159" s="12" t="str">
        <f aca="false">IF(OR(A159="",D159=""),"",D159*G159)</f>
        <v/>
      </c>
    </row>
    <row r="160" customFormat="false" ht="15" hidden="false" customHeight="false" outlineLevel="0" collapsed="false">
      <c r="B160" s="12" t="str">
        <f aca="false">IF(A160="","",IFERROR(INDEX(Recipes!$B:$B,MATCH(A160,Recipes!$A:$A,0)),"⚠ unknown recipe_id"))</f>
        <v/>
      </c>
      <c r="E160" s="12" t="str">
        <f aca="false">IF(C160="","",IFERROR(INDEX('Ingredient Catalog'!$C:$C,MATCH(C160,'Ingredient Catalog'!$A:$A,0)),"⚠ not in catalog"))</f>
        <v/>
      </c>
      <c r="G160" s="12" t="str">
        <f aca="false">IF(A160="","",COUNTIFS('Weekly Log'!$A:$A,'Grocery List'!$B$3,'Weekly Log'!$C:$C,A160,'Weekly Log'!$E:$E,"Yes"))</f>
        <v/>
      </c>
      <c r="H160" s="12" t="str">
        <f aca="false">IF(OR(A160="",D160=""),"",D160*G160)</f>
        <v/>
      </c>
    </row>
    <row r="161" customFormat="false" ht="15" hidden="false" customHeight="false" outlineLevel="0" collapsed="false">
      <c r="B161" s="12" t="str">
        <f aca="false">IF(A161="","",IFERROR(INDEX(Recipes!$B:$B,MATCH(A161,Recipes!$A:$A,0)),"⚠ unknown recipe_id"))</f>
        <v/>
      </c>
      <c r="E161" s="12" t="str">
        <f aca="false">IF(C161="","",IFERROR(INDEX('Ingredient Catalog'!$C:$C,MATCH(C161,'Ingredient Catalog'!$A:$A,0)),"⚠ not in catalog"))</f>
        <v/>
      </c>
      <c r="G161" s="12" t="str">
        <f aca="false">IF(A161="","",COUNTIFS('Weekly Log'!$A:$A,'Grocery List'!$B$3,'Weekly Log'!$C:$C,A161,'Weekly Log'!$E:$E,"Yes"))</f>
        <v/>
      </c>
      <c r="H161" s="12" t="str">
        <f aca="false">IF(OR(A161="",D161=""),"",D161*G161)</f>
        <v/>
      </c>
    </row>
    <row r="162" customFormat="false" ht="15" hidden="false" customHeight="false" outlineLevel="0" collapsed="false">
      <c r="B162" s="12" t="str">
        <f aca="false">IF(A162="","",IFERROR(INDEX(Recipes!$B:$B,MATCH(A162,Recipes!$A:$A,0)),"⚠ unknown recipe_id"))</f>
        <v/>
      </c>
      <c r="E162" s="12" t="str">
        <f aca="false">IF(C162="","",IFERROR(INDEX('Ingredient Catalog'!$C:$C,MATCH(C162,'Ingredient Catalog'!$A:$A,0)),"⚠ not in catalog"))</f>
        <v/>
      </c>
      <c r="G162" s="12" t="str">
        <f aca="false">IF(A162="","",COUNTIFS('Weekly Log'!$A:$A,'Grocery List'!$B$3,'Weekly Log'!$C:$C,A162,'Weekly Log'!$E:$E,"Yes"))</f>
        <v/>
      </c>
      <c r="H162" s="12" t="str">
        <f aca="false">IF(OR(A162="",D162=""),"",D162*G162)</f>
        <v/>
      </c>
    </row>
    <row r="163" customFormat="false" ht="15" hidden="false" customHeight="false" outlineLevel="0" collapsed="false">
      <c r="B163" s="12" t="str">
        <f aca="false">IF(A163="","",IFERROR(INDEX(Recipes!$B:$B,MATCH(A163,Recipes!$A:$A,0)),"⚠ unknown recipe_id"))</f>
        <v/>
      </c>
      <c r="E163" s="12" t="str">
        <f aca="false">IF(C163="","",IFERROR(INDEX('Ingredient Catalog'!$C:$C,MATCH(C163,'Ingredient Catalog'!$A:$A,0)),"⚠ not in catalog"))</f>
        <v/>
      </c>
      <c r="G163" s="12" t="str">
        <f aca="false">IF(A163="","",COUNTIFS('Weekly Log'!$A:$A,'Grocery List'!$B$3,'Weekly Log'!$C:$C,A163,'Weekly Log'!$E:$E,"Yes"))</f>
        <v/>
      </c>
      <c r="H163" s="12" t="str">
        <f aca="false">IF(OR(A163="",D163=""),"",D163*G163)</f>
        <v/>
      </c>
    </row>
    <row r="164" customFormat="false" ht="15" hidden="false" customHeight="false" outlineLevel="0" collapsed="false">
      <c r="B164" s="12" t="str">
        <f aca="false">IF(A164="","",IFERROR(INDEX(Recipes!$B:$B,MATCH(A164,Recipes!$A:$A,0)),"⚠ unknown recipe_id"))</f>
        <v/>
      </c>
      <c r="E164" s="12" t="str">
        <f aca="false">IF(C164="","",IFERROR(INDEX('Ingredient Catalog'!$C:$C,MATCH(C164,'Ingredient Catalog'!$A:$A,0)),"⚠ not in catalog"))</f>
        <v/>
      </c>
      <c r="G164" s="12" t="str">
        <f aca="false">IF(A164="","",COUNTIFS('Weekly Log'!$A:$A,'Grocery List'!$B$3,'Weekly Log'!$C:$C,A164,'Weekly Log'!$E:$E,"Yes"))</f>
        <v/>
      </c>
      <c r="H164" s="12" t="str">
        <f aca="false">IF(OR(A164="",D164=""),"",D164*G164)</f>
        <v/>
      </c>
    </row>
    <row r="165" customFormat="false" ht="15" hidden="false" customHeight="false" outlineLevel="0" collapsed="false">
      <c r="B165" s="12" t="str">
        <f aca="false">IF(A165="","",IFERROR(INDEX(Recipes!$B:$B,MATCH(A165,Recipes!$A:$A,0)),"⚠ unknown recipe_id"))</f>
        <v/>
      </c>
      <c r="E165" s="12" t="str">
        <f aca="false">IF(C165="","",IFERROR(INDEX('Ingredient Catalog'!$C:$C,MATCH(C165,'Ingredient Catalog'!$A:$A,0)),"⚠ not in catalog"))</f>
        <v/>
      </c>
      <c r="G165" s="12" t="str">
        <f aca="false">IF(A165="","",COUNTIFS('Weekly Log'!$A:$A,'Grocery List'!$B$3,'Weekly Log'!$C:$C,A165,'Weekly Log'!$E:$E,"Yes"))</f>
        <v/>
      </c>
      <c r="H165" s="12" t="str">
        <f aca="false">IF(OR(A165="",D165=""),"",D165*G165)</f>
        <v/>
      </c>
    </row>
    <row r="166" customFormat="false" ht="15" hidden="false" customHeight="false" outlineLevel="0" collapsed="false">
      <c r="B166" s="12" t="str">
        <f aca="false">IF(A166="","",IFERROR(INDEX(Recipes!$B:$B,MATCH(A166,Recipes!$A:$A,0)),"⚠ unknown recipe_id"))</f>
        <v/>
      </c>
      <c r="E166" s="12" t="str">
        <f aca="false">IF(C166="","",IFERROR(INDEX('Ingredient Catalog'!$C:$C,MATCH(C166,'Ingredient Catalog'!$A:$A,0)),"⚠ not in catalog"))</f>
        <v/>
      </c>
      <c r="G166" s="12" t="str">
        <f aca="false">IF(A166="","",COUNTIFS('Weekly Log'!$A:$A,'Grocery List'!$B$3,'Weekly Log'!$C:$C,A166,'Weekly Log'!$E:$E,"Yes"))</f>
        <v/>
      </c>
      <c r="H166" s="12" t="str">
        <f aca="false">IF(OR(A166="",D166=""),"",D166*G166)</f>
        <v/>
      </c>
    </row>
    <row r="167" customFormat="false" ht="15" hidden="false" customHeight="false" outlineLevel="0" collapsed="false">
      <c r="B167" s="12" t="str">
        <f aca="false">IF(A167="","",IFERROR(INDEX(Recipes!$B:$B,MATCH(A167,Recipes!$A:$A,0)),"⚠ unknown recipe_id"))</f>
        <v/>
      </c>
      <c r="E167" s="12" t="str">
        <f aca="false">IF(C167="","",IFERROR(INDEX('Ingredient Catalog'!$C:$C,MATCH(C167,'Ingredient Catalog'!$A:$A,0)),"⚠ not in catalog"))</f>
        <v/>
      </c>
      <c r="G167" s="12" t="str">
        <f aca="false">IF(A167="","",COUNTIFS('Weekly Log'!$A:$A,'Grocery List'!$B$3,'Weekly Log'!$C:$C,A167,'Weekly Log'!$E:$E,"Yes"))</f>
        <v/>
      </c>
      <c r="H167" s="12" t="str">
        <f aca="false">IF(OR(A167="",D167=""),"",D167*G167)</f>
        <v/>
      </c>
    </row>
    <row r="168" customFormat="false" ht="15" hidden="false" customHeight="false" outlineLevel="0" collapsed="false">
      <c r="B168" s="12" t="str">
        <f aca="false">IF(A168="","",IFERROR(INDEX(Recipes!$B:$B,MATCH(A168,Recipes!$A:$A,0)),"⚠ unknown recipe_id"))</f>
        <v/>
      </c>
      <c r="E168" s="12" t="str">
        <f aca="false">IF(C168="","",IFERROR(INDEX('Ingredient Catalog'!$C:$C,MATCH(C168,'Ingredient Catalog'!$A:$A,0)),"⚠ not in catalog"))</f>
        <v/>
      </c>
      <c r="G168" s="12" t="str">
        <f aca="false">IF(A168="","",COUNTIFS('Weekly Log'!$A:$A,'Grocery List'!$B$3,'Weekly Log'!$C:$C,A168,'Weekly Log'!$E:$E,"Yes"))</f>
        <v/>
      </c>
      <c r="H168" s="12" t="str">
        <f aca="false">IF(OR(A168="",D168=""),"",D168*G168)</f>
        <v/>
      </c>
    </row>
    <row r="169" customFormat="false" ht="15" hidden="false" customHeight="false" outlineLevel="0" collapsed="false">
      <c r="B169" s="12" t="str">
        <f aca="false">IF(A169="","",IFERROR(INDEX(Recipes!$B:$B,MATCH(A169,Recipes!$A:$A,0)),"⚠ unknown recipe_id"))</f>
        <v/>
      </c>
      <c r="E169" s="12" t="str">
        <f aca="false">IF(C169="","",IFERROR(INDEX('Ingredient Catalog'!$C:$C,MATCH(C169,'Ingredient Catalog'!$A:$A,0)),"⚠ not in catalog"))</f>
        <v/>
      </c>
      <c r="G169" s="12" t="str">
        <f aca="false">IF(A169="","",COUNTIFS('Weekly Log'!$A:$A,'Grocery List'!$B$3,'Weekly Log'!$C:$C,A169,'Weekly Log'!$E:$E,"Yes"))</f>
        <v/>
      </c>
      <c r="H169" s="12" t="str">
        <f aca="false">IF(OR(A169="",D169=""),"",D169*G169)</f>
        <v/>
      </c>
    </row>
    <row r="170" customFormat="false" ht="15" hidden="false" customHeight="false" outlineLevel="0" collapsed="false">
      <c r="B170" s="12" t="str">
        <f aca="false">IF(A170="","",IFERROR(INDEX(Recipes!$B:$B,MATCH(A170,Recipes!$A:$A,0)),"⚠ unknown recipe_id"))</f>
        <v/>
      </c>
      <c r="E170" s="12" t="str">
        <f aca="false">IF(C170="","",IFERROR(INDEX('Ingredient Catalog'!$C:$C,MATCH(C170,'Ingredient Catalog'!$A:$A,0)),"⚠ not in catalog"))</f>
        <v/>
      </c>
      <c r="G170" s="12" t="str">
        <f aca="false">IF(A170="","",COUNTIFS('Weekly Log'!$A:$A,'Grocery List'!$B$3,'Weekly Log'!$C:$C,A170,'Weekly Log'!$E:$E,"Yes"))</f>
        <v/>
      </c>
      <c r="H170" s="12" t="str">
        <f aca="false">IF(OR(A170="",D170=""),"",D170*G170)</f>
        <v/>
      </c>
    </row>
    <row r="171" customFormat="false" ht="15" hidden="false" customHeight="false" outlineLevel="0" collapsed="false">
      <c r="B171" s="12" t="str">
        <f aca="false">IF(A171="","",IFERROR(INDEX(Recipes!$B:$B,MATCH(A171,Recipes!$A:$A,0)),"⚠ unknown recipe_id"))</f>
        <v/>
      </c>
      <c r="E171" s="12" t="str">
        <f aca="false">IF(C171="","",IFERROR(INDEX('Ingredient Catalog'!$C:$C,MATCH(C171,'Ingredient Catalog'!$A:$A,0)),"⚠ not in catalog"))</f>
        <v/>
      </c>
      <c r="G171" s="12" t="str">
        <f aca="false">IF(A171="","",COUNTIFS('Weekly Log'!$A:$A,'Grocery List'!$B$3,'Weekly Log'!$C:$C,A171,'Weekly Log'!$E:$E,"Yes"))</f>
        <v/>
      </c>
      <c r="H171" s="12" t="str">
        <f aca="false">IF(OR(A171="",D171=""),"",D171*G171)</f>
        <v/>
      </c>
    </row>
    <row r="172" customFormat="false" ht="15" hidden="false" customHeight="false" outlineLevel="0" collapsed="false">
      <c r="B172" s="12" t="str">
        <f aca="false">IF(A172="","",IFERROR(INDEX(Recipes!$B:$B,MATCH(A172,Recipes!$A:$A,0)),"⚠ unknown recipe_id"))</f>
        <v/>
      </c>
      <c r="E172" s="12" t="str">
        <f aca="false">IF(C172="","",IFERROR(INDEX('Ingredient Catalog'!$C:$C,MATCH(C172,'Ingredient Catalog'!$A:$A,0)),"⚠ not in catalog"))</f>
        <v/>
      </c>
      <c r="G172" s="12" t="str">
        <f aca="false">IF(A172="","",COUNTIFS('Weekly Log'!$A:$A,'Grocery List'!$B$3,'Weekly Log'!$C:$C,A172,'Weekly Log'!$E:$E,"Yes"))</f>
        <v/>
      </c>
      <c r="H172" s="12" t="str">
        <f aca="false">IF(OR(A172="",D172=""),"",D172*G172)</f>
        <v/>
      </c>
    </row>
    <row r="173" customFormat="false" ht="15" hidden="false" customHeight="false" outlineLevel="0" collapsed="false">
      <c r="B173" s="12" t="str">
        <f aca="false">IF(A173="","",IFERROR(INDEX(Recipes!$B:$B,MATCH(A173,Recipes!$A:$A,0)),"⚠ unknown recipe_id"))</f>
        <v/>
      </c>
      <c r="E173" s="12" t="str">
        <f aca="false">IF(C173="","",IFERROR(INDEX('Ingredient Catalog'!$C:$C,MATCH(C173,'Ingredient Catalog'!$A:$A,0)),"⚠ not in catalog"))</f>
        <v/>
      </c>
      <c r="G173" s="12" t="str">
        <f aca="false">IF(A173="","",COUNTIFS('Weekly Log'!$A:$A,'Grocery List'!$B$3,'Weekly Log'!$C:$C,A173,'Weekly Log'!$E:$E,"Yes"))</f>
        <v/>
      </c>
      <c r="H173" s="12" t="str">
        <f aca="false">IF(OR(A173="",D173=""),"",D173*G173)</f>
        <v/>
      </c>
    </row>
    <row r="174" customFormat="false" ht="15" hidden="false" customHeight="false" outlineLevel="0" collapsed="false">
      <c r="B174" s="12" t="str">
        <f aca="false">IF(A174="","",IFERROR(INDEX(Recipes!$B:$B,MATCH(A174,Recipes!$A:$A,0)),"⚠ unknown recipe_id"))</f>
        <v/>
      </c>
      <c r="E174" s="12" t="str">
        <f aca="false">IF(C174="","",IFERROR(INDEX('Ingredient Catalog'!$C:$C,MATCH(C174,'Ingredient Catalog'!$A:$A,0)),"⚠ not in catalog"))</f>
        <v/>
      </c>
      <c r="G174" s="12" t="str">
        <f aca="false">IF(A174="","",COUNTIFS('Weekly Log'!$A:$A,'Grocery List'!$B$3,'Weekly Log'!$C:$C,A174,'Weekly Log'!$E:$E,"Yes"))</f>
        <v/>
      </c>
      <c r="H174" s="12" t="str">
        <f aca="false">IF(OR(A174="",D174=""),"",D174*G174)</f>
        <v/>
      </c>
    </row>
    <row r="175" customFormat="false" ht="15" hidden="false" customHeight="false" outlineLevel="0" collapsed="false">
      <c r="B175" s="12" t="str">
        <f aca="false">IF(A175="","",IFERROR(INDEX(Recipes!$B:$B,MATCH(A175,Recipes!$A:$A,0)),"⚠ unknown recipe_id"))</f>
        <v/>
      </c>
      <c r="E175" s="12" t="str">
        <f aca="false">IF(C175="","",IFERROR(INDEX('Ingredient Catalog'!$C:$C,MATCH(C175,'Ingredient Catalog'!$A:$A,0)),"⚠ not in catalog"))</f>
        <v/>
      </c>
      <c r="G175" s="12" t="str">
        <f aca="false">IF(A175="","",COUNTIFS('Weekly Log'!$A:$A,'Grocery List'!$B$3,'Weekly Log'!$C:$C,A175,'Weekly Log'!$E:$E,"Yes"))</f>
        <v/>
      </c>
      <c r="H175" s="12" t="str">
        <f aca="false">IF(OR(A175="",D175=""),"",D175*G175)</f>
        <v/>
      </c>
    </row>
    <row r="176" customFormat="false" ht="15" hidden="false" customHeight="false" outlineLevel="0" collapsed="false">
      <c r="B176" s="12" t="str">
        <f aca="false">IF(A176="","",IFERROR(INDEX(Recipes!$B:$B,MATCH(A176,Recipes!$A:$A,0)),"⚠ unknown recipe_id"))</f>
        <v/>
      </c>
      <c r="E176" s="12" t="str">
        <f aca="false">IF(C176="","",IFERROR(INDEX('Ingredient Catalog'!$C:$C,MATCH(C176,'Ingredient Catalog'!$A:$A,0)),"⚠ not in catalog"))</f>
        <v/>
      </c>
      <c r="G176" s="12" t="str">
        <f aca="false">IF(A176="","",COUNTIFS('Weekly Log'!$A:$A,'Grocery List'!$B$3,'Weekly Log'!$C:$C,A176,'Weekly Log'!$E:$E,"Yes"))</f>
        <v/>
      </c>
      <c r="H176" s="12" t="str">
        <f aca="false">IF(OR(A176="",D176=""),"",D176*G176)</f>
        <v/>
      </c>
    </row>
    <row r="177" customFormat="false" ht="15" hidden="false" customHeight="false" outlineLevel="0" collapsed="false">
      <c r="B177" s="12" t="str">
        <f aca="false">IF(A177="","",IFERROR(INDEX(Recipes!$B:$B,MATCH(A177,Recipes!$A:$A,0)),"⚠ unknown recipe_id"))</f>
        <v/>
      </c>
      <c r="E177" s="12" t="str">
        <f aca="false">IF(C177="","",IFERROR(INDEX('Ingredient Catalog'!$C:$C,MATCH(C177,'Ingredient Catalog'!$A:$A,0)),"⚠ not in catalog"))</f>
        <v/>
      </c>
      <c r="G177" s="12" t="str">
        <f aca="false">IF(A177="","",COUNTIFS('Weekly Log'!$A:$A,'Grocery List'!$B$3,'Weekly Log'!$C:$C,A177,'Weekly Log'!$E:$E,"Yes"))</f>
        <v/>
      </c>
      <c r="H177" s="12" t="str">
        <f aca="false">IF(OR(A177="",D177=""),"",D177*G177)</f>
        <v/>
      </c>
    </row>
    <row r="178" customFormat="false" ht="15" hidden="false" customHeight="false" outlineLevel="0" collapsed="false">
      <c r="B178" s="12" t="str">
        <f aca="false">IF(A178="","",IFERROR(INDEX(Recipes!$B:$B,MATCH(A178,Recipes!$A:$A,0)),"⚠ unknown recipe_id"))</f>
        <v/>
      </c>
      <c r="E178" s="12" t="str">
        <f aca="false">IF(C178="","",IFERROR(INDEX('Ingredient Catalog'!$C:$C,MATCH(C178,'Ingredient Catalog'!$A:$A,0)),"⚠ not in catalog"))</f>
        <v/>
      </c>
      <c r="G178" s="12" t="str">
        <f aca="false">IF(A178="","",COUNTIFS('Weekly Log'!$A:$A,'Grocery List'!$B$3,'Weekly Log'!$C:$C,A178,'Weekly Log'!$E:$E,"Yes"))</f>
        <v/>
      </c>
      <c r="H178" s="12" t="str">
        <f aca="false">IF(OR(A178="",D178=""),"",D178*G178)</f>
        <v/>
      </c>
    </row>
    <row r="179" customFormat="false" ht="15" hidden="false" customHeight="false" outlineLevel="0" collapsed="false">
      <c r="B179" s="12" t="str">
        <f aca="false">IF(A179="","",IFERROR(INDEX(Recipes!$B:$B,MATCH(A179,Recipes!$A:$A,0)),"⚠ unknown recipe_id"))</f>
        <v/>
      </c>
      <c r="E179" s="12" t="str">
        <f aca="false">IF(C179="","",IFERROR(INDEX('Ingredient Catalog'!$C:$C,MATCH(C179,'Ingredient Catalog'!$A:$A,0)),"⚠ not in catalog"))</f>
        <v/>
      </c>
      <c r="G179" s="12" t="str">
        <f aca="false">IF(A179="","",COUNTIFS('Weekly Log'!$A:$A,'Grocery List'!$B$3,'Weekly Log'!$C:$C,A179,'Weekly Log'!$E:$E,"Yes"))</f>
        <v/>
      </c>
      <c r="H179" s="12" t="str">
        <f aca="false">IF(OR(A179="",D179=""),"",D179*G179)</f>
        <v/>
      </c>
    </row>
    <row r="180" customFormat="false" ht="15" hidden="false" customHeight="false" outlineLevel="0" collapsed="false">
      <c r="B180" s="12" t="str">
        <f aca="false">IF(A180="","",IFERROR(INDEX(Recipes!$B:$B,MATCH(A180,Recipes!$A:$A,0)),"⚠ unknown recipe_id"))</f>
        <v/>
      </c>
      <c r="E180" s="12" t="str">
        <f aca="false">IF(C180="","",IFERROR(INDEX('Ingredient Catalog'!$C:$C,MATCH(C180,'Ingredient Catalog'!$A:$A,0)),"⚠ not in catalog"))</f>
        <v/>
      </c>
      <c r="G180" s="12" t="str">
        <f aca="false">IF(A180="","",COUNTIFS('Weekly Log'!$A:$A,'Grocery List'!$B$3,'Weekly Log'!$C:$C,A180,'Weekly Log'!$E:$E,"Yes"))</f>
        <v/>
      </c>
      <c r="H180" s="12" t="str">
        <f aca="false">IF(OR(A180="",D180=""),"",D180*G180)</f>
        <v/>
      </c>
    </row>
    <row r="181" customFormat="false" ht="15" hidden="false" customHeight="false" outlineLevel="0" collapsed="false">
      <c r="B181" s="12" t="str">
        <f aca="false">IF(A181="","",IFERROR(INDEX(Recipes!$B:$B,MATCH(A181,Recipes!$A:$A,0)),"⚠ unknown recipe_id"))</f>
        <v/>
      </c>
      <c r="E181" s="12" t="str">
        <f aca="false">IF(C181="","",IFERROR(INDEX('Ingredient Catalog'!$C:$C,MATCH(C181,'Ingredient Catalog'!$A:$A,0)),"⚠ not in catalog"))</f>
        <v/>
      </c>
      <c r="G181" s="12" t="str">
        <f aca="false">IF(A181="","",COUNTIFS('Weekly Log'!$A:$A,'Grocery List'!$B$3,'Weekly Log'!$C:$C,A181,'Weekly Log'!$E:$E,"Yes"))</f>
        <v/>
      </c>
      <c r="H181" s="12" t="str">
        <f aca="false">IF(OR(A181="",D181=""),"",D181*G181)</f>
        <v/>
      </c>
    </row>
    <row r="182" customFormat="false" ht="15" hidden="false" customHeight="false" outlineLevel="0" collapsed="false">
      <c r="B182" s="12" t="str">
        <f aca="false">IF(A182="","",IFERROR(INDEX(Recipes!$B:$B,MATCH(A182,Recipes!$A:$A,0)),"⚠ unknown recipe_id"))</f>
        <v/>
      </c>
      <c r="E182" s="12" t="str">
        <f aca="false">IF(C182="","",IFERROR(INDEX('Ingredient Catalog'!$C:$C,MATCH(C182,'Ingredient Catalog'!$A:$A,0)),"⚠ not in catalog"))</f>
        <v/>
      </c>
      <c r="G182" s="12" t="str">
        <f aca="false">IF(A182="","",COUNTIFS('Weekly Log'!$A:$A,'Grocery List'!$B$3,'Weekly Log'!$C:$C,A182,'Weekly Log'!$E:$E,"Yes"))</f>
        <v/>
      </c>
      <c r="H182" s="12" t="str">
        <f aca="false">IF(OR(A182="",D182=""),"",D182*G182)</f>
        <v/>
      </c>
    </row>
    <row r="183" customFormat="false" ht="15" hidden="false" customHeight="false" outlineLevel="0" collapsed="false">
      <c r="B183" s="12" t="str">
        <f aca="false">IF(A183="","",IFERROR(INDEX(Recipes!$B:$B,MATCH(A183,Recipes!$A:$A,0)),"⚠ unknown recipe_id"))</f>
        <v/>
      </c>
      <c r="E183" s="12" t="str">
        <f aca="false">IF(C183="","",IFERROR(INDEX('Ingredient Catalog'!$C:$C,MATCH(C183,'Ingredient Catalog'!$A:$A,0)),"⚠ not in catalog"))</f>
        <v/>
      </c>
      <c r="G183" s="12" t="str">
        <f aca="false">IF(A183="","",COUNTIFS('Weekly Log'!$A:$A,'Grocery List'!$B$3,'Weekly Log'!$C:$C,A183,'Weekly Log'!$E:$E,"Yes"))</f>
        <v/>
      </c>
      <c r="H183" s="12" t="str">
        <f aca="false">IF(OR(A183="",D183=""),"",D183*G183)</f>
        <v/>
      </c>
    </row>
    <row r="184" customFormat="false" ht="15" hidden="false" customHeight="false" outlineLevel="0" collapsed="false">
      <c r="B184" s="12" t="str">
        <f aca="false">IF(A184="","",IFERROR(INDEX(Recipes!$B:$B,MATCH(A184,Recipes!$A:$A,0)),"⚠ unknown recipe_id"))</f>
        <v/>
      </c>
      <c r="E184" s="12" t="str">
        <f aca="false">IF(C184="","",IFERROR(INDEX('Ingredient Catalog'!$C:$C,MATCH(C184,'Ingredient Catalog'!$A:$A,0)),"⚠ not in catalog"))</f>
        <v/>
      </c>
      <c r="G184" s="12" t="str">
        <f aca="false">IF(A184="","",COUNTIFS('Weekly Log'!$A:$A,'Grocery List'!$B$3,'Weekly Log'!$C:$C,A184,'Weekly Log'!$E:$E,"Yes"))</f>
        <v/>
      </c>
      <c r="H184" s="12" t="str">
        <f aca="false">IF(OR(A184="",D184=""),"",D184*G184)</f>
        <v/>
      </c>
    </row>
    <row r="185" customFormat="false" ht="15" hidden="false" customHeight="false" outlineLevel="0" collapsed="false">
      <c r="B185" s="12" t="str">
        <f aca="false">IF(A185="","",IFERROR(INDEX(Recipes!$B:$B,MATCH(A185,Recipes!$A:$A,0)),"⚠ unknown recipe_id"))</f>
        <v/>
      </c>
      <c r="E185" s="12" t="str">
        <f aca="false">IF(C185="","",IFERROR(INDEX('Ingredient Catalog'!$C:$C,MATCH(C185,'Ingredient Catalog'!$A:$A,0)),"⚠ not in catalog"))</f>
        <v/>
      </c>
      <c r="G185" s="12" t="str">
        <f aca="false">IF(A185="","",COUNTIFS('Weekly Log'!$A:$A,'Grocery List'!$B$3,'Weekly Log'!$C:$C,A185,'Weekly Log'!$E:$E,"Yes"))</f>
        <v/>
      </c>
      <c r="H185" s="12" t="str">
        <f aca="false">IF(OR(A185="",D185=""),"",D185*G185)</f>
        <v/>
      </c>
    </row>
    <row r="186" customFormat="false" ht="15" hidden="false" customHeight="false" outlineLevel="0" collapsed="false">
      <c r="B186" s="12" t="str">
        <f aca="false">IF(A186="","",IFERROR(INDEX(Recipes!$B:$B,MATCH(A186,Recipes!$A:$A,0)),"⚠ unknown recipe_id"))</f>
        <v/>
      </c>
      <c r="E186" s="12" t="str">
        <f aca="false">IF(C186="","",IFERROR(INDEX('Ingredient Catalog'!$C:$C,MATCH(C186,'Ingredient Catalog'!$A:$A,0)),"⚠ not in catalog"))</f>
        <v/>
      </c>
      <c r="G186" s="12" t="str">
        <f aca="false">IF(A186="","",COUNTIFS('Weekly Log'!$A:$A,'Grocery List'!$B$3,'Weekly Log'!$C:$C,A186,'Weekly Log'!$E:$E,"Yes"))</f>
        <v/>
      </c>
      <c r="H186" s="12" t="str">
        <f aca="false">IF(OR(A186="",D186=""),"",D186*G186)</f>
        <v/>
      </c>
    </row>
    <row r="187" customFormat="false" ht="15" hidden="false" customHeight="false" outlineLevel="0" collapsed="false">
      <c r="B187" s="12" t="str">
        <f aca="false">IF(A187="","",IFERROR(INDEX(Recipes!$B:$B,MATCH(A187,Recipes!$A:$A,0)),"⚠ unknown recipe_id"))</f>
        <v/>
      </c>
      <c r="E187" s="12" t="str">
        <f aca="false">IF(C187="","",IFERROR(INDEX('Ingredient Catalog'!$C:$C,MATCH(C187,'Ingredient Catalog'!$A:$A,0)),"⚠ not in catalog"))</f>
        <v/>
      </c>
      <c r="G187" s="12" t="str">
        <f aca="false">IF(A187="","",COUNTIFS('Weekly Log'!$A:$A,'Grocery List'!$B$3,'Weekly Log'!$C:$C,A187,'Weekly Log'!$E:$E,"Yes"))</f>
        <v/>
      </c>
      <c r="H187" s="12" t="str">
        <f aca="false">IF(OR(A187="",D187=""),"",D187*G187)</f>
        <v/>
      </c>
    </row>
    <row r="188" customFormat="false" ht="15" hidden="false" customHeight="false" outlineLevel="0" collapsed="false">
      <c r="B188" s="12" t="str">
        <f aca="false">IF(A188="","",IFERROR(INDEX(Recipes!$B:$B,MATCH(A188,Recipes!$A:$A,0)),"⚠ unknown recipe_id"))</f>
        <v/>
      </c>
      <c r="E188" s="12" t="str">
        <f aca="false">IF(C188="","",IFERROR(INDEX('Ingredient Catalog'!$C:$C,MATCH(C188,'Ingredient Catalog'!$A:$A,0)),"⚠ not in catalog"))</f>
        <v/>
      </c>
      <c r="G188" s="12" t="str">
        <f aca="false">IF(A188="","",COUNTIFS('Weekly Log'!$A:$A,'Grocery List'!$B$3,'Weekly Log'!$C:$C,A188,'Weekly Log'!$E:$E,"Yes"))</f>
        <v/>
      </c>
      <c r="H188" s="12" t="str">
        <f aca="false">IF(OR(A188="",D188=""),"",D188*G188)</f>
        <v/>
      </c>
    </row>
    <row r="189" customFormat="false" ht="15" hidden="false" customHeight="false" outlineLevel="0" collapsed="false">
      <c r="B189" s="12" t="str">
        <f aca="false">IF(A189="","",IFERROR(INDEX(Recipes!$B:$B,MATCH(A189,Recipes!$A:$A,0)),"⚠ unknown recipe_id"))</f>
        <v/>
      </c>
      <c r="E189" s="12" t="str">
        <f aca="false">IF(C189="","",IFERROR(INDEX('Ingredient Catalog'!$C:$C,MATCH(C189,'Ingredient Catalog'!$A:$A,0)),"⚠ not in catalog"))</f>
        <v/>
      </c>
      <c r="G189" s="12" t="str">
        <f aca="false">IF(A189="","",COUNTIFS('Weekly Log'!$A:$A,'Grocery List'!$B$3,'Weekly Log'!$C:$C,A189,'Weekly Log'!$E:$E,"Yes"))</f>
        <v/>
      </c>
      <c r="H189" s="12" t="str">
        <f aca="false">IF(OR(A189="",D189=""),"",D189*G189)</f>
        <v/>
      </c>
    </row>
    <row r="190" customFormat="false" ht="15" hidden="false" customHeight="false" outlineLevel="0" collapsed="false">
      <c r="B190" s="12" t="str">
        <f aca="false">IF(A190="","",IFERROR(INDEX(Recipes!$B:$B,MATCH(A190,Recipes!$A:$A,0)),"⚠ unknown recipe_id"))</f>
        <v/>
      </c>
      <c r="E190" s="12" t="str">
        <f aca="false">IF(C190="","",IFERROR(INDEX('Ingredient Catalog'!$C:$C,MATCH(C190,'Ingredient Catalog'!$A:$A,0)),"⚠ not in catalog"))</f>
        <v/>
      </c>
      <c r="G190" s="12" t="str">
        <f aca="false">IF(A190="","",COUNTIFS('Weekly Log'!$A:$A,'Grocery List'!$B$3,'Weekly Log'!$C:$C,A190,'Weekly Log'!$E:$E,"Yes"))</f>
        <v/>
      </c>
      <c r="H190" s="12" t="str">
        <f aca="false">IF(OR(A190="",D190=""),"",D190*G190)</f>
        <v/>
      </c>
    </row>
    <row r="191" customFormat="false" ht="15" hidden="false" customHeight="false" outlineLevel="0" collapsed="false">
      <c r="B191" s="12" t="str">
        <f aca="false">IF(A191="","",IFERROR(INDEX(Recipes!$B:$B,MATCH(A191,Recipes!$A:$A,0)),"⚠ unknown recipe_id"))</f>
        <v/>
      </c>
      <c r="E191" s="12" t="str">
        <f aca="false">IF(C191="","",IFERROR(INDEX('Ingredient Catalog'!$C:$C,MATCH(C191,'Ingredient Catalog'!$A:$A,0)),"⚠ not in catalog"))</f>
        <v/>
      </c>
      <c r="G191" s="12" t="str">
        <f aca="false">IF(A191="","",COUNTIFS('Weekly Log'!$A:$A,'Grocery List'!$B$3,'Weekly Log'!$C:$C,A191,'Weekly Log'!$E:$E,"Yes"))</f>
        <v/>
      </c>
      <c r="H191" s="12" t="str">
        <f aca="false">IF(OR(A191="",D191=""),"",D191*G191)</f>
        <v/>
      </c>
    </row>
    <row r="192" customFormat="false" ht="15" hidden="false" customHeight="false" outlineLevel="0" collapsed="false">
      <c r="B192" s="12" t="str">
        <f aca="false">IF(A192="","",IFERROR(INDEX(Recipes!$B:$B,MATCH(A192,Recipes!$A:$A,0)),"⚠ unknown recipe_id"))</f>
        <v/>
      </c>
      <c r="E192" s="12" t="str">
        <f aca="false">IF(C192="","",IFERROR(INDEX('Ingredient Catalog'!$C:$C,MATCH(C192,'Ingredient Catalog'!$A:$A,0)),"⚠ not in catalog"))</f>
        <v/>
      </c>
      <c r="G192" s="12" t="str">
        <f aca="false">IF(A192="","",COUNTIFS('Weekly Log'!$A:$A,'Grocery List'!$B$3,'Weekly Log'!$C:$C,A192,'Weekly Log'!$E:$E,"Yes"))</f>
        <v/>
      </c>
      <c r="H192" s="12" t="str">
        <f aca="false">IF(OR(A192="",D192=""),"",D192*G192)</f>
        <v/>
      </c>
    </row>
    <row r="193" customFormat="false" ht="15" hidden="false" customHeight="false" outlineLevel="0" collapsed="false">
      <c r="B193" s="12" t="str">
        <f aca="false">IF(A193="","",IFERROR(INDEX(Recipes!$B:$B,MATCH(A193,Recipes!$A:$A,0)),"⚠ unknown recipe_id"))</f>
        <v/>
      </c>
      <c r="E193" s="12" t="str">
        <f aca="false">IF(C193="","",IFERROR(INDEX('Ingredient Catalog'!$C:$C,MATCH(C193,'Ingredient Catalog'!$A:$A,0)),"⚠ not in catalog"))</f>
        <v/>
      </c>
      <c r="G193" s="12" t="str">
        <f aca="false">IF(A193="","",COUNTIFS('Weekly Log'!$A:$A,'Grocery List'!$B$3,'Weekly Log'!$C:$C,A193,'Weekly Log'!$E:$E,"Yes"))</f>
        <v/>
      </c>
      <c r="H193" s="12" t="str">
        <f aca="false">IF(OR(A193="",D193=""),"",D193*G193)</f>
        <v/>
      </c>
    </row>
    <row r="194" customFormat="false" ht="15" hidden="false" customHeight="false" outlineLevel="0" collapsed="false">
      <c r="B194" s="12" t="str">
        <f aca="false">IF(A194="","",IFERROR(INDEX(Recipes!$B:$B,MATCH(A194,Recipes!$A:$A,0)),"⚠ unknown recipe_id"))</f>
        <v/>
      </c>
      <c r="E194" s="12" t="str">
        <f aca="false">IF(C194="","",IFERROR(INDEX('Ingredient Catalog'!$C:$C,MATCH(C194,'Ingredient Catalog'!$A:$A,0)),"⚠ not in catalog"))</f>
        <v/>
      </c>
      <c r="G194" s="12" t="str">
        <f aca="false">IF(A194="","",COUNTIFS('Weekly Log'!$A:$A,'Grocery List'!$B$3,'Weekly Log'!$C:$C,A194,'Weekly Log'!$E:$E,"Yes"))</f>
        <v/>
      </c>
      <c r="H194" s="12" t="str">
        <f aca="false">IF(OR(A194="",D194=""),"",D194*G194)</f>
        <v/>
      </c>
    </row>
    <row r="195" customFormat="false" ht="15" hidden="false" customHeight="false" outlineLevel="0" collapsed="false">
      <c r="B195" s="12" t="str">
        <f aca="false">IF(A195="","",IFERROR(INDEX(Recipes!$B:$B,MATCH(A195,Recipes!$A:$A,0)),"⚠ unknown recipe_id"))</f>
        <v/>
      </c>
      <c r="E195" s="12" t="str">
        <f aca="false">IF(C195="","",IFERROR(INDEX('Ingredient Catalog'!$C:$C,MATCH(C195,'Ingredient Catalog'!$A:$A,0)),"⚠ not in catalog"))</f>
        <v/>
      </c>
      <c r="G195" s="12" t="str">
        <f aca="false">IF(A195="","",COUNTIFS('Weekly Log'!$A:$A,'Grocery List'!$B$3,'Weekly Log'!$C:$C,A195,'Weekly Log'!$E:$E,"Yes"))</f>
        <v/>
      </c>
      <c r="H195" s="12" t="str">
        <f aca="false">IF(OR(A195="",D195=""),"",D195*G195)</f>
        <v/>
      </c>
    </row>
    <row r="196" customFormat="false" ht="15" hidden="false" customHeight="false" outlineLevel="0" collapsed="false">
      <c r="B196" s="12" t="str">
        <f aca="false">IF(A196="","",IFERROR(INDEX(Recipes!$B:$B,MATCH(A196,Recipes!$A:$A,0)),"⚠ unknown recipe_id"))</f>
        <v/>
      </c>
      <c r="E196" s="12" t="str">
        <f aca="false">IF(C196="","",IFERROR(INDEX('Ingredient Catalog'!$C:$C,MATCH(C196,'Ingredient Catalog'!$A:$A,0)),"⚠ not in catalog"))</f>
        <v/>
      </c>
      <c r="G196" s="12" t="str">
        <f aca="false">IF(A196="","",COUNTIFS('Weekly Log'!$A:$A,'Grocery List'!$B$3,'Weekly Log'!$C:$C,A196,'Weekly Log'!$E:$E,"Yes"))</f>
        <v/>
      </c>
      <c r="H196" s="12" t="str">
        <f aca="false">IF(OR(A196="",D196=""),"",D196*G196)</f>
        <v/>
      </c>
    </row>
    <row r="197" customFormat="false" ht="15" hidden="false" customHeight="false" outlineLevel="0" collapsed="false">
      <c r="B197" s="12" t="str">
        <f aca="false">IF(A197="","",IFERROR(INDEX(Recipes!$B:$B,MATCH(A197,Recipes!$A:$A,0)),"⚠ unknown recipe_id"))</f>
        <v/>
      </c>
      <c r="E197" s="12" t="str">
        <f aca="false">IF(C197="","",IFERROR(INDEX('Ingredient Catalog'!$C:$C,MATCH(C197,'Ingredient Catalog'!$A:$A,0)),"⚠ not in catalog"))</f>
        <v/>
      </c>
      <c r="G197" s="12" t="str">
        <f aca="false">IF(A197="","",COUNTIFS('Weekly Log'!$A:$A,'Grocery List'!$B$3,'Weekly Log'!$C:$C,A197,'Weekly Log'!$E:$E,"Yes"))</f>
        <v/>
      </c>
      <c r="H197" s="12" t="str">
        <f aca="false">IF(OR(A197="",D197=""),"",D197*G197)</f>
        <v/>
      </c>
    </row>
    <row r="198" customFormat="false" ht="15" hidden="false" customHeight="false" outlineLevel="0" collapsed="false">
      <c r="B198" s="12" t="str">
        <f aca="false">IF(A198="","",IFERROR(INDEX(Recipes!$B:$B,MATCH(A198,Recipes!$A:$A,0)),"⚠ unknown recipe_id"))</f>
        <v/>
      </c>
      <c r="E198" s="12" t="str">
        <f aca="false">IF(C198="","",IFERROR(INDEX('Ingredient Catalog'!$C:$C,MATCH(C198,'Ingredient Catalog'!$A:$A,0)),"⚠ not in catalog"))</f>
        <v/>
      </c>
      <c r="G198" s="12" t="str">
        <f aca="false">IF(A198="","",COUNTIFS('Weekly Log'!$A:$A,'Grocery List'!$B$3,'Weekly Log'!$C:$C,A198,'Weekly Log'!$E:$E,"Yes"))</f>
        <v/>
      </c>
      <c r="H198" s="12" t="str">
        <f aca="false">IF(OR(A198="",D198=""),"",D198*G198)</f>
        <v/>
      </c>
    </row>
    <row r="199" customFormat="false" ht="15" hidden="false" customHeight="false" outlineLevel="0" collapsed="false">
      <c r="B199" s="12" t="str">
        <f aca="false">IF(A199="","",IFERROR(INDEX(Recipes!$B:$B,MATCH(A199,Recipes!$A:$A,0)),"⚠ unknown recipe_id"))</f>
        <v/>
      </c>
      <c r="E199" s="12" t="str">
        <f aca="false">IF(C199="","",IFERROR(INDEX('Ingredient Catalog'!$C:$C,MATCH(C199,'Ingredient Catalog'!$A:$A,0)),"⚠ not in catalog"))</f>
        <v/>
      </c>
      <c r="G199" s="12" t="str">
        <f aca="false">IF(A199="","",COUNTIFS('Weekly Log'!$A:$A,'Grocery List'!$B$3,'Weekly Log'!$C:$C,A199,'Weekly Log'!$E:$E,"Yes"))</f>
        <v/>
      </c>
      <c r="H199" s="12" t="str">
        <f aca="false">IF(OR(A199="",D199=""),"",D199*G199)</f>
        <v/>
      </c>
    </row>
    <row r="200" customFormat="false" ht="15" hidden="false" customHeight="false" outlineLevel="0" collapsed="false">
      <c r="B200" s="12" t="str">
        <f aca="false">IF(A200="","",IFERROR(INDEX(Recipes!$B:$B,MATCH(A200,Recipes!$A:$A,0)),"⚠ unknown recipe_id"))</f>
        <v/>
      </c>
      <c r="E200" s="12" t="str">
        <f aca="false">IF(C200="","",IFERROR(INDEX('Ingredient Catalog'!$C:$C,MATCH(C200,'Ingredient Catalog'!$A:$A,0)),"⚠ not in catalog"))</f>
        <v/>
      </c>
      <c r="G200" s="12" t="str">
        <f aca="false">IF(A200="","",COUNTIFS('Weekly Log'!$A:$A,'Grocery List'!$B$3,'Weekly Log'!$C:$C,A200,'Weekly Log'!$E:$E,"Yes"))</f>
        <v/>
      </c>
      <c r="H200" s="12" t="str">
        <f aca="false">IF(OR(A200="",D200=""),"",D200*G200)</f>
        <v/>
      </c>
    </row>
    <row r="201" customFormat="false" ht="15" hidden="false" customHeight="false" outlineLevel="0" collapsed="false">
      <c r="B201" s="12" t="str">
        <f aca="false">IF(A201="","",IFERROR(INDEX(Recipes!$B:$B,MATCH(A201,Recipes!$A:$A,0)),"⚠ unknown recipe_id"))</f>
        <v/>
      </c>
      <c r="E201" s="12" t="str">
        <f aca="false">IF(C201="","",IFERROR(INDEX('Ingredient Catalog'!$C:$C,MATCH(C201,'Ingredient Catalog'!$A:$A,0)),"⚠ not in catalog"))</f>
        <v/>
      </c>
      <c r="G201" s="12" t="str">
        <f aca="false">IF(A201="","",COUNTIFS('Weekly Log'!$A:$A,'Grocery List'!$B$3,'Weekly Log'!$C:$C,A201,'Weekly Log'!$E:$E,"Yes"))</f>
        <v/>
      </c>
      <c r="H201" s="12" t="str">
        <f aca="false">IF(OR(A201="",D201=""),"",D201*G201)</f>
        <v/>
      </c>
    </row>
    <row r="202" customFormat="false" ht="15" hidden="false" customHeight="false" outlineLevel="0" collapsed="false">
      <c r="B202" s="12" t="str">
        <f aca="false">IF(A202="","",IFERROR(INDEX(Recipes!$B:$B,MATCH(A202,Recipes!$A:$A,0)),"⚠ unknown recipe_id"))</f>
        <v/>
      </c>
      <c r="E202" s="12" t="str">
        <f aca="false">IF(C202="","",IFERROR(INDEX('Ingredient Catalog'!$C:$C,MATCH(C202,'Ingredient Catalog'!$A:$A,0)),"⚠ not in catalog"))</f>
        <v/>
      </c>
      <c r="G202" s="12" t="str">
        <f aca="false">IF(A202="","",COUNTIFS('Weekly Log'!$A:$A,'Grocery List'!$B$3,'Weekly Log'!$C:$C,A202,'Weekly Log'!$E:$E,"Yes"))</f>
        <v/>
      </c>
      <c r="H202" s="12" t="str">
        <f aca="false">IF(OR(A202="",D202=""),"",D202*G202)</f>
        <v/>
      </c>
    </row>
    <row r="203" customFormat="false" ht="15" hidden="false" customHeight="false" outlineLevel="0" collapsed="false">
      <c r="B203" s="12" t="str">
        <f aca="false">IF(A203="","",IFERROR(INDEX(Recipes!$B:$B,MATCH(A203,Recipes!$A:$A,0)),"⚠ unknown recipe_id"))</f>
        <v/>
      </c>
      <c r="E203" s="12" t="str">
        <f aca="false">IF(C203="","",IFERROR(INDEX('Ingredient Catalog'!$C:$C,MATCH(C203,'Ingredient Catalog'!$A:$A,0)),"⚠ not in catalog"))</f>
        <v/>
      </c>
      <c r="G203" s="12" t="str">
        <f aca="false">IF(A203="","",COUNTIFS('Weekly Log'!$A:$A,'Grocery List'!$B$3,'Weekly Log'!$C:$C,A203,'Weekly Log'!$E:$E,"Yes"))</f>
        <v/>
      </c>
      <c r="H203" s="12" t="str">
        <f aca="false">IF(OR(A203="",D203=""),"",D203*G203)</f>
        <v/>
      </c>
    </row>
    <row r="204" customFormat="false" ht="15" hidden="false" customHeight="false" outlineLevel="0" collapsed="false">
      <c r="B204" s="12" t="str">
        <f aca="false">IF(A204="","",IFERROR(INDEX(Recipes!$B:$B,MATCH(A204,Recipes!$A:$A,0)),"⚠ unknown recipe_id"))</f>
        <v/>
      </c>
      <c r="E204" s="12" t="str">
        <f aca="false">IF(C204="","",IFERROR(INDEX('Ingredient Catalog'!$C:$C,MATCH(C204,'Ingredient Catalog'!$A:$A,0)),"⚠ not in catalog"))</f>
        <v/>
      </c>
      <c r="G204" s="12" t="str">
        <f aca="false">IF(A204="","",COUNTIFS('Weekly Log'!$A:$A,'Grocery List'!$B$3,'Weekly Log'!$C:$C,A204,'Weekly Log'!$E:$E,"Yes"))</f>
        <v/>
      </c>
      <c r="H204" s="12" t="str">
        <f aca="false">IF(OR(A204="",D204=""),"",D204*G204)</f>
        <v/>
      </c>
    </row>
    <row r="205" customFormat="false" ht="15" hidden="false" customHeight="false" outlineLevel="0" collapsed="false">
      <c r="B205" s="12" t="str">
        <f aca="false">IF(A205="","",IFERROR(INDEX(Recipes!$B:$B,MATCH(A205,Recipes!$A:$A,0)),"⚠ unknown recipe_id"))</f>
        <v/>
      </c>
      <c r="E205" s="12" t="str">
        <f aca="false">IF(C205="","",IFERROR(INDEX('Ingredient Catalog'!$C:$C,MATCH(C205,'Ingredient Catalog'!$A:$A,0)),"⚠ not in catalog"))</f>
        <v/>
      </c>
      <c r="G205" s="12" t="str">
        <f aca="false">IF(A205="","",COUNTIFS('Weekly Log'!$A:$A,'Grocery List'!$B$3,'Weekly Log'!$C:$C,A205,'Weekly Log'!$E:$E,"Yes"))</f>
        <v/>
      </c>
      <c r="H205" s="12" t="str">
        <f aca="false">IF(OR(A205="",D205=""),"",D205*G205)</f>
        <v/>
      </c>
    </row>
    <row r="206" customFormat="false" ht="15" hidden="false" customHeight="false" outlineLevel="0" collapsed="false">
      <c r="B206" s="12" t="str">
        <f aca="false">IF(A206="","",IFERROR(INDEX(Recipes!$B:$B,MATCH(A206,Recipes!$A:$A,0)),"⚠ unknown recipe_id"))</f>
        <v/>
      </c>
      <c r="E206" s="12" t="str">
        <f aca="false">IF(C206="","",IFERROR(INDEX('Ingredient Catalog'!$C:$C,MATCH(C206,'Ingredient Catalog'!$A:$A,0)),"⚠ not in catalog"))</f>
        <v/>
      </c>
      <c r="G206" s="12" t="str">
        <f aca="false">IF(A206="","",COUNTIFS('Weekly Log'!$A:$A,'Grocery List'!$B$3,'Weekly Log'!$C:$C,A206,'Weekly Log'!$E:$E,"Yes"))</f>
        <v/>
      </c>
      <c r="H206" s="12" t="str">
        <f aca="false">IF(OR(A206="",D206=""),"",D206*G206)</f>
        <v/>
      </c>
    </row>
    <row r="207" customFormat="false" ht="15" hidden="false" customHeight="false" outlineLevel="0" collapsed="false">
      <c r="B207" s="12" t="str">
        <f aca="false">IF(A207="","",IFERROR(INDEX(Recipes!$B:$B,MATCH(A207,Recipes!$A:$A,0)),"⚠ unknown recipe_id"))</f>
        <v/>
      </c>
      <c r="E207" s="12" t="str">
        <f aca="false">IF(C207="","",IFERROR(INDEX('Ingredient Catalog'!$C:$C,MATCH(C207,'Ingredient Catalog'!$A:$A,0)),"⚠ not in catalog"))</f>
        <v/>
      </c>
      <c r="G207" s="12" t="str">
        <f aca="false">IF(A207="","",COUNTIFS('Weekly Log'!$A:$A,'Grocery List'!$B$3,'Weekly Log'!$C:$C,A207,'Weekly Log'!$E:$E,"Yes"))</f>
        <v/>
      </c>
      <c r="H207" s="12" t="str">
        <f aca="false">IF(OR(A207="",D207=""),"",D207*G207)</f>
        <v/>
      </c>
    </row>
    <row r="208" customFormat="false" ht="15" hidden="false" customHeight="false" outlineLevel="0" collapsed="false">
      <c r="B208" s="12" t="str">
        <f aca="false">IF(A208="","",IFERROR(INDEX(Recipes!$B:$B,MATCH(A208,Recipes!$A:$A,0)),"⚠ unknown recipe_id"))</f>
        <v/>
      </c>
      <c r="E208" s="12" t="str">
        <f aca="false">IF(C208="","",IFERROR(INDEX('Ingredient Catalog'!$C:$C,MATCH(C208,'Ingredient Catalog'!$A:$A,0)),"⚠ not in catalog"))</f>
        <v/>
      </c>
      <c r="G208" s="12" t="str">
        <f aca="false">IF(A208="","",COUNTIFS('Weekly Log'!$A:$A,'Grocery List'!$B$3,'Weekly Log'!$C:$C,A208,'Weekly Log'!$E:$E,"Yes"))</f>
        <v/>
      </c>
      <c r="H208" s="12" t="str">
        <f aca="false">IF(OR(A208="",D208=""),"",D208*G208)</f>
        <v/>
      </c>
    </row>
    <row r="209" customFormat="false" ht="15" hidden="false" customHeight="false" outlineLevel="0" collapsed="false">
      <c r="B209" s="12" t="str">
        <f aca="false">IF(A209="","",IFERROR(INDEX(Recipes!$B:$B,MATCH(A209,Recipes!$A:$A,0)),"⚠ unknown recipe_id"))</f>
        <v/>
      </c>
      <c r="E209" s="12" t="str">
        <f aca="false">IF(C209="","",IFERROR(INDEX('Ingredient Catalog'!$C:$C,MATCH(C209,'Ingredient Catalog'!$A:$A,0)),"⚠ not in catalog"))</f>
        <v/>
      </c>
      <c r="G209" s="12" t="str">
        <f aca="false">IF(A209="","",COUNTIFS('Weekly Log'!$A:$A,'Grocery List'!$B$3,'Weekly Log'!$C:$C,A209,'Weekly Log'!$E:$E,"Yes"))</f>
        <v/>
      </c>
      <c r="H209" s="12" t="str">
        <f aca="false">IF(OR(A209="",D209=""),"",D209*G209)</f>
        <v/>
      </c>
    </row>
    <row r="210" customFormat="false" ht="15" hidden="false" customHeight="false" outlineLevel="0" collapsed="false">
      <c r="B210" s="12" t="str">
        <f aca="false">IF(A210="","",IFERROR(INDEX(Recipes!$B:$B,MATCH(A210,Recipes!$A:$A,0)),"⚠ unknown recipe_id"))</f>
        <v/>
      </c>
      <c r="E210" s="12" t="str">
        <f aca="false">IF(C210="","",IFERROR(INDEX('Ingredient Catalog'!$C:$C,MATCH(C210,'Ingredient Catalog'!$A:$A,0)),"⚠ not in catalog"))</f>
        <v/>
      </c>
      <c r="G210" s="12" t="str">
        <f aca="false">IF(A210="","",COUNTIFS('Weekly Log'!$A:$A,'Grocery List'!$B$3,'Weekly Log'!$C:$C,A210,'Weekly Log'!$E:$E,"Yes"))</f>
        <v/>
      </c>
      <c r="H210" s="12" t="str">
        <f aca="false">IF(OR(A210="",D210=""),"",D210*G210)</f>
        <v/>
      </c>
    </row>
    <row r="211" customFormat="false" ht="15" hidden="false" customHeight="false" outlineLevel="0" collapsed="false">
      <c r="B211" s="12" t="str">
        <f aca="false">IF(A211="","",IFERROR(INDEX(Recipes!$B:$B,MATCH(A211,Recipes!$A:$A,0)),"⚠ unknown recipe_id"))</f>
        <v/>
      </c>
      <c r="E211" s="12" t="str">
        <f aca="false">IF(C211="","",IFERROR(INDEX('Ingredient Catalog'!$C:$C,MATCH(C211,'Ingredient Catalog'!$A:$A,0)),"⚠ not in catalog"))</f>
        <v/>
      </c>
      <c r="G211" s="12" t="str">
        <f aca="false">IF(A211="","",COUNTIFS('Weekly Log'!$A:$A,'Grocery List'!$B$3,'Weekly Log'!$C:$C,A211,'Weekly Log'!$E:$E,"Yes"))</f>
        <v/>
      </c>
      <c r="H211" s="12" t="str">
        <f aca="false">IF(OR(A211="",D211=""),"",D211*G211)</f>
        <v/>
      </c>
    </row>
    <row r="212" customFormat="false" ht="15" hidden="false" customHeight="false" outlineLevel="0" collapsed="false">
      <c r="B212" s="12" t="str">
        <f aca="false">IF(A212="","",IFERROR(INDEX(Recipes!$B:$B,MATCH(A212,Recipes!$A:$A,0)),"⚠ unknown recipe_id"))</f>
        <v/>
      </c>
      <c r="E212" s="12" t="str">
        <f aca="false">IF(C212="","",IFERROR(INDEX('Ingredient Catalog'!$C:$C,MATCH(C212,'Ingredient Catalog'!$A:$A,0)),"⚠ not in catalog"))</f>
        <v/>
      </c>
      <c r="G212" s="12" t="str">
        <f aca="false">IF(A212="","",COUNTIFS('Weekly Log'!$A:$A,'Grocery List'!$B$3,'Weekly Log'!$C:$C,A212,'Weekly Log'!$E:$E,"Yes"))</f>
        <v/>
      </c>
      <c r="H212" s="12" t="str">
        <f aca="false">IF(OR(A212="",D212=""),"",D212*G212)</f>
        <v/>
      </c>
    </row>
    <row r="213" customFormat="false" ht="15" hidden="false" customHeight="false" outlineLevel="0" collapsed="false">
      <c r="B213" s="12" t="str">
        <f aca="false">IF(A213="","",IFERROR(INDEX(Recipes!$B:$B,MATCH(A213,Recipes!$A:$A,0)),"⚠ unknown recipe_id"))</f>
        <v/>
      </c>
      <c r="E213" s="12" t="str">
        <f aca="false">IF(C213="","",IFERROR(INDEX('Ingredient Catalog'!$C:$C,MATCH(C213,'Ingredient Catalog'!$A:$A,0)),"⚠ not in catalog"))</f>
        <v/>
      </c>
      <c r="G213" s="12" t="str">
        <f aca="false">IF(A213="","",COUNTIFS('Weekly Log'!$A:$A,'Grocery List'!$B$3,'Weekly Log'!$C:$C,A213,'Weekly Log'!$E:$E,"Yes"))</f>
        <v/>
      </c>
      <c r="H213" s="12" t="str">
        <f aca="false">IF(OR(A213="",D213=""),"",D213*G213)</f>
        <v/>
      </c>
    </row>
    <row r="214" customFormat="false" ht="15" hidden="false" customHeight="false" outlineLevel="0" collapsed="false">
      <c r="B214" s="12" t="str">
        <f aca="false">IF(A214="","",IFERROR(INDEX(Recipes!$B:$B,MATCH(A214,Recipes!$A:$A,0)),"⚠ unknown recipe_id"))</f>
        <v/>
      </c>
      <c r="E214" s="12" t="str">
        <f aca="false">IF(C214="","",IFERROR(INDEX('Ingredient Catalog'!$C:$C,MATCH(C214,'Ingredient Catalog'!$A:$A,0)),"⚠ not in catalog"))</f>
        <v/>
      </c>
      <c r="G214" s="12" t="str">
        <f aca="false">IF(A214="","",COUNTIFS('Weekly Log'!$A:$A,'Grocery List'!$B$3,'Weekly Log'!$C:$C,A214,'Weekly Log'!$E:$E,"Yes"))</f>
        <v/>
      </c>
      <c r="H214" s="12" t="str">
        <f aca="false">IF(OR(A214="",D214=""),"",D214*G214)</f>
        <v/>
      </c>
    </row>
    <row r="215" customFormat="false" ht="15" hidden="false" customHeight="false" outlineLevel="0" collapsed="false">
      <c r="B215" s="12" t="str">
        <f aca="false">IF(A215="","",IFERROR(INDEX(Recipes!$B:$B,MATCH(A215,Recipes!$A:$A,0)),"⚠ unknown recipe_id"))</f>
        <v/>
      </c>
      <c r="E215" s="12" t="str">
        <f aca="false">IF(C215="","",IFERROR(INDEX('Ingredient Catalog'!$C:$C,MATCH(C215,'Ingredient Catalog'!$A:$A,0)),"⚠ not in catalog"))</f>
        <v/>
      </c>
      <c r="G215" s="12" t="str">
        <f aca="false">IF(A215="","",COUNTIFS('Weekly Log'!$A:$A,'Grocery List'!$B$3,'Weekly Log'!$C:$C,A215,'Weekly Log'!$E:$E,"Yes"))</f>
        <v/>
      </c>
      <c r="H215" s="12" t="str">
        <f aca="false">IF(OR(A215="",D215=""),"",D215*G215)</f>
        <v/>
      </c>
    </row>
    <row r="216" customFormat="false" ht="15" hidden="false" customHeight="false" outlineLevel="0" collapsed="false">
      <c r="B216" s="12" t="str">
        <f aca="false">IF(A216="","",IFERROR(INDEX(Recipes!$B:$B,MATCH(A216,Recipes!$A:$A,0)),"⚠ unknown recipe_id"))</f>
        <v/>
      </c>
      <c r="E216" s="12" t="str">
        <f aca="false">IF(C216="","",IFERROR(INDEX('Ingredient Catalog'!$C:$C,MATCH(C216,'Ingredient Catalog'!$A:$A,0)),"⚠ not in catalog"))</f>
        <v/>
      </c>
      <c r="G216" s="12" t="str">
        <f aca="false">IF(A216="","",COUNTIFS('Weekly Log'!$A:$A,'Grocery List'!$B$3,'Weekly Log'!$C:$C,A216,'Weekly Log'!$E:$E,"Yes"))</f>
        <v/>
      </c>
      <c r="H216" s="12" t="str">
        <f aca="false">IF(OR(A216="",D216=""),"",D216*G216)</f>
        <v/>
      </c>
    </row>
    <row r="217" customFormat="false" ht="15" hidden="false" customHeight="false" outlineLevel="0" collapsed="false">
      <c r="B217" s="12" t="str">
        <f aca="false">IF(A217="","",IFERROR(INDEX(Recipes!$B:$B,MATCH(A217,Recipes!$A:$A,0)),"⚠ unknown recipe_id"))</f>
        <v/>
      </c>
      <c r="E217" s="12" t="str">
        <f aca="false">IF(C217="","",IFERROR(INDEX('Ingredient Catalog'!$C:$C,MATCH(C217,'Ingredient Catalog'!$A:$A,0)),"⚠ not in catalog"))</f>
        <v/>
      </c>
      <c r="G217" s="12" t="str">
        <f aca="false">IF(A217="","",COUNTIFS('Weekly Log'!$A:$A,'Grocery List'!$B$3,'Weekly Log'!$C:$C,A217,'Weekly Log'!$E:$E,"Yes"))</f>
        <v/>
      </c>
      <c r="H217" s="12" t="str">
        <f aca="false">IF(OR(A217="",D217=""),"",D217*G217)</f>
        <v/>
      </c>
    </row>
    <row r="218" customFormat="false" ht="15" hidden="false" customHeight="false" outlineLevel="0" collapsed="false">
      <c r="B218" s="12" t="str">
        <f aca="false">IF(A218="","",IFERROR(INDEX(Recipes!$B:$B,MATCH(A218,Recipes!$A:$A,0)),"⚠ unknown recipe_id"))</f>
        <v/>
      </c>
      <c r="E218" s="12" t="str">
        <f aca="false">IF(C218="","",IFERROR(INDEX('Ingredient Catalog'!$C:$C,MATCH(C218,'Ingredient Catalog'!$A:$A,0)),"⚠ not in catalog"))</f>
        <v/>
      </c>
      <c r="G218" s="12" t="str">
        <f aca="false">IF(A218="","",COUNTIFS('Weekly Log'!$A:$A,'Grocery List'!$B$3,'Weekly Log'!$C:$C,A218,'Weekly Log'!$E:$E,"Yes"))</f>
        <v/>
      </c>
      <c r="H218" s="12" t="str">
        <f aca="false">IF(OR(A218="",D218=""),"",D218*G218)</f>
        <v/>
      </c>
    </row>
    <row r="219" customFormat="false" ht="15" hidden="false" customHeight="false" outlineLevel="0" collapsed="false">
      <c r="B219" s="12" t="str">
        <f aca="false">IF(A219="","",IFERROR(INDEX(Recipes!$B:$B,MATCH(A219,Recipes!$A:$A,0)),"⚠ unknown recipe_id"))</f>
        <v/>
      </c>
      <c r="E219" s="12" t="str">
        <f aca="false">IF(C219="","",IFERROR(INDEX('Ingredient Catalog'!$C:$C,MATCH(C219,'Ingredient Catalog'!$A:$A,0)),"⚠ not in catalog"))</f>
        <v/>
      </c>
      <c r="G219" s="12" t="str">
        <f aca="false">IF(A219="","",COUNTIFS('Weekly Log'!$A:$A,'Grocery List'!$B$3,'Weekly Log'!$C:$C,A219,'Weekly Log'!$E:$E,"Yes"))</f>
        <v/>
      </c>
      <c r="H219" s="12" t="str">
        <f aca="false">IF(OR(A219="",D219=""),"",D219*G219)</f>
        <v/>
      </c>
    </row>
    <row r="220" customFormat="false" ht="15" hidden="false" customHeight="false" outlineLevel="0" collapsed="false">
      <c r="B220" s="12" t="str">
        <f aca="false">IF(A220="","",IFERROR(INDEX(Recipes!$B:$B,MATCH(A220,Recipes!$A:$A,0)),"⚠ unknown recipe_id"))</f>
        <v/>
      </c>
      <c r="E220" s="12" t="str">
        <f aca="false">IF(C220="","",IFERROR(INDEX('Ingredient Catalog'!$C:$C,MATCH(C220,'Ingredient Catalog'!$A:$A,0)),"⚠ not in catalog"))</f>
        <v/>
      </c>
      <c r="G220" s="12" t="str">
        <f aca="false">IF(A220="","",COUNTIFS('Weekly Log'!$A:$A,'Grocery List'!$B$3,'Weekly Log'!$C:$C,A220,'Weekly Log'!$E:$E,"Yes"))</f>
        <v/>
      </c>
      <c r="H220" s="12" t="str">
        <f aca="false">IF(OR(A220="",D220=""),"",D220*G220)</f>
        <v/>
      </c>
    </row>
    <row r="221" customFormat="false" ht="15" hidden="false" customHeight="false" outlineLevel="0" collapsed="false">
      <c r="B221" s="12" t="str">
        <f aca="false">IF(A221="","",IFERROR(INDEX(Recipes!$B:$B,MATCH(A221,Recipes!$A:$A,0)),"⚠ unknown recipe_id"))</f>
        <v/>
      </c>
      <c r="E221" s="12" t="str">
        <f aca="false">IF(C221="","",IFERROR(INDEX('Ingredient Catalog'!$C:$C,MATCH(C221,'Ingredient Catalog'!$A:$A,0)),"⚠ not in catalog"))</f>
        <v/>
      </c>
      <c r="G221" s="12" t="str">
        <f aca="false">IF(A221="","",COUNTIFS('Weekly Log'!$A:$A,'Grocery List'!$B$3,'Weekly Log'!$C:$C,A221,'Weekly Log'!$E:$E,"Yes"))</f>
        <v/>
      </c>
      <c r="H221" s="12" t="str">
        <f aca="false">IF(OR(A221="",D221=""),"",D221*G221)</f>
        <v/>
      </c>
    </row>
    <row r="222" customFormat="false" ht="15" hidden="false" customHeight="false" outlineLevel="0" collapsed="false">
      <c r="B222" s="12" t="str">
        <f aca="false">IF(A222="","",IFERROR(INDEX(Recipes!$B:$B,MATCH(A222,Recipes!$A:$A,0)),"⚠ unknown recipe_id"))</f>
        <v/>
      </c>
      <c r="E222" s="12" t="str">
        <f aca="false">IF(C222="","",IFERROR(INDEX('Ingredient Catalog'!$C:$C,MATCH(C222,'Ingredient Catalog'!$A:$A,0)),"⚠ not in catalog"))</f>
        <v/>
      </c>
      <c r="G222" s="12" t="str">
        <f aca="false">IF(A222="","",COUNTIFS('Weekly Log'!$A:$A,'Grocery List'!$B$3,'Weekly Log'!$C:$C,A222,'Weekly Log'!$E:$E,"Yes"))</f>
        <v/>
      </c>
      <c r="H222" s="12" t="str">
        <f aca="false">IF(OR(A222="",D222=""),"",D222*G222)</f>
        <v/>
      </c>
    </row>
    <row r="223" customFormat="false" ht="15" hidden="false" customHeight="false" outlineLevel="0" collapsed="false">
      <c r="B223" s="12" t="str">
        <f aca="false">IF(A223="","",IFERROR(INDEX(Recipes!$B:$B,MATCH(A223,Recipes!$A:$A,0)),"⚠ unknown recipe_id"))</f>
        <v/>
      </c>
      <c r="E223" s="12" t="str">
        <f aca="false">IF(C223="","",IFERROR(INDEX('Ingredient Catalog'!$C:$C,MATCH(C223,'Ingredient Catalog'!$A:$A,0)),"⚠ not in catalog"))</f>
        <v/>
      </c>
      <c r="G223" s="12" t="str">
        <f aca="false">IF(A223="","",COUNTIFS('Weekly Log'!$A:$A,'Grocery List'!$B$3,'Weekly Log'!$C:$C,A223,'Weekly Log'!$E:$E,"Yes"))</f>
        <v/>
      </c>
      <c r="H223" s="12" t="str">
        <f aca="false">IF(OR(A223="",D223=""),"",D223*G223)</f>
        <v/>
      </c>
    </row>
    <row r="224" customFormat="false" ht="15" hidden="false" customHeight="false" outlineLevel="0" collapsed="false">
      <c r="B224" s="12" t="str">
        <f aca="false">IF(A224="","",IFERROR(INDEX(Recipes!$B:$B,MATCH(A224,Recipes!$A:$A,0)),"⚠ unknown recipe_id"))</f>
        <v/>
      </c>
      <c r="E224" s="12" t="str">
        <f aca="false">IF(C224="","",IFERROR(INDEX('Ingredient Catalog'!$C:$C,MATCH(C224,'Ingredient Catalog'!$A:$A,0)),"⚠ not in catalog"))</f>
        <v/>
      </c>
      <c r="G224" s="12" t="str">
        <f aca="false">IF(A224="","",COUNTIFS('Weekly Log'!$A:$A,'Grocery List'!$B$3,'Weekly Log'!$C:$C,A224,'Weekly Log'!$E:$E,"Yes"))</f>
        <v/>
      </c>
      <c r="H224" s="12" t="str">
        <f aca="false">IF(OR(A224="",D224=""),"",D224*G224)</f>
        <v/>
      </c>
    </row>
    <row r="225" customFormat="false" ht="15" hidden="false" customHeight="false" outlineLevel="0" collapsed="false">
      <c r="B225" s="12" t="str">
        <f aca="false">IF(A225="","",IFERROR(INDEX(Recipes!$B:$B,MATCH(A225,Recipes!$A:$A,0)),"⚠ unknown recipe_id"))</f>
        <v/>
      </c>
      <c r="E225" s="12" t="str">
        <f aca="false">IF(C225="","",IFERROR(INDEX('Ingredient Catalog'!$C:$C,MATCH(C225,'Ingredient Catalog'!$A:$A,0)),"⚠ not in catalog"))</f>
        <v/>
      </c>
      <c r="G225" s="12" t="str">
        <f aca="false">IF(A225="","",COUNTIFS('Weekly Log'!$A:$A,'Grocery List'!$B$3,'Weekly Log'!$C:$C,A225,'Weekly Log'!$E:$E,"Yes"))</f>
        <v/>
      </c>
      <c r="H225" s="12" t="str">
        <f aca="false">IF(OR(A225="",D225=""),"",D225*G225)</f>
        <v/>
      </c>
    </row>
    <row r="226" customFormat="false" ht="15" hidden="false" customHeight="false" outlineLevel="0" collapsed="false">
      <c r="B226" s="12" t="str">
        <f aca="false">IF(A226="","",IFERROR(INDEX(Recipes!$B:$B,MATCH(A226,Recipes!$A:$A,0)),"⚠ unknown recipe_id"))</f>
        <v/>
      </c>
      <c r="E226" s="12" t="str">
        <f aca="false">IF(C226="","",IFERROR(INDEX('Ingredient Catalog'!$C:$C,MATCH(C226,'Ingredient Catalog'!$A:$A,0)),"⚠ not in catalog"))</f>
        <v/>
      </c>
      <c r="G226" s="12" t="str">
        <f aca="false">IF(A226="","",COUNTIFS('Weekly Log'!$A:$A,'Grocery List'!$B$3,'Weekly Log'!$C:$C,A226,'Weekly Log'!$E:$E,"Yes"))</f>
        <v/>
      </c>
      <c r="H226" s="12" t="str">
        <f aca="false">IF(OR(A226="",D226=""),"",D226*G226)</f>
        <v/>
      </c>
    </row>
    <row r="227" customFormat="false" ht="15" hidden="false" customHeight="false" outlineLevel="0" collapsed="false">
      <c r="B227" s="12" t="str">
        <f aca="false">IF(A227="","",IFERROR(INDEX(Recipes!$B:$B,MATCH(A227,Recipes!$A:$A,0)),"⚠ unknown recipe_id"))</f>
        <v/>
      </c>
      <c r="E227" s="12" t="str">
        <f aca="false">IF(C227="","",IFERROR(INDEX('Ingredient Catalog'!$C:$C,MATCH(C227,'Ingredient Catalog'!$A:$A,0)),"⚠ not in catalog"))</f>
        <v/>
      </c>
      <c r="G227" s="12" t="str">
        <f aca="false">IF(A227="","",COUNTIFS('Weekly Log'!$A:$A,'Grocery List'!$B$3,'Weekly Log'!$C:$C,A227,'Weekly Log'!$E:$E,"Yes"))</f>
        <v/>
      </c>
      <c r="H227" s="12" t="str">
        <f aca="false">IF(OR(A227="",D227=""),"",D227*G227)</f>
        <v/>
      </c>
    </row>
    <row r="228" customFormat="false" ht="15" hidden="false" customHeight="false" outlineLevel="0" collapsed="false">
      <c r="B228" s="12" t="str">
        <f aca="false">IF(A228="","",IFERROR(INDEX(Recipes!$B:$B,MATCH(A228,Recipes!$A:$A,0)),"⚠ unknown recipe_id"))</f>
        <v/>
      </c>
      <c r="E228" s="12" t="str">
        <f aca="false">IF(C228="","",IFERROR(INDEX('Ingredient Catalog'!$C:$C,MATCH(C228,'Ingredient Catalog'!$A:$A,0)),"⚠ not in catalog"))</f>
        <v/>
      </c>
      <c r="G228" s="12" t="str">
        <f aca="false">IF(A228="","",COUNTIFS('Weekly Log'!$A:$A,'Grocery List'!$B$3,'Weekly Log'!$C:$C,A228,'Weekly Log'!$E:$E,"Yes"))</f>
        <v/>
      </c>
      <c r="H228" s="12" t="str">
        <f aca="false">IF(OR(A228="",D228=""),"",D228*G228)</f>
        <v/>
      </c>
    </row>
    <row r="229" customFormat="false" ht="15" hidden="false" customHeight="false" outlineLevel="0" collapsed="false">
      <c r="B229" s="12" t="str">
        <f aca="false">IF(A229="","",IFERROR(INDEX(Recipes!$B:$B,MATCH(A229,Recipes!$A:$A,0)),"⚠ unknown recipe_id"))</f>
        <v/>
      </c>
      <c r="E229" s="12" t="str">
        <f aca="false">IF(C229="","",IFERROR(INDEX('Ingredient Catalog'!$C:$C,MATCH(C229,'Ingredient Catalog'!$A:$A,0)),"⚠ not in catalog"))</f>
        <v/>
      </c>
      <c r="G229" s="12" t="str">
        <f aca="false">IF(A229="","",COUNTIFS('Weekly Log'!$A:$A,'Grocery List'!$B$3,'Weekly Log'!$C:$C,A229,'Weekly Log'!$E:$E,"Yes"))</f>
        <v/>
      </c>
      <c r="H229" s="12" t="str">
        <f aca="false">IF(OR(A229="",D229=""),"",D229*G229)</f>
        <v/>
      </c>
    </row>
    <row r="230" customFormat="false" ht="15" hidden="false" customHeight="false" outlineLevel="0" collapsed="false">
      <c r="B230" s="12" t="str">
        <f aca="false">IF(A230="","",IFERROR(INDEX(Recipes!$B:$B,MATCH(A230,Recipes!$A:$A,0)),"⚠ unknown recipe_id"))</f>
        <v/>
      </c>
      <c r="E230" s="12" t="str">
        <f aca="false">IF(C230="","",IFERROR(INDEX('Ingredient Catalog'!$C:$C,MATCH(C230,'Ingredient Catalog'!$A:$A,0)),"⚠ not in catalog"))</f>
        <v/>
      </c>
      <c r="G230" s="12" t="str">
        <f aca="false">IF(A230="","",COUNTIFS('Weekly Log'!$A:$A,'Grocery List'!$B$3,'Weekly Log'!$C:$C,A230,'Weekly Log'!$E:$E,"Yes"))</f>
        <v/>
      </c>
      <c r="H230" s="12" t="str">
        <f aca="false">IF(OR(A230="",D230=""),"",D230*G230)</f>
        <v/>
      </c>
    </row>
    <row r="231" customFormat="false" ht="15" hidden="false" customHeight="false" outlineLevel="0" collapsed="false">
      <c r="B231" s="12" t="str">
        <f aca="false">IF(A231="","",IFERROR(INDEX(Recipes!$B:$B,MATCH(A231,Recipes!$A:$A,0)),"⚠ unknown recipe_id"))</f>
        <v/>
      </c>
      <c r="E231" s="12" t="str">
        <f aca="false">IF(C231="","",IFERROR(INDEX('Ingredient Catalog'!$C:$C,MATCH(C231,'Ingredient Catalog'!$A:$A,0)),"⚠ not in catalog"))</f>
        <v/>
      </c>
      <c r="G231" s="12" t="str">
        <f aca="false">IF(A231="","",COUNTIFS('Weekly Log'!$A:$A,'Grocery List'!$B$3,'Weekly Log'!$C:$C,A231,'Weekly Log'!$E:$E,"Yes"))</f>
        <v/>
      </c>
      <c r="H231" s="12" t="str">
        <f aca="false">IF(OR(A231="",D231=""),"",D231*G231)</f>
        <v/>
      </c>
    </row>
    <row r="232" customFormat="false" ht="15" hidden="false" customHeight="false" outlineLevel="0" collapsed="false">
      <c r="B232" s="12" t="str">
        <f aca="false">IF(A232="","",IFERROR(INDEX(Recipes!$B:$B,MATCH(A232,Recipes!$A:$A,0)),"⚠ unknown recipe_id"))</f>
        <v/>
      </c>
      <c r="E232" s="12" t="str">
        <f aca="false">IF(C232="","",IFERROR(INDEX('Ingredient Catalog'!$C:$C,MATCH(C232,'Ingredient Catalog'!$A:$A,0)),"⚠ not in catalog"))</f>
        <v/>
      </c>
      <c r="G232" s="12" t="str">
        <f aca="false">IF(A232="","",COUNTIFS('Weekly Log'!$A:$A,'Grocery List'!$B$3,'Weekly Log'!$C:$C,A232,'Weekly Log'!$E:$E,"Yes"))</f>
        <v/>
      </c>
      <c r="H232" s="12" t="str">
        <f aca="false">IF(OR(A232="",D232=""),"",D232*G232)</f>
        <v/>
      </c>
    </row>
    <row r="233" customFormat="false" ht="15" hidden="false" customHeight="false" outlineLevel="0" collapsed="false">
      <c r="B233" s="12" t="str">
        <f aca="false">IF(A233="","",IFERROR(INDEX(Recipes!$B:$B,MATCH(A233,Recipes!$A:$A,0)),"⚠ unknown recipe_id"))</f>
        <v/>
      </c>
      <c r="E233" s="12" t="str">
        <f aca="false">IF(C233="","",IFERROR(INDEX('Ingredient Catalog'!$C:$C,MATCH(C233,'Ingredient Catalog'!$A:$A,0)),"⚠ not in catalog"))</f>
        <v/>
      </c>
      <c r="G233" s="12" t="str">
        <f aca="false">IF(A233="","",COUNTIFS('Weekly Log'!$A:$A,'Grocery List'!$B$3,'Weekly Log'!$C:$C,A233,'Weekly Log'!$E:$E,"Yes"))</f>
        <v/>
      </c>
      <c r="H233" s="12" t="str">
        <f aca="false">IF(OR(A233="",D233=""),"",D233*G233)</f>
        <v/>
      </c>
    </row>
    <row r="234" customFormat="false" ht="15" hidden="false" customHeight="false" outlineLevel="0" collapsed="false">
      <c r="B234" s="12" t="str">
        <f aca="false">IF(A234="","",IFERROR(INDEX(Recipes!$B:$B,MATCH(A234,Recipes!$A:$A,0)),"⚠ unknown recipe_id"))</f>
        <v/>
      </c>
      <c r="E234" s="12" t="str">
        <f aca="false">IF(C234="","",IFERROR(INDEX('Ingredient Catalog'!$C:$C,MATCH(C234,'Ingredient Catalog'!$A:$A,0)),"⚠ not in catalog"))</f>
        <v/>
      </c>
      <c r="G234" s="12" t="str">
        <f aca="false">IF(A234="","",COUNTIFS('Weekly Log'!$A:$A,'Grocery List'!$B$3,'Weekly Log'!$C:$C,A234,'Weekly Log'!$E:$E,"Yes"))</f>
        <v/>
      </c>
      <c r="H234" s="12" t="str">
        <f aca="false">IF(OR(A234="",D234=""),"",D234*G234)</f>
        <v/>
      </c>
    </row>
    <row r="235" customFormat="false" ht="15" hidden="false" customHeight="false" outlineLevel="0" collapsed="false">
      <c r="B235" s="12" t="str">
        <f aca="false">IF(A235="","",IFERROR(INDEX(Recipes!$B:$B,MATCH(A235,Recipes!$A:$A,0)),"⚠ unknown recipe_id"))</f>
        <v/>
      </c>
      <c r="E235" s="12" t="str">
        <f aca="false">IF(C235="","",IFERROR(INDEX('Ingredient Catalog'!$C:$C,MATCH(C235,'Ingredient Catalog'!$A:$A,0)),"⚠ not in catalog"))</f>
        <v/>
      </c>
      <c r="G235" s="12" t="str">
        <f aca="false">IF(A235="","",COUNTIFS('Weekly Log'!$A:$A,'Grocery List'!$B$3,'Weekly Log'!$C:$C,A235,'Weekly Log'!$E:$E,"Yes"))</f>
        <v/>
      </c>
      <c r="H235" s="12" t="str">
        <f aca="false">IF(OR(A235="",D235=""),"",D235*G235)</f>
        <v/>
      </c>
    </row>
    <row r="236" customFormat="false" ht="15" hidden="false" customHeight="false" outlineLevel="0" collapsed="false">
      <c r="B236" s="12" t="str">
        <f aca="false">IF(A236="","",IFERROR(INDEX(Recipes!$B:$B,MATCH(A236,Recipes!$A:$A,0)),"⚠ unknown recipe_id"))</f>
        <v/>
      </c>
      <c r="E236" s="12" t="str">
        <f aca="false">IF(C236="","",IFERROR(INDEX('Ingredient Catalog'!$C:$C,MATCH(C236,'Ingredient Catalog'!$A:$A,0)),"⚠ not in catalog"))</f>
        <v/>
      </c>
      <c r="G236" s="12" t="str">
        <f aca="false">IF(A236="","",COUNTIFS('Weekly Log'!$A:$A,'Grocery List'!$B$3,'Weekly Log'!$C:$C,A236,'Weekly Log'!$E:$E,"Yes"))</f>
        <v/>
      </c>
      <c r="H236" s="12" t="str">
        <f aca="false">IF(OR(A236="",D236=""),"",D236*G236)</f>
        <v/>
      </c>
    </row>
    <row r="237" customFormat="false" ht="15" hidden="false" customHeight="false" outlineLevel="0" collapsed="false">
      <c r="B237" s="12" t="str">
        <f aca="false">IF(A237="","",IFERROR(INDEX(Recipes!$B:$B,MATCH(A237,Recipes!$A:$A,0)),"⚠ unknown recipe_id"))</f>
        <v/>
      </c>
      <c r="E237" s="12" t="str">
        <f aca="false">IF(C237="","",IFERROR(INDEX('Ingredient Catalog'!$C:$C,MATCH(C237,'Ingredient Catalog'!$A:$A,0)),"⚠ not in catalog"))</f>
        <v/>
      </c>
      <c r="G237" s="12" t="str">
        <f aca="false">IF(A237="","",COUNTIFS('Weekly Log'!$A:$A,'Grocery List'!$B$3,'Weekly Log'!$C:$C,A237,'Weekly Log'!$E:$E,"Yes"))</f>
        <v/>
      </c>
      <c r="H237" s="12" t="str">
        <f aca="false">IF(OR(A237="",D237=""),"",D237*G237)</f>
        <v/>
      </c>
    </row>
    <row r="238" customFormat="false" ht="15" hidden="false" customHeight="false" outlineLevel="0" collapsed="false">
      <c r="B238" s="12" t="str">
        <f aca="false">IF(A238="","",IFERROR(INDEX(Recipes!$B:$B,MATCH(A238,Recipes!$A:$A,0)),"⚠ unknown recipe_id"))</f>
        <v/>
      </c>
      <c r="E238" s="12" t="str">
        <f aca="false">IF(C238="","",IFERROR(INDEX('Ingredient Catalog'!$C:$C,MATCH(C238,'Ingredient Catalog'!$A:$A,0)),"⚠ not in catalog"))</f>
        <v/>
      </c>
      <c r="G238" s="12" t="str">
        <f aca="false">IF(A238="","",COUNTIFS('Weekly Log'!$A:$A,'Grocery List'!$B$3,'Weekly Log'!$C:$C,A238,'Weekly Log'!$E:$E,"Yes"))</f>
        <v/>
      </c>
      <c r="H238" s="12" t="str">
        <f aca="false">IF(OR(A238="",D238=""),"",D238*G238)</f>
        <v/>
      </c>
    </row>
    <row r="239" customFormat="false" ht="15" hidden="false" customHeight="false" outlineLevel="0" collapsed="false">
      <c r="B239" s="12" t="str">
        <f aca="false">IF(A239="","",IFERROR(INDEX(Recipes!$B:$B,MATCH(A239,Recipes!$A:$A,0)),"⚠ unknown recipe_id"))</f>
        <v/>
      </c>
      <c r="E239" s="12" t="str">
        <f aca="false">IF(C239="","",IFERROR(INDEX('Ingredient Catalog'!$C:$C,MATCH(C239,'Ingredient Catalog'!$A:$A,0)),"⚠ not in catalog"))</f>
        <v/>
      </c>
      <c r="G239" s="12" t="str">
        <f aca="false">IF(A239="","",COUNTIFS('Weekly Log'!$A:$A,'Grocery List'!$B$3,'Weekly Log'!$C:$C,A239,'Weekly Log'!$E:$E,"Yes"))</f>
        <v/>
      </c>
      <c r="H239" s="12" t="str">
        <f aca="false">IF(OR(A239="",D239=""),"",D239*G239)</f>
        <v/>
      </c>
    </row>
    <row r="240" customFormat="false" ht="15" hidden="false" customHeight="false" outlineLevel="0" collapsed="false">
      <c r="B240" s="12" t="str">
        <f aca="false">IF(A240="","",IFERROR(INDEX(Recipes!$B:$B,MATCH(A240,Recipes!$A:$A,0)),"⚠ unknown recipe_id"))</f>
        <v/>
      </c>
      <c r="E240" s="12" t="str">
        <f aca="false">IF(C240="","",IFERROR(INDEX('Ingredient Catalog'!$C:$C,MATCH(C240,'Ingredient Catalog'!$A:$A,0)),"⚠ not in catalog"))</f>
        <v/>
      </c>
      <c r="G240" s="12" t="str">
        <f aca="false">IF(A240="","",COUNTIFS('Weekly Log'!$A:$A,'Grocery List'!$B$3,'Weekly Log'!$C:$C,A240,'Weekly Log'!$E:$E,"Yes"))</f>
        <v/>
      </c>
      <c r="H240" s="12" t="str">
        <f aca="false">IF(OR(A240="",D240=""),"",D240*G240)</f>
        <v/>
      </c>
    </row>
    <row r="241" customFormat="false" ht="15" hidden="false" customHeight="false" outlineLevel="0" collapsed="false">
      <c r="B241" s="12" t="str">
        <f aca="false">IF(A241="","",IFERROR(INDEX(Recipes!$B:$B,MATCH(A241,Recipes!$A:$A,0)),"⚠ unknown recipe_id"))</f>
        <v/>
      </c>
      <c r="E241" s="12" t="str">
        <f aca="false">IF(C241="","",IFERROR(INDEX('Ingredient Catalog'!$C:$C,MATCH(C241,'Ingredient Catalog'!$A:$A,0)),"⚠ not in catalog"))</f>
        <v/>
      </c>
      <c r="G241" s="12" t="str">
        <f aca="false">IF(A241="","",COUNTIFS('Weekly Log'!$A:$A,'Grocery List'!$B$3,'Weekly Log'!$C:$C,A241,'Weekly Log'!$E:$E,"Yes"))</f>
        <v/>
      </c>
      <c r="H241" s="12" t="str">
        <f aca="false">IF(OR(A241="",D241=""),"",D241*G241)</f>
        <v/>
      </c>
    </row>
    <row r="242" customFormat="false" ht="15" hidden="false" customHeight="false" outlineLevel="0" collapsed="false">
      <c r="B242" s="12" t="str">
        <f aca="false">IF(A242="","",IFERROR(INDEX(Recipes!$B:$B,MATCH(A242,Recipes!$A:$A,0)),"⚠ unknown recipe_id"))</f>
        <v/>
      </c>
      <c r="E242" s="12" t="str">
        <f aca="false">IF(C242="","",IFERROR(INDEX('Ingredient Catalog'!$C:$C,MATCH(C242,'Ingredient Catalog'!$A:$A,0)),"⚠ not in catalog"))</f>
        <v/>
      </c>
      <c r="G242" s="12" t="str">
        <f aca="false">IF(A242="","",COUNTIFS('Weekly Log'!$A:$A,'Grocery List'!$B$3,'Weekly Log'!$C:$C,A242,'Weekly Log'!$E:$E,"Yes"))</f>
        <v/>
      </c>
      <c r="H242" s="12" t="str">
        <f aca="false">IF(OR(A242="",D242=""),"",D242*G242)</f>
        <v/>
      </c>
    </row>
    <row r="243" customFormat="false" ht="15" hidden="false" customHeight="false" outlineLevel="0" collapsed="false">
      <c r="B243" s="12" t="str">
        <f aca="false">IF(A243="","",IFERROR(INDEX(Recipes!$B:$B,MATCH(A243,Recipes!$A:$A,0)),"⚠ unknown recipe_id"))</f>
        <v/>
      </c>
      <c r="E243" s="12" t="str">
        <f aca="false">IF(C243="","",IFERROR(INDEX('Ingredient Catalog'!$C:$C,MATCH(C243,'Ingredient Catalog'!$A:$A,0)),"⚠ not in catalog"))</f>
        <v/>
      </c>
      <c r="G243" s="12" t="str">
        <f aca="false">IF(A243="","",COUNTIFS('Weekly Log'!$A:$A,'Grocery List'!$B$3,'Weekly Log'!$C:$C,A243,'Weekly Log'!$E:$E,"Yes"))</f>
        <v/>
      </c>
      <c r="H243" s="12" t="str">
        <f aca="false">IF(OR(A243="",D243=""),"",D243*G243)</f>
        <v/>
      </c>
    </row>
    <row r="244" customFormat="false" ht="15" hidden="false" customHeight="false" outlineLevel="0" collapsed="false">
      <c r="B244" s="12" t="str">
        <f aca="false">IF(A244="","",IFERROR(INDEX(Recipes!$B:$B,MATCH(A244,Recipes!$A:$A,0)),"⚠ unknown recipe_id"))</f>
        <v/>
      </c>
      <c r="E244" s="12" t="str">
        <f aca="false">IF(C244="","",IFERROR(INDEX('Ingredient Catalog'!$C:$C,MATCH(C244,'Ingredient Catalog'!$A:$A,0)),"⚠ not in catalog"))</f>
        <v/>
      </c>
      <c r="G244" s="12" t="str">
        <f aca="false">IF(A244="","",COUNTIFS('Weekly Log'!$A:$A,'Grocery List'!$B$3,'Weekly Log'!$C:$C,A244,'Weekly Log'!$E:$E,"Yes"))</f>
        <v/>
      </c>
      <c r="H244" s="12" t="str">
        <f aca="false">IF(OR(A244="",D244=""),"",D244*G244)</f>
        <v/>
      </c>
    </row>
    <row r="245" customFormat="false" ht="15" hidden="false" customHeight="false" outlineLevel="0" collapsed="false">
      <c r="B245" s="12" t="str">
        <f aca="false">IF(A245="","",IFERROR(INDEX(Recipes!$B:$B,MATCH(A245,Recipes!$A:$A,0)),"⚠ unknown recipe_id"))</f>
        <v/>
      </c>
      <c r="E245" s="12" t="str">
        <f aca="false">IF(C245="","",IFERROR(INDEX('Ingredient Catalog'!$C:$C,MATCH(C245,'Ingredient Catalog'!$A:$A,0)),"⚠ not in catalog"))</f>
        <v/>
      </c>
      <c r="G245" s="12" t="str">
        <f aca="false">IF(A245="","",COUNTIFS('Weekly Log'!$A:$A,'Grocery List'!$B$3,'Weekly Log'!$C:$C,A245,'Weekly Log'!$E:$E,"Yes"))</f>
        <v/>
      </c>
      <c r="H245" s="12" t="str">
        <f aca="false">IF(OR(A245="",D245=""),"",D245*G245)</f>
        <v/>
      </c>
    </row>
    <row r="246" customFormat="false" ht="15" hidden="false" customHeight="false" outlineLevel="0" collapsed="false">
      <c r="B246" s="12" t="str">
        <f aca="false">IF(A246="","",IFERROR(INDEX(Recipes!$B:$B,MATCH(A246,Recipes!$A:$A,0)),"⚠ unknown recipe_id"))</f>
        <v/>
      </c>
      <c r="E246" s="12" t="str">
        <f aca="false">IF(C246="","",IFERROR(INDEX('Ingredient Catalog'!$C:$C,MATCH(C246,'Ingredient Catalog'!$A:$A,0)),"⚠ not in catalog"))</f>
        <v/>
      </c>
      <c r="G246" s="12" t="str">
        <f aca="false">IF(A246="","",COUNTIFS('Weekly Log'!$A:$A,'Grocery List'!$B$3,'Weekly Log'!$C:$C,A246,'Weekly Log'!$E:$E,"Yes"))</f>
        <v/>
      </c>
      <c r="H246" s="12" t="str">
        <f aca="false">IF(OR(A246="",D246=""),"",D246*G246)</f>
        <v/>
      </c>
    </row>
    <row r="247" customFormat="false" ht="15" hidden="false" customHeight="false" outlineLevel="0" collapsed="false">
      <c r="B247" s="12" t="str">
        <f aca="false">IF(A247="","",IFERROR(INDEX(Recipes!$B:$B,MATCH(A247,Recipes!$A:$A,0)),"⚠ unknown recipe_id"))</f>
        <v/>
      </c>
      <c r="E247" s="12" t="str">
        <f aca="false">IF(C247="","",IFERROR(INDEX('Ingredient Catalog'!$C:$C,MATCH(C247,'Ingredient Catalog'!$A:$A,0)),"⚠ not in catalog"))</f>
        <v/>
      </c>
      <c r="G247" s="12" t="str">
        <f aca="false">IF(A247="","",COUNTIFS('Weekly Log'!$A:$A,'Grocery List'!$B$3,'Weekly Log'!$C:$C,A247,'Weekly Log'!$E:$E,"Yes"))</f>
        <v/>
      </c>
      <c r="H247" s="12" t="str">
        <f aca="false">IF(OR(A247="",D247=""),"",D247*G247)</f>
        <v/>
      </c>
    </row>
    <row r="248" customFormat="false" ht="15" hidden="false" customHeight="false" outlineLevel="0" collapsed="false">
      <c r="B248" s="12" t="str">
        <f aca="false">IF(A248="","",IFERROR(INDEX(Recipes!$B:$B,MATCH(A248,Recipes!$A:$A,0)),"⚠ unknown recipe_id"))</f>
        <v/>
      </c>
      <c r="E248" s="12" t="str">
        <f aca="false">IF(C248="","",IFERROR(INDEX('Ingredient Catalog'!$C:$C,MATCH(C248,'Ingredient Catalog'!$A:$A,0)),"⚠ not in catalog"))</f>
        <v/>
      </c>
      <c r="G248" s="12" t="str">
        <f aca="false">IF(A248="","",COUNTIFS('Weekly Log'!$A:$A,'Grocery List'!$B$3,'Weekly Log'!$C:$C,A248,'Weekly Log'!$E:$E,"Yes"))</f>
        <v/>
      </c>
      <c r="H248" s="12" t="str">
        <f aca="false">IF(OR(A248="",D248=""),"",D248*G248)</f>
        <v/>
      </c>
    </row>
    <row r="249" customFormat="false" ht="15" hidden="false" customHeight="false" outlineLevel="0" collapsed="false">
      <c r="B249" s="12" t="str">
        <f aca="false">IF(A249="","",IFERROR(INDEX(Recipes!$B:$B,MATCH(A249,Recipes!$A:$A,0)),"⚠ unknown recipe_id"))</f>
        <v/>
      </c>
      <c r="E249" s="12" t="str">
        <f aca="false">IF(C249="","",IFERROR(INDEX('Ingredient Catalog'!$C:$C,MATCH(C249,'Ingredient Catalog'!$A:$A,0)),"⚠ not in catalog"))</f>
        <v/>
      </c>
      <c r="G249" s="12" t="str">
        <f aca="false">IF(A249="","",COUNTIFS('Weekly Log'!$A:$A,'Grocery List'!$B$3,'Weekly Log'!$C:$C,A249,'Weekly Log'!$E:$E,"Yes"))</f>
        <v/>
      </c>
      <c r="H249" s="12" t="str">
        <f aca="false">IF(OR(A249="",D249=""),"",D249*G249)</f>
        <v/>
      </c>
    </row>
    <row r="250" customFormat="false" ht="15" hidden="false" customHeight="false" outlineLevel="0" collapsed="false">
      <c r="B250" s="12" t="str">
        <f aca="false">IF(A250="","",IFERROR(INDEX(Recipes!$B:$B,MATCH(A250,Recipes!$A:$A,0)),"⚠ unknown recipe_id"))</f>
        <v/>
      </c>
      <c r="E250" s="12" t="str">
        <f aca="false">IF(C250="","",IFERROR(INDEX('Ingredient Catalog'!$C:$C,MATCH(C250,'Ingredient Catalog'!$A:$A,0)),"⚠ not in catalog"))</f>
        <v/>
      </c>
      <c r="G250" s="12" t="str">
        <f aca="false">IF(A250="","",COUNTIFS('Weekly Log'!$A:$A,'Grocery List'!$B$3,'Weekly Log'!$C:$C,A250,'Weekly Log'!$E:$E,"Yes"))</f>
        <v/>
      </c>
      <c r="H250" s="12" t="str">
        <f aca="false">IF(OR(A250="",D250=""),"",D250*G250)</f>
        <v/>
      </c>
    </row>
    <row r="251" customFormat="false" ht="15" hidden="false" customHeight="false" outlineLevel="0" collapsed="false">
      <c r="B251" s="12" t="str">
        <f aca="false">IF(A251="","",IFERROR(INDEX(Recipes!$B:$B,MATCH(A251,Recipes!$A:$A,0)),"⚠ unknown recipe_id"))</f>
        <v/>
      </c>
      <c r="E251" s="12" t="str">
        <f aca="false">IF(C251="","",IFERROR(INDEX('Ingredient Catalog'!$C:$C,MATCH(C251,'Ingredient Catalog'!$A:$A,0)),"⚠ not in catalog"))</f>
        <v/>
      </c>
      <c r="G251" s="12" t="str">
        <f aca="false">IF(A251="","",COUNTIFS('Weekly Log'!$A:$A,'Grocery List'!$B$3,'Weekly Log'!$C:$C,A251,'Weekly Log'!$E:$E,"Yes"))</f>
        <v/>
      </c>
      <c r="H251" s="12" t="str">
        <f aca="false">IF(OR(A251="",D251=""),"",D251*G251)</f>
        <v/>
      </c>
    </row>
    <row r="252" customFormat="false" ht="15" hidden="false" customHeight="false" outlineLevel="0" collapsed="false">
      <c r="B252" s="12" t="str">
        <f aca="false">IF(A252="","",IFERROR(INDEX(Recipes!$B:$B,MATCH(A252,Recipes!$A:$A,0)),"⚠ unknown recipe_id"))</f>
        <v/>
      </c>
      <c r="E252" s="12" t="str">
        <f aca="false">IF(C252="","",IFERROR(INDEX('Ingredient Catalog'!$C:$C,MATCH(C252,'Ingredient Catalog'!$A:$A,0)),"⚠ not in catalog"))</f>
        <v/>
      </c>
      <c r="G252" s="12" t="str">
        <f aca="false">IF(A252="","",COUNTIFS('Weekly Log'!$A:$A,'Grocery List'!$B$3,'Weekly Log'!$C:$C,A252,'Weekly Log'!$E:$E,"Yes"))</f>
        <v/>
      </c>
      <c r="H252" s="12" t="str">
        <f aca="false">IF(OR(A252="",D252=""),"",D252*G252)</f>
        <v/>
      </c>
    </row>
    <row r="253" customFormat="false" ht="15" hidden="false" customHeight="false" outlineLevel="0" collapsed="false">
      <c r="B253" s="12" t="str">
        <f aca="false">IF(A253="","",IFERROR(INDEX(Recipes!$B:$B,MATCH(A253,Recipes!$A:$A,0)),"⚠ unknown recipe_id"))</f>
        <v/>
      </c>
      <c r="E253" s="12" t="str">
        <f aca="false">IF(C253="","",IFERROR(INDEX('Ingredient Catalog'!$C:$C,MATCH(C253,'Ingredient Catalog'!$A:$A,0)),"⚠ not in catalog"))</f>
        <v/>
      </c>
      <c r="G253" s="12" t="str">
        <f aca="false">IF(A253="","",COUNTIFS('Weekly Log'!$A:$A,'Grocery List'!$B$3,'Weekly Log'!$C:$C,A253,'Weekly Log'!$E:$E,"Yes"))</f>
        <v/>
      </c>
      <c r="H253" s="12" t="str">
        <f aca="false">IF(OR(A253="",D253=""),"",D253*G253)</f>
        <v/>
      </c>
    </row>
    <row r="254" customFormat="false" ht="15" hidden="false" customHeight="false" outlineLevel="0" collapsed="false">
      <c r="B254" s="12" t="str">
        <f aca="false">IF(A254="","",IFERROR(INDEX(Recipes!$B:$B,MATCH(A254,Recipes!$A:$A,0)),"⚠ unknown recipe_id"))</f>
        <v/>
      </c>
      <c r="E254" s="12" t="str">
        <f aca="false">IF(C254="","",IFERROR(INDEX('Ingredient Catalog'!$C:$C,MATCH(C254,'Ingredient Catalog'!$A:$A,0)),"⚠ not in catalog"))</f>
        <v/>
      </c>
      <c r="G254" s="12" t="str">
        <f aca="false">IF(A254="","",COUNTIFS('Weekly Log'!$A:$A,'Grocery List'!$B$3,'Weekly Log'!$C:$C,A254,'Weekly Log'!$E:$E,"Yes"))</f>
        <v/>
      </c>
      <c r="H254" s="12" t="str">
        <f aca="false">IF(OR(A254="",D254=""),"",D254*G254)</f>
        <v/>
      </c>
    </row>
    <row r="255" customFormat="false" ht="15" hidden="false" customHeight="false" outlineLevel="0" collapsed="false">
      <c r="B255" s="12" t="str">
        <f aca="false">IF(A255="","",IFERROR(INDEX(Recipes!$B:$B,MATCH(A255,Recipes!$A:$A,0)),"⚠ unknown recipe_id"))</f>
        <v/>
      </c>
      <c r="E255" s="12" t="str">
        <f aca="false">IF(C255="","",IFERROR(INDEX('Ingredient Catalog'!$C:$C,MATCH(C255,'Ingredient Catalog'!$A:$A,0)),"⚠ not in catalog"))</f>
        <v/>
      </c>
      <c r="G255" s="12" t="str">
        <f aca="false">IF(A255="","",COUNTIFS('Weekly Log'!$A:$A,'Grocery List'!$B$3,'Weekly Log'!$C:$C,A255,'Weekly Log'!$E:$E,"Yes"))</f>
        <v/>
      </c>
      <c r="H255" s="12" t="str">
        <f aca="false">IF(OR(A255="",D255=""),"",D255*G255)</f>
        <v/>
      </c>
    </row>
    <row r="256" customFormat="false" ht="15" hidden="false" customHeight="false" outlineLevel="0" collapsed="false">
      <c r="B256" s="12" t="str">
        <f aca="false">IF(A256="","",IFERROR(INDEX(Recipes!$B:$B,MATCH(A256,Recipes!$A:$A,0)),"⚠ unknown recipe_id"))</f>
        <v/>
      </c>
      <c r="E256" s="12" t="str">
        <f aca="false">IF(C256="","",IFERROR(INDEX('Ingredient Catalog'!$C:$C,MATCH(C256,'Ingredient Catalog'!$A:$A,0)),"⚠ not in catalog"))</f>
        <v/>
      </c>
      <c r="G256" s="12" t="str">
        <f aca="false">IF(A256="","",COUNTIFS('Weekly Log'!$A:$A,'Grocery List'!$B$3,'Weekly Log'!$C:$C,A256,'Weekly Log'!$E:$E,"Yes"))</f>
        <v/>
      </c>
      <c r="H256" s="12" t="str">
        <f aca="false">IF(OR(A256="",D256=""),"",D256*G256)</f>
        <v/>
      </c>
    </row>
    <row r="257" customFormat="false" ht="15" hidden="false" customHeight="false" outlineLevel="0" collapsed="false">
      <c r="B257" s="12" t="str">
        <f aca="false">IF(A257="","",IFERROR(INDEX(Recipes!$B:$B,MATCH(A257,Recipes!$A:$A,0)),"⚠ unknown recipe_id"))</f>
        <v/>
      </c>
      <c r="E257" s="12" t="str">
        <f aca="false">IF(C257="","",IFERROR(INDEX('Ingredient Catalog'!$C:$C,MATCH(C257,'Ingredient Catalog'!$A:$A,0)),"⚠ not in catalog"))</f>
        <v/>
      </c>
      <c r="G257" s="12" t="str">
        <f aca="false">IF(A257="","",COUNTIFS('Weekly Log'!$A:$A,'Grocery List'!$B$3,'Weekly Log'!$C:$C,A257,'Weekly Log'!$E:$E,"Yes"))</f>
        <v/>
      </c>
      <c r="H257" s="12" t="str">
        <f aca="false">IF(OR(A257="",D257=""),"",D257*G257)</f>
        <v/>
      </c>
    </row>
    <row r="258" customFormat="false" ht="15" hidden="false" customHeight="false" outlineLevel="0" collapsed="false">
      <c r="B258" s="12" t="str">
        <f aca="false">IF(A258="","",IFERROR(INDEX(Recipes!$B:$B,MATCH(A258,Recipes!$A:$A,0)),"⚠ unknown recipe_id"))</f>
        <v/>
      </c>
      <c r="E258" s="12" t="str">
        <f aca="false">IF(C258="","",IFERROR(INDEX('Ingredient Catalog'!$C:$C,MATCH(C258,'Ingredient Catalog'!$A:$A,0)),"⚠ not in catalog"))</f>
        <v/>
      </c>
      <c r="G258" s="12" t="str">
        <f aca="false">IF(A258="","",COUNTIFS('Weekly Log'!$A:$A,'Grocery List'!$B$3,'Weekly Log'!$C:$C,A258,'Weekly Log'!$E:$E,"Yes"))</f>
        <v/>
      </c>
      <c r="H258" s="12" t="str">
        <f aca="false">IF(OR(A258="",D258=""),"",D258*G258)</f>
        <v/>
      </c>
    </row>
    <row r="259" customFormat="false" ht="15" hidden="false" customHeight="false" outlineLevel="0" collapsed="false">
      <c r="B259" s="12" t="str">
        <f aca="false">IF(A259="","",IFERROR(INDEX(Recipes!$B:$B,MATCH(A259,Recipes!$A:$A,0)),"⚠ unknown recipe_id"))</f>
        <v/>
      </c>
      <c r="E259" s="12" t="str">
        <f aca="false">IF(C259="","",IFERROR(INDEX('Ingredient Catalog'!$C:$C,MATCH(C259,'Ingredient Catalog'!$A:$A,0)),"⚠ not in catalog"))</f>
        <v/>
      </c>
      <c r="G259" s="12" t="str">
        <f aca="false">IF(A259="","",COUNTIFS('Weekly Log'!$A:$A,'Grocery List'!$B$3,'Weekly Log'!$C:$C,A259,'Weekly Log'!$E:$E,"Yes"))</f>
        <v/>
      </c>
      <c r="H259" s="12" t="str">
        <f aca="false">IF(OR(A259="",D259=""),"",D259*G259)</f>
        <v/>
      </c>
    </row>
    <row r="260" customFormat="false" ht="15" hidden="false" customHeight="false" outlineLevel="0" collapsed="false">
      <c r="B260" s="12" t="str">
        <f aca="false">IF(A260="","",IFERROR(INDEX(Recipes!$B:$B,MATCH(A260,Recipes!$A:$A,0)),"⚠ unknown recipe_id"))</f>
        <v/>
      </c>
      <c r="E260" s="12" t="str">
        <f aca="false">IF(C260="","",IFERROR(INDEX('Ingredient Catalog'!$C:$C,MATCH(C260,'Ingredient Catalog'!$A:$A,0)),"⚠ not in catalog"))</f>
        <v/>
      </c>
      <c r="G260" s="12" t="str">
        <f aca="false">IF(A260="","",COUNTIFS('Weekly Log'!$A:$A,'Grocery List'!$B$3,'Weekly Log'!$C:$C,A260,'Weekly Log'!$E:$E,"Yes"))</f>
        <v/>
      </c>
      <c r="H260" s="12" t="str">
        <f aca="false">IF(OR(A260="",D260=""),"",D260*G260)</f>
        <v/>
      </c>
    </row>
    <row r="261" customFormat="false" ht="15" hidden="false" customHeight="false" outlineLevel="0" collapsed="false">
      <c r="B261" s="12" t="str">
        <f aca="false">IF(A261="","",IFERROR(INDEX(Recipes!$B:$B,MATCH(A261,Recipes!$A:$A,0)),"⚠ unknown recipe_id"))</f>
        <v/>
      </c>
      <c r="E261" s="12" t="str">
        <f aca="false">IF(C261="","",IFERROR(INDEX('Ingredient Catalog'!$C:$C,MATCH(C261,'Ingredient Catalog'!$A:$A,0)),"⚠ not in catalog"))</f>
        <v/>
      </c>
      <c r="G261" s="12" t="str">
        <f aca="false">IF(A261="","",COUNTIFS('Weekly Log'!$A:$A,'Grocery List'!$B$3,'Weekly Log'!$C:$C,A261,'Weekly Log'!$E:$E,"Yes"))</f>
        <v/>
      </c>
      <c r="H261" s="12" t="str">
        <f aca="false">IF(OR(A261="",D261=""),"",D261*G261)</f>
        <v/>
      </c>
    </row>
    <row r="262" customFormat="false" ht="15" hidden="false" customHeight="false" outlineLevel="0" collapsed="false">
      <c r="B262" s="12" t="str">
        <f aca="false">IF(A262="","",IFERROR(INDEX(Recipes!$B:$B,MATCH(A262,Recipes!$A:$A,0)),"⚠ unknown recipe_id"))</f>
        <v/>
      </c>
      <c r="E262" s="12" t="str">
        <f aca="false">IF(C262="","",IFERROR(INDEX('Ingredient Catalog'!$C:$C,MATCH(C262,'Ingredient Catalog'!$A:$A,0)),"⚠ not in catalog"))</f>
        <v/>
      </c>
      <c r="G262" s="12" t="str">
        <f aca="false">IF(A262="","",COUNTIFS('Weekly Log'!$A:$A,'Grocery List'!$B$3,'Weekly Log'!$C:$C,A262,'Weekly Log'!$E:$E,"Yes"))</f>
        <v/>
      </c>
      <c r="H262" s="12" t="str">
        <f aca="false">IF(OR(A262="",D262=""),"",D262*G262)</f>
        <v/>
      </c>
    </row>
    <row r="263" customFormat="false" ht="15" hidden="false" customHeight="false" outlineLevel="0" collapsed="false">
      <c r="B263" s="12" t="str">
        <f aca="false">IF(A263="","",IFERROR(INDEX(Recipes!$B:$B,MATCH(A263,Recipes!$A:$A,0)),"⚠ unknown recipe_id"))</f>
        <v/>
      </c>
      <c r="E263" s="12" t="str">
        <f aca="false">IF(C263="","",IFERROR(INDEX('Ingredient Catalog'!$C:$C,MATCH(C263,'Ingredient Catalog'!$A:$A,0)),"⚠ not in catalog"))</f>
        <v/>
      </c>
      <c r="G263" s="12" t="str">
        <f aca="false">IF(A263="","",COUNTIFS('Weekly Log'!$A:$A,'Grocery List'!$B$3,'Weekly Log'!$C:$C,A263,'Weekly Log'!$E:$E,"Yes"))</f>
        <v/>
      </c>
      <c r="H263" s="12" t="str">
        <f aca="false">IF(OR(A263="",D263=""),"",D263*G263)</f>
        <v/>
      </c>
    </row>
    <row r="264" customFormat="false" ht="15" hidden="false" customHeight="false" outlineLevel="0" collapsed="false">
      <c r="B264" s="12" t="str">
        <f aca="false">IF(A264="","",IFERROR(INDEX(Recipes!$B:$B,MATCH(A264,Recipes!$A:$A,0)),"⚠ unknown recipe_id"))</f>
        <v/>
      </c>
      <c r="E264" s="12" t="str">
        <f aca="false">IF(C264="","",IFERROR(INDEX('Ingredient Catalog'!$C:$C,MATCH(C264,'Ingredient Catalog'!$A:$A,0)),"⚠ not in catalog"))</f>
        <v/>
      </c>
      <c r="G264" s="12" t="str">
        <f aca="false">IF(A264="","",COUNTIFS('Weekly Log'!$A:$A,'Grocery List'!$B$3,'Weekly Log'!$C:$C,A264,'Weekly Log'!$E:$E,"Yes"))</f>
        <v/>
      </c>
      <c r="H264" s="12" t="str">
        <f aca="false">IF(OR(A264="",D264=""),"",D264*G264)</f>
        <v/>
      </c>
    </row>
    <row r="265" customFormat="false" ht="15" hidden="false" customHeight="false" outlineLevel="0" collapsed="false">
      <c r="B265" s="12" t="str">
        <f aca="false">IF(A265="","",IFERROR(INDEX(Recipes!$B:$B,MATCH(A265,Recipes!$A:$A,0)),"⚠ unknown recipe_id"))</f>
        <v/>
      </c>
      <c r="E265" s="12" t="str">
        <f aca="false">IF(C265="","",IFERROR(INDEX('Ingredient Catalog'!$C:$C,MATCH(C265,'Ingredient Catalog'!$A:$A,0)),"⚠ not in catalog"))</f>
        <v/>
      </c>
      <c r="G265" s="12" t="str">
        <f aca="false">IF(A265="","",COUNTIFS('Weekly Log'!$A:$A,'Grocery List'!$B$3,'Weekly Log'!$C:$C,A265,'Weekly Log'!$E:$E,"Yes"))</f>
        <v/>
      </c>
      <c r="H265" s="12" t="str">
        <f aca="false">IF(OR(A265="",D265=""),"",D265*G265)</f>
        <v/>
      </c>
    </row>
    <row r="266" customFormat="false" ht="15" hidden="false" customHeight="false" outlineLevel="0" collapsed="false">
      <c r="B266" s="12" t="str">
        <f aca="false">IF(A266="","",IFERROR(INDEX(Recipes!$B:$B,MATCH(A266,Recipes!$A:$A,0)),"⚠ unknown recipe_id"))</f>
        <v/>
      </c>
      <c r="E266" s="12" t="str">
        <f aca="false">IF(C266="","",IFERROR(INDEX('Ingredient Catalog'!$C:$C,MATCH(C266,'Ingredient Catalog'!$A:$A,0)),"⚠ not in catalog"))</f>
        <v/>
      </c>
      <c r="G266" s="12" t="str">
        <f aca="false">IF(A266="","",COUNTIFS('Weekly Log'!$A:$A,'Grocery List'!$B$3,'Weekly Log'!$C:$C,A266,'Weekly Log'!$E:$E,"Yes"))</f>
        <v/>
      </c>
      <c r="H266" s="12" t="str">
        <f aca="false">IF(OR(A266="",D266=""),"",D266*G266)</f>
        <v/>
      </c>
    </row>
    <row r="267" customFormat="false" ht="15" hidden="false" customHeight="false" outlineLevel="0" collapsed="false">
      <c r="B267" s="12" t="str">
        <f aca="false">IF(A267="","",IFERROR(INDEX(Recipes!$B:$B,MATCH(A267,Recipes!$A:$A,0)),"⚠ unknown recipe_id"))</f>
        <v/>
      </c>
      <c r="E267" s="12" t="str">
        <f aca="false">IF(C267="","",IFERROR(INDEX('Ingredient Catalog'!$C:$C,MATCH(C267,'Ingredient Catalog'!$A:$A,0)),"⚠ not in catalog"))</f>
        <v/>
      </c>
      <c r="G267" s="12" t="str">
        <f aca="false">IF(A267="","",COUNTIFS('Weekly Log'!$A:$A,'Grocery List'!$B$3,'Weekly Log'!$C:$C,A267,'Weekly Log'!$E:$E,"Yes"))</f>
        <v/>
      </c>
      <c r="H267" s="12" t="str">
        <f aca="false">IF(OR(A267="",D267=""),"",D267*G267)</f>
        <v/>
      </c>
    </row>
    <row r="268" customFormat="false" ht="15" hidden="false" customHeight="false" outlineLevel="0" collapsed="false">
      <c r="B268" s="12" t="str">
        <f aca="false">IF(A268="","",IFERROR(INDEX(Recipes!$B:$B,MATCH(A268,Recipes!$A:$A,0)),"⚠ unknown recipe_id"))</f>
        <v/>
      </c>
      <c r="E268" s="12" t="str">
        <f aca="false">IF(C268="","",IFERROR(INDEX('Ingredient Catalog'!$C:$C,MATCH(C268,'Ingredient Catalog'!$A:$A,0)),"⚠ not in catalog"))</f>
        <v/>
      </c>
      <c r="G268" s="12" t="str">
        <f aca="false">IF(A268="","",COUNTIFS('Weekly Log'!$A:$A,'Grocery List'!$B$3,'Weekly Log'!$C:$C,A268,'Weekly Log'!$E:$E,"Yes"))</f>
        <v/>
      </c>
      <c r="H268" s="12" t="str">
        <f aca="false">IF(OR(A268="",D268=""),"",D268*G268)</f>
        <v/>
      </c>
    </row>
    <row r="269" customFormat="false" ht="15" hidden="false" customHeight="false" outlineLevel="0" collapsed="false">
      <c r="B269" s="12" t="str">
        <f aca="false">IF(A269="","",IFERROR(INDEX(Recipes!$B:$B,MATCH(A269,Recipes!$A:$A,0)),"⚠ unknown recipe_id"))</f>
        <v/>
      </c>
      <c r="E269" s="12" t="str">
        <f aca="false">IF(C269="","",IFERROR(INDEX('Ingredient Catalog'!$C:$C,MATCH(C269,'Ingredient Catalog'!$A:$A,0)),"⚠ not in catalog"))</f>
        <v/>
      </c>
      <c r="G269" s="12" t="str">
        <f aca="false">IF(A269="","",COUNTIFS('Weekly Log'!$A:$A,'Grocery List'!$B$3,'Weekly Log'!$C:$C,A269,'Weekly Log'!$E:$E,"Yes"))</f>
        <v/>
      </c>
      <c r="H269" s="12" t="str">
        <f aca="false">IF(OR(A269="",D269=""),"",D269*G269)</f>
        <v/>
      </c>
    </row>
    <row r="270" customFormat="false" ht="15" hidden="false" customHeight="false" outlineLevel="0" collapsed="false">
      <c r="B270" s="12" t="str">
        <f aca="false">IF(A270="","",IFERROR(INDEX(Recipes!$B:$B,MATCH(A270,Recipes!$A:$A,0)),"⚠ unknown recipe_id"))</f>
        <v/>
      </c>
      <c r="E270" s="12" t="str">
        <f aca="false">IF(C270="","",IFERROR(INDEX('Ingredient Catalog'!$C:$C,MATCH(C270,'Ingredient Catalog'!$A:$A,0)),"⚠ not in catalog"))</f>
        <v/>
      </c>
      <c r="G270" s="12" t="str">
        <f aca="false">IF(A270="","",COUNTIFS('Weekly Log'!$A:$A,'Grocery List'!$B$3,'Weekly Log'!$C:$C,A270,'Weekly Log'!$E:$E,"Yes"))</f>
        <v/>
      </c>
      <c r="H270" s="12" t="str">
        <f aca="false">IF(OR(A270="",D270=""),"",D270*G270)</f>
        <v/>
      </c>
    </row>
    <row r="271" customFormat="false" ht="15" hidden="false" customHeight="false" outlineLevel="0" collapsed="false">
      <c r="B271" s="12" t="str">
        <f aca="false">IF(A271="","",IFERROR(INDEX(Recipes!$B:$B,MATCH(A271,Recipes!$A:$A,0)),"⚠ unknown recipe_id"))</f>
        <v/>
      </c>
      <c r="E271" s="12" t="str">
        <f aca="false">IF(C271="","",IFERROR(INDEX('Ingredient Catalog'!$C:$C,MATCH(C271,'Ingredient Catalog'!$A:$A,0)),"⚠ not in catalog"))</f>
        <v/>
      </c>
      <c r="G271" s="12" t="str">
        <f aca="false">IF(A271="","",COUNTIFS('Weekly Log'!$A:$A,'Grocery List'!$B$3,'Weekly Log'!$C:$C,A271,'Weekly Log'!$E:$E,"Yes"))</f>
        <v/>
      </c>
      <c r="H271" s="12" t="str">
        <f aca="false">IF(OR(A271="",D271=""),"",D271*G271)</f>
        <v/>
      </c>
    </row>
    <row r="272" customFormat="false" ht="15" hidden="false" customHeight="false" outlineLevel="0" collapsed="false">
      <c r="B272" s="12" t="str">
        <f aca="false">IF(A272="","",IFERROR(INDEX(Recipes!$B:$B,MATCH(A272,Recipes!$A:$A,0)),"⚠ unknown recipe_id"))</f>
        <v/>
      </c>
      <c r="E272" s="12" t="str">
        <f aca="false">IF(C272="","",IFERROR(INDEX('Ingredient Catalog'!$C:$C,MATCH(C272,'Ingredient Catalog'!$A:$A,0)),"⚠ not in catalog"))</f>
        <v/>
      </c>
      <c r="G272" s="12" t="str">
        <f aca="false">IF(A272="","",COUNTIFS('Weekly Log'!$A:$A,'Grocery List'!$B$3,'Weekly Log'!$C:$C,A272,'Weekly Log'!$E:$E,"Yes"))</f>
        <v/>
      </c>
      <c r="H272" s="12" t="str">
        <f aca="false">IF(OR(A272="",D272=""),"",D272*G272)</f>
        <v/>
      </c>
    </row>
    <row r="273" customFormat="false" ht="15" hidden="false" customHeight="false" outlineLevel="0" collapsed="false">
      <c r="B273" s="12" t="str">
        <f aca="false">IF(A273="","",IFERROR(INDEX(Recipes!$B:$B,MATCH(A273,Recipes!$A:$A,0)),"⚠ unknown recipe_id"))</f>
        <v/>
      </c>
      <c r="E273" s="12" t="str">
        <f aca="false">IF(C273="","",IFERROR(INDEX('Ingredient Catalog'!$C:$C,MATCH(C273,'Ingredient Catalog'!$A:$A,0)),"⚠ not in catalog"))</f>
        <v/>
      </c>
      <c r="G273" s="12" t="str">
        <f aca="false">IF(A273="","",COUNTIFS('Weekly Log'!$A:$A,'Grocery List'!$B$3,'Weekly Log'!$C:$C,A273,'Weekly Log'!$E:$E,"Yes"))</f>
        <v/>
      </c>
      <c r="H273" s="12" t="str">
        <f aca="false">IF(OR(A273="",D273=""),"",D273*G273)</f>
        <v/>
      </c>
    </row>
    <row r="274" customFormat="false" ht="15" hidden="false" customHeight="false" outlineLevel="0" collapsed="false">
      <c r="B274" s="12" t="str">
        <f aca="false">IF(A274="","",IFERROR(INDEX(Recipes!$B:$B,MATCH(A274,Recipes!$A:$A,0)),"⚠ unknown recipe_id"))</f>
        <v/>
      </c>
      <c r="E274" s="12" t="str">
        <f aca="false">IF(C274="","",IFERROR(INDEX('Ingredient Catalog'!$C:$C,MATCH(C274,'Ingredient Catalog'!$A:$A,0)),"⚠ not in catalog"))</f>
        <v/>
      </c>
      <c r="G274" s="12" t="str">
        <f aca="false">IF(A274="","",COUNTIFS('Weekly Log'!$A:$A,'Grocery List'!$B$3,'Weekly Log'!$C:$C,A274,'Weekly Log'!$E:$E,"Yes"))</f>
        <v/>
      </c>
      <c r="H274" s="12" t="str">
        <f aca="false">IF(OR(A274="",D274=""),"",D274*G274)</f>
        <v/>
      </c>
    </row>
    <row r="275" customFormat="false" ht="15" hidden="false" customHeight="false" outlineLevel="0" collapsed="false">
      <c r="B275" s="12" t="str">
        <f aca="false">IF(A275="","",IFERROR(INDEX(Recipes!$B:$B,MATCH(A275,Recipes!$A:$A,0)),"⚠ unknown recipe_id"))</f>
        <v/>
      </c>
      <c r="E275" s="12" t="str">
        <f aca="false">IF(C275="","",IFERROR(INDEX('Ingredient Catalog'!$C:$C,MATCH(C275,'Ingredient Catalog'!$A:$A,0)),"⚠ not in catalog"))</f>
        <v/>
      </c>
      <c r="G275" s="12" t="str">
        <f aca="false">IF(A275="","",COUNTIFS('Weekly Log'!$A:$A,'Grocery List'!$B$3,'Weekly Log'!$C:$C,A275,'Weekly Log'!$E:$E,"Yes"))</f>
        <v/>
      </c>
      <c r="H275" s="12" t="str">
        <f aca="false">IF(OR(A275="",D275=""),"",D275*G275)</f>
        <v/>
      </c>
    </row>
    <row r="276" customFormat="false" ht="15" hidden="false" customHeight="false" outlineLevel="0" collapsed="false">
      <c r="B276" s="12" t="str">
        <f aca="false">IF(A276="","",IFERROR(INDEX(Recipes!$B:$B,MATCH(A276,Recipes!$A:$A,0)),"⚠ unknown recipe_id"))</f>
        <v/>
      </c>
      <c r="E276" s="12" t="str">
        <f aca="false">IF(C276="","",IFERROR(INDEX('Ingredient Catalog'!$C:$C,MATCH(C276,'Ingredient Catalog'!$A:$A,0)),"⚠ not in catalog"))</f>
        <v/>
      </c>
      <c r="G276" s="12" t="str">
        <f aca="false">IF(A276="","",COUNTIFS('Weekly Log'!$A:$A,'Grocery List'!$B$3,'Weekly Log'!$C:$C,A276,'Weekly Log'!$E:$E,"Yes"))</f>
        <v/>
      </c>
      <c r="H276" s="12" t="str">
        <f aca="false">IF(OR(A276="",D276=""),"",D276*G276)</f>
        <v/>
      </c>
    </row>
    <row r="277" customFormat="false" ht="15" hidden="false" customHeight="false" outlineLevel="0" collapsed="false">
      <c r="B277" s="12" t="str">
        <f aca="false">IF(A277="","",IFERROR(INDEX(Recipes!$B:$B,MATCH(A277,Recipes!$A:$A,0)),"⚠ unknown recipe_id"))</f>
        <v/>
      </c>
      <c r="E277" s="12" t="str">
        <f aca="false">IF(C277="","",IFERROR(INDEX('Ingredient Catalog'!$C:$C,MATCH(C277,'Ingredient Catalog'!$A:$A,0)),"⚠ not in catalog"))</f>
        <v/>
      </c>
      <c r="G277" s="12" t="str">
        <f aca="false">IF(A277="","",COUNTIFS('Weekly Log'!$A:$A,'Grocery List'!$B$3,'Weekly Log'!$C:$C,A277,'Weekly Log'!$E:$E,"Yes"))</f>
        <v/>
      </c>
      <c r="H277" s="12" t="str">
        <f aca="false">IF(OR(A277="",D277=""),"",D277*G277)</f>
        <v/>
      </c>
    </row>
    <row r="278" customFormat="false" ht="15" hidden="false" customHeight="false" outlineLevel="0" collapsed="false">
      <c r="B278" s="12" t="str">
        <f aca="false">IF(A278="","",IFERROR(INDEX(Recipes!$B:$B,MATCH(A278,Recipes!$A:$A,0)),"⚠ unknown recipe_id"))</f>
        <v/>
      </c>
      <c r="E278" s="12" t="str">
        <f aca="false">IF(C278="","",IFERROR(INDEX('Ingredient Catalog'!$C:$C,MATCH(C278,'Ingredient Catalog'!$A:$A,0)),"⚠ not in catalog"))</f>
        <v/>
      </c>
      <c r="G278" s="12" t="str">
        <f aca="false">IF(A278="","",COUNTIFS('Weekly Log'!$A:$A,'Grocery List'!$B$3,'Weekly Log'!$C:$C,A278,'Weekly Log'!$E:$E,"Yes"))</f>
        <v/>
      </c>
      <c r="H278" s="12" t="str">
        <f aca="false">IF(OR(A278="",D278=""),"",D278*G278)</f>
        <v/>
      </c>
    </row>
    <row r="279" customFormat="false" ht="15" hidden="false" customHeight="false" outlineLevel="0" collapsed="false">
      <c r="B279" s="12" t="str">
        <f aca="false">IF(A279="","",IFERROR(INDEX(Recipes!$B:$B,MATCH(A279,Recipes!$A:$A,0)),"⚠ unknown recipe_id"))</f>
        <v/>
      </c>
      <c r="E279" s="12" t="str">
        <f aca="false">IF(C279="","",IFERROR(INDEX('Ingredient Catalog'!$C:$C,MATCH(C279,'Ingredient Catalog'!$A:$A,0)),"⚠ not in catalog"))</f>
        <v/>
      </c>
      <c r="G279" s="12" t="str">
        <f aca="false">IF(A279="","",COUNTIFS('Weekly Log'!$A:$A,'Grocery List'!$B$3,'Weekly Log'!$C:$C,A279,'Weekly Log'!$E:$E,"Yes"))</f>
        <v/>
      </c>
      <c r="H279" s="12" t="str">
        <f aca="false">IF(OR(A279="",D279=""),"",D279*G279)</f>
        <v/>
      </c>
    </row>
    <row r="280" customFormat="false" ht="15" hidden="false" customHeight="false" outlineLevel="0" collapsed="false">
      <c r="B280" s="12" t="str">
        <f aca="false">IF(A280="","",IFERROR(INDEX(Recipes!$B:$B,MATCH(A280,Recipes!$A:$A,0)),"⚠ unknown recipe_id"))</f>
        <v/>
      </c>
      <c r="E280" s="12" t="str">
        <f aca="false">IF(C280="","",IFERROR(INDEX('Ingredient Catalog'!$C:$C,MATCH(C280,'Ingredient Catalog'!$A:$A,0)),"⚠ not in catalog"))</f>
        <v/>
      </c>
      <c r="G280" s="12" t="str">
        <f aca="false">IF(A280="","",COUNTIFS('Weekly Log'!$A:$A,'Grocery List'!$B$3,'Weekly Log'!$C:$C,A280,'Weekly Log'!$E:$E,"Yes"))</f>
        <v/>
      </c>
      <c r="H280" s="12" t="str">
        <f aca="false">IF(OR(A280="",D280=""),"",D280*G280)</f>
        <v/>
      </c>
    </row>
    <row r="281" customFormat="false" ht="15" hidden="false" customHeight="false" outlineLevel="0" collapsed="false">
      <c r="B281" s="12" t="str">
        <f aca="false">IF(A281="","",IFERROR(INDEX(Recipes!$B:$B,MATCH(A281,Recipes!$A:$A,0)),"⚠ unknown recipe_id"))</f>
        <v/>
      </c>
      <c r="E281" s="12" t="str">
        <f aca="false">IF(C281="","",IFERROR(INDEX('Ingredient Catalog'!$C:$C,MATCH(C281,'Ingredient Catalog'!$A:$A,0)),"⚠ not in catalog"))</f>
        <v/>
      </c>
      <c r="G281" s="12" t="str">
        <f aca="false">IF(A281="","",COUNTIFS('Weekly Log'!$A:$A,'Grocery List'!$B$3,'Weekly Log'!$C:$C,A281,'Weekly Log'!$E:$E,"Yes"))</f>
        <v/>
      </c>
      <c r="H281" s="12" t="str">
        <f aca="false">IF(OR(A281="",D281=""),"",D281*G281)</f>
        <v/>
      </c>
    </row>
    <row r="282" customFormat="false" ht="15" hidden="false" customHeight="false" outlineLevel="0" collapsed="false">
      <c r="B282" s="12" t="str">
        <f aca="false">IF(A282="","",IFERROR(INDEX(Recipes!$B:$B,MATCH(A282,Recipes!$A:$A,0)),"⚠ unknown recipe_id"))</f>
        <v/>
      </c>
      <c r="E282" s="12" t="str">
        <f aca="false">IF(C282="","",IFERROR(INDEX('Ingredient Catalog'!$C:$C,MATCH(C282,'Ingredient Catalog'!$A:$A,0)),"⚠ not in catalog"))</f>
        <v/>
      </c>
      <c r="G282" s="12" t="str">
        <f aca="false">IF(A282="","",COUNTIFS('Weekly Log'!$A:$A,'Grocery List'!$B$3,'Weekly Log'!$C:$C,A282,'Weekly Log'!$E:$E,"Yes"))</f>
        <v/>
      </c>
      <c r="H282" s="12" t="str">
        <f aca="false">IF(OR(A282="",D282=""),"",D282*G282)</f>
        <v/>
      </c>
    </row>
    <row r="283" customFormat="false" ht="15" hidden="false" customHeight="false" outlineLevel="0" collapsed="false">
      <c r="B283" s="12" t="str">
        <f aca="false">IF(A283="","",IFERROR(INDEX(Recipes!$B:$B,MATCH(A283,Recipes!$A:$A,0)),"⚠ unknown recipe_id"))</f>
        <v/>
      </c>
      <c r="E283" s="12" t="str">
        <f aca="false">IF(C283="","",IFERROR(INDEX('Ingredient Catalog'!$C:$C,MATCH(C283,'Ingredient Catalog'!$A:$A,0)),"⚠ not in catalog"))</f>
        <v/>
      </c>
      <c r="G283" s="12" t="str">
        <f aca="false">IF(A283="","",COUNTIFS('Weekly Log'!$A:$A,'Grocery List'!$B$3,'Weekly Log'!$C:$C,A283,'Weekly Log'!$E:$E,"Yes"))</f>
        <v/>
      </c>
      <c r="H283" s="12" t="str">
        <f aca="false">IF(OR(A283="",D283=""),"",D283*G283)</f>
        <v/>
      </c>
    </row>
    <row r="284" customFormat="false" ht="15" hidden="false" customHeight="false" outlineLevel="0" collapsed="false">
      <c r="B284" s="12" t="str">
        <f aca="false">IF(A284="","",IFERROR(INDEX(Recipes!$B:$B,MATCH(A284,Recipes!$A:$A,0)),"⚠ unknown recipe_id"))</f>
        <v/>
      </c>
      <c r="E284" s="12" t="str">
        <f aca="false">IF(C284="","",IFERROR(INDEX('Ingredient Catalog'!$C:$C,MATCH(C284,'Ingredient Catalog'!$A:$A,0)),"⚠ not in catalog"))</f>
        <v/>
      </c>
      <c r="G284" s="12" t="str">
        <f aca="false">IF(A284="","",COUNTIFS('Weekly Log'!$A:$A,'Grocery List'!$B$3,'Weekly Log'!$C:$C,A284,'Weekly Log'!$E:$E,"Yes"))</f>
        <v/>
      </c>
      <c r="H284" s="12" t="str">
        <f aca="false">IF(OR(A284="",D284=""),"",D284*G284)</f>
        <v/>
      </c>
    </row>
    <row r="285" customFormat="false" ht="15" hidden="false" customHeight="false" outlineLevel="0" collapsed="false">
      <c r="B285" s="12" t="str">
        <f aca="false">IF(A285="","",IFERROR(INDEX(Recipes!$B:$B,MATCH(A285,Recipes!$A:$A,0)),"⚠ unknown recipe_id"))</f>
        <v/>
      </c>
      <c r="E285" s="12" t="str">
        <f aca="false">IF(C285="","",IFERROR(INDEX('Ingredient Catalog'!$C:$C,MATCH(C285,'Ingredient Catalog'!$A:$A,0)),"⚠ not in catalog"))</f>
        <v/>
      </c>
      <c r="G285" s="12" t="str">
        <f aca="false">IF(A285="","",COUNTIFS('Weekly Log'!$A:$A,'Grocery List'!$B$3,'Weekly Log'!$C:$C,A285,'Weekly Log'!$E:$E,"Yes"))</f>
        <v/>
      </c>
      <c r="H285" s="12" t="str">
        <f aca="false">IF(OR(A285="",D285=""),"",D285*G285)</f>
        <v/>
      </c>
    </row>
    <row r="286" customFormat="false" ht="15" hidden="false" customHeight="false" outlineLevel="0" collapsed="false">
      <c r="B286" s="12" t="str">
        <f aca="false">IF(A286="","",IFERROR(INDEX(Recipes!$B:$B,MATCH(A286,Recipes!$A:$A,0)),"⚠ unknown recipe_id"))</f>
        <v/>
      </c>
      <c r="E286" s="12" t="str">
        <f aca="false">IF(C286="","",IFERROR(INDEX('Ingredient Catalog'!$C:$C,MATCH(C286,'Ingredient Catalog'!$A:$A,0)),"⚠ not in catalog"))</f>
        <v/>
      </c>
      <c r="G286" s="12" t="str">
        <f aca="false">IF(A286="","",COUNTIFS('Weekly Log'!$A:$A,'Grocery List'!$B$3,'Weekly Log'!$C:$C,A286,'Weekly Log'!$E:$E,"Yes"))</f>
        <v/>
      </c>
      <c r="H286" s="12" t="str">
        <f aca="false">IF(OR(A286="",D286=""),"",D286*G286)</f>
        <v/>
      </c>
    </row>
    <row r="287" customFormat="false" ht="15" hidden="false" customHeight="false" outlineLevel="0" collapsed="false">
      <c r="B287" s="12" t="str">
        <f aca="false">IF(A287="","",IFERROR(INDEX(Recipes!$B:$B,MATCH(A287,Recipes!$A:$A,0)),"⚠ unknown recipe_id"))</f>
        <v/>
      </c>
      <c r="E287" s="12" t="str">
        <f aca="false">IF(C287="","",IFERROR(INDEX('Ingredient Catalog'!$C:$C,MATCH(C287,'Ingredient Catalog'!$A:$A,0)),"⚠ not in catalog"))</f>
        <v/>
      </c>
      <c r="G287" s="12" t="str">
        <f aca="false">IF(A287="","",COUNTIFS('Weekly Log'!$A:$A,'Grocery List'!$B$3,'Weekly Log'!$C:$C,A287,'Weekly Log'!$E:$E,"Yes"))</f>
        <v/>
      </c>
      <c r="H287" s="12" t="str">
        <f aca="false">IF(OR(A287="",D287=""),"",D287*G287)</f>
        <v/>
      </c>
    </row>
    <row r="288" customFormat="false" ht="15" hidden="false" customHeight="false" outlineLevel="0" collapsed="false">
      <c r="B288" s="12" t="str">
        <f aca="false">IF(A288="","",IFERROR(INDEX(Recipes!$B:$B,MATCH(A288,Recipes!$A:$A,0)),"⚠ unknown recipe_id"))</f>
        <v/>
      </c>
      <c r="E288" s="12" t="str">
        <f aca="false">IF(C288="","",IFERROR(INDEX('Ingredient Catalog'!$C:$C,MATCH(C288,'Ingredient Catalog'!$A:$A,0)),"⚠ not in catalog"))</f>
        <v/>
      </c>
      <c r="G288" s="12" t="str">
        <f aca="false">IF(A288="","",COUNTIFS('Weekly Log'!$A:$A,'Grocery List'!$B$3,'Weekly Log'!$C:$C,A288,'Weekly Log'!$E:$E,"Yes"))</f>
        <v/>
      </c>
      <c r="H288" s="12" t="str">
        <f aca="false">IF(OR(A288="",D288=""),"",D288*G288)</f>
        <v/>
      </c>
    </row>
    <row r="289" customFormat="false" ht="15" hidden="false" customHeight="false" outlineLevel="0" collapsed="false">
      <c r="B289" s="12" t="str">
        <f aca="false">IF(A289="","",IFERROR(INDEX(Recipes!$B:$B,MATCH(A289,Recipes!$A:$A,0)),"⚠ unknown recipe_id"))</f>
        <v/>
      </c>
      <c r="E289" s="12" t="str">
        <f aca="false">IF(C289="","",IFERROR(INDEX('Ingredient Catalog'!$C:$C,MATCH(C289,'Ingredient Catalog'!$A:$A,0)),"⚠ not in catalog"))</f>
        <v/>
      </c>
      <c r="G289" s="12" t="str">
        <f aca="false">IF(A289="","",COUNTIFS('Weekly Log'!$A:$A,'Grocery List'!$B$3,'Weekly Log'!$C:$C,A289,'Weekly Log'!$E:$E,"Yes"))</f>
        <v/>
      </c>
      <c r="H289" s="12" t="str">
        <f aca="false">IF(OR(A289="",D289=""),"",D289*G289)</f>
        <v/>
      </c>
    </row>
    <row r="290" customFormat="false" ht="15" hidden="false" customHeight="false" outlineLevel="0" collapsed="false">
      <c r="B290" s="12" t="str">
        <f aca="false">IF(A290="","",IFERROR(INDEX(Recipes!$B:$B,MATCH(A290,Recipes!$A:$A,0)),"⚠ unknown recipe_id"))</f>
        <v/>
      </c>
      <c r="E290" s="12" t="str">
        <f aca="false">IF(C290="","",IFERROR(INDEX('Ingredient Catalog'!$C:$C,MATCH(C290,'Ingredient Catalog'!$A:$A,0)),"⚠ not in catalog"))</f>
        <v/>
      </c>
      <c r="G290" s="12" t="str">
        <f aca="false">IF(A290="","",COUNTIFS('Weekly Log'!$A:$A,'Grocery List'!$B$3,'Weekly Log'!$C:$C,A290,'Weekly Log'!$E:$E,"Yes"))</f>
        <v/>
      </c>
      <c r="H290" s="12" t="str">
        <f aca="false">IF(OR(A290="",D290=""),"",D290*G290)</f>
        <v/>
      </c>
    </row>
    <row r="291" customFormat="false" ht="15" hidden="false" customHeight="false" outlineLevel="0" collapsed="false">
      <c r="B291" s="12" t="str">
        <f aca="false">IF(A291="","",IFERROR(INDEX(Recipes!$B:$B,MATCH(A291,Recipes!$A:$A,0)),"⚠ unknown recipe_id"))</f>
        <v/>
      </c>
      <c r="E291" s="12" t="str">
        <f aca="false">IF(C291="","",IFERROR(INDEX('Ingredient Catalog'!$C:$C,MATCH(C291,'Ingredient Catalog'!$A:$A,0)),"⚠ not in catalog"))</f>
        <v/>
      </c>
      <c r="G291" s="12" t="str">
        <f aca="false">IF(A291="","",COUNTIFS('Weekly Log'!$A:$A,'Grocery List'!$B$3,'Weekly Log'!$C:$C,A291,'Weekly Log'!$E:$E,"Yes"))</f>
        <v/>
      </c>
      <c r="H291" s="12" t="str">
        <f aca="false">IF(OR(A291="",D291=""),"",D291*G291)</f>
        <v/>
      </c>
    </row>
    <row r="292" customFormat="false" ht="15" hidden="false" customHeight="false" outlineLevel="0" collapsed="false">
      <c r="B292" s="12" t="str">
        <f aca="false">IF(A292="","",IFERROR(INDEX(Recipes!$B:$B,MATCH(A292,Recipes!$A:$A,0)),"⚠ unknown recipe_id"))</f>
        <v/>
      </c>
      <c r="E292" s="12" t="str">
        <f aca="false">IF(C292="","",IFERROR(INDEX('Ingredient Catalog'!$C:$C,MATCH(C292,'Ingredient Catalog'!$A:$A,0)),"⚠ not in catalog"))</f>
        <v/>
      </c>
      <c r="G292" s="12" t="str">
        <f aca="false">IF(A292="","",COUNTIFS('Weekly Log'!$A:$A,'Grocery List'!$B$3,'Weekly Log'!$C:$C,A292,'Weekly Log'!$E:$E,"Yes"))</f>
        <v/>
      </c>
      <c r="H292" s="12" t="str">
        <f aca="false">IF(OR(A292="",D292=""),"",D292*G292)</f>
        <v/>
      </c>
    </row>
    <row r="293" customFormat="false" ht="15" hidden="false" customHeight="false" outlineLevel="0" collapsed="false">
      <c r="B293" s="12" t="str">
        <f aca="false">IF(A293="","",IFERROR(INDEX(Recipes!$B:$B,MATCH(A293,Recipes!$A:$A,0)),"⚠ unknown recipe_id"))</f>
        <v/>
      </c>
      <c r="E293" s="12" t="str">
        <f aca="false">IF(C293="","",IFERROR(INDEX('Ingredient Catalog'!$C:$C,MATCH(C293,'Ingredient Catalog'!$A:$A,0)),"⚠ not in catalog"))</f>
        <v/>
      </c>
      <c r="G293" s="12" t="str">
        <f aca="false">IF(A293="","",COUNTIFS('Weekly Log'!$A:$A,'Grocery List'!$B$3,'Weekly Log'!$C:$C,A293,'Weekly Log'!$E:$E,"Yes"))</f>
        <v/>
      </c>
      <c r="H293" s="12" t="str">
        <f aca="false">IF(OR(A293="",D293=""),"",D293*G293)</f>
        <v/>
      </c>
    </row>
    <row r="294" customFormat="false" ht="15" hidden="false" customHeight="false" outlineLevel="0" collapsed="false">
      <c r="B294" s="12" t="str">
        <f aca="false">IF(A294="","",IFERROR(INDEX(Recipes!$B:$B,MATCH(A294,Recipes!$A:$A,0)),"⚠ unknown recipe_id"))</f>
        <v/>
      </c>
      <c r="E294" s="12" t="str">
        <f aca="false">IF(C294="","",IFERROR(INDEX('Ingredient Catalog'!$C:$C,MATCH(C294,'Ingredient Catalog'!$A:$A,0)),"⚠ not in catalog"))</f>
        <v/>
      </c>
      <c r="G294" s="12" t="str">
        <f aca="false">IF(A294="","",COUNTIFS('Weekly Log'!$A:$A,'Grocery List'!$B$3,'Weekly Log'!$C:$C,A294,'Weekly Log'!$E:$E,"Yes"))</f>
        <v/>
      </c>
      <c r="H294" s="12" t="str">
        <f aca="false">IF(OR(A294="",D294=""),"",D294*G294)</f>
        <v/>
      </c>
    </row>
    <row r="295" customFormat="false" ht="15" hidden="false" customHeight="false" outlineLevel="0" collapsed="false">
      <c r="B295" s="12" t="str">
        <f aca="false">IF(A295="","",IFERROR(INDEX(Recipes!$B:$B,MATCH(A295,Recipes!$A:$A,0)),"⚠ unknown recipe_id"))</f>
        <v/>
      </c>
      <c r="E295" s="12" t="str">
        <f aca="false">IF(C295="","",IFERROR(INDEX('Ingredient Catalog'!$C:$C,MATCH(C295,'Ingredient Catalog'!$A:$A,0)),"⚠ not in catalog"))</f>
        <v/>
      </c>
      <c r="G295" s="12" t="str">
        <f aca="false">IF(A295="","",COUNTIFS('Weekly Log'!$A:$A,'Grocery List'!$B$3,'Weekly Log'!$C:$C,A295,'Weekly Log'!$E:$E,"Yes"))</f>
        <v/>
      </c>
      <c r="H295" s="12" t="str">
        <f aca="false">IF(OR(A295="",D295=""),"",D295*G295)</f>
        <v/>
      </c>
    </row>
    <row r="296" customFormat="false" ht="15" hidden="false" customHeight="false" outlineLevel="0" collapsed="false">
      <c r="B296" s="12" t="str">
        <f aca="false">IF(A296="","",IFERROR(INDEX(Recipes!$B:$B,MATCH(A296,Recipes!$A:$A,0)),"⚠ unknown recipe_id"))</f>
        <v/>
      </c>
      <c r="E296" s="12" t="str">
        <f aca="false">IF(C296="","",IFERROR(INDEX('Ingredient Catalog'!$C:$C,MATCH(C296,'Ingredient Catalog'!$A:$A,0)),"⚠ not in catalog"))</f>
        <v/>
      </c>
      <c r="G296" s="12" t="str">
        <f aca="false">IF(A296="","",COUNTIFS('Weekly Log'!$A:$A,'Grocery List'!$B$3,'Weekly Log'!$C:$C,A296,'Weekly Log'!$E:$E,"Yes"))</f>
        <v/>
      </c>
      <c r="H296" s="12" t="str">
        <f aca="false">IF(OR(A296="",D296=""),"",D296*G296)</f>
        <v/>
      </c>
    </row>
    <row r="297" customFormat="false" ht="15" hidden="false" customHeight="false" outlineLevel="0" collapsed="false">
      <c r="B297" s="12" t="str">
        <f aca="false">IF(A297="","",IFERROR(INDEX(Recipes!$B:$B,MATCH(A297,Recipes!$A:$A,0)),"⚠ unknown recipe_id"))</f>
        <v/>
      </c>
      <c r="E297" s="12" t="str">
        <f aca="false">IF(C297="","",IFERROR(INDEX('Ingredient Catalog'!$C:$C,MATCH(C297,'Ingredient Catalog'!$A:$A,0)),"⚠ not in catalog"))</f>
        <v/>
      </c>
      <c r="G297" s="12" t="str">
        <f aca="false">IF(A297="","",COUNTIFS('Weekly Log'!$A:$A,'Grocery List'!$B$3,'Weekly Log'!$C:$C,A297,'Weekly Log'!$E:$E,"Yes"))</f>
        <v/>
      </c>
      <c r="H297" s="12" t="str">
        <f aca="false">IF(OR(A297="",D297=""),"",D297*G297)</f>
        <v/>
      </c>
    </row>
    <row r="298" customFormat="false" ht="15" hidden="false" customHeight="false" outlineLevel="0" collapsed="false">
      <c r="B298" s="12" t="str">
        <f aca="false">IF(A298="","",IFERROR(INDEX(Recipes!$B:$B,MATCH(A298,Recipes!$A:$A,0)),"⚠ unknown recipe_id"))</f>
        <v/>
      </c>
      <c r="E298" s="12" t="str">
        <f aca="false">IF(C298="","",IFERROR(INDEX('Ingredient Catalog'!$C:$C,MATCH(C298,'Ingredient Catalog'!$A:$A,0)),"⚠ not in catalog"))</f>
        <v/>
      </c>
      <c r="G298" s="12" t="str">
        <f aca="false">IF(A298="","",COUNTIFS('Weekly Log'!$A:$A,'Grocery List'!$B$3,'Weekly Log'!$C:$C,A298,'Weekly Log'!$E:$E,"Yes"))</f>
        <v/>
      </c>
      <c r="H298" s="12" t="str">
        <f aca="false">IF(OR(A298="",D298=""),"",D298*G298)</f>
        <v/>
      </c>
    </row>
    <row r="299" customFormat="false" ht="15" hidden="false" customHeight="false" outlineLevel="0" collapsed="false">
      <c r="B299" s="12" t="str">
        <f aca="false">IF(A299="","",IFERROR(INDEX(Recipes!$B:$B,MATCH(A299,Recipes!$A:$A,0)),"⚠ unknown recipe_id"))</f>
        <v/>
      </c>
      <c r="E299" s="12" t="str">
        <f aca="false">IF(C299="","",IFERROR(INDEX('Ingredient Catalog'!$C:$C,MATCH(C299,'Ingredient Catalog'!$A:$A,0)),"⚠ not in catalog"))</f>
        <v/>
      </c>
      <c r="G299" s="12" t="str">
        <f aca="false">IF(A299="","",COUNTIFS('Weekly Log'!$A:$A,'Grocery List'!$B$3,'Weekly Log'!$C:$C,A299,'Weekly Log'!$E:$E,"Yes"))</f>
        <v/>
      </c>
      <c r="H299" s="12" t="str">
        <f aca="false">IF(OR(A299="",D299=""),"",D299*G299)</f>
        <v/>
      </c>
    </row>
    <row r="300" customFormat="false" ht="15" hidden="false" customHeight="false" outlineLevel="0" collapsed="false">
      <c r="B300" s="12" t="str">
        <f aca="false">IF(A300="","",IFERROR(INDEX(Recipes!$B:$B,MATCH(A300,Recipes!$A:$A,0)),"⚠ unknown recipe_id"))</f>
        <v/>
      </c>
      <c r="E300" s="12" t="str">
        <f aca="false">IF(C300="","",IFERROR(INDEX('Ingredient Catalog'!$C:$C,MATCH(C300,'Ingredient Catalog'!$A:$A,0)),"⚠ not in catalog"))</f>
        <v/>
      </c>
      <c r="G300" s="12" t="str">
        <f aca="false">IF(A300="","",COUNTIFS('Weekly Log'!$A:$A,'Grocery List'!$B$3,'Weekly Log'!$C:$C,A300,'Weekly Log'!$E:$E,"Yes"))</f>
        <v/>
      </c>
      <c r="H300" s="12" t="str">
        <f aca="false">IF(OR(A300="",D300=""),"",D300*G300)</f>
        <v/>
      </c>
    </row>
    <row r="301" customFormat="false" ht="15" hidden="false" customHeight="false" outlineLevel="0" collapsed="false">
      <c r="B301" s="12" t="str">
        <f aca="false">IF(A301="","",IFERROR(INDEX(Recipes!$B:$B,MATCH(A301,Recipes!$A:$A,0)),"⚠ unknown recipe_id"))</f>
        <v/>
      </c>
      <c r="E301" s="12" t="str">
        <f aca="false">IF(C301="","",IFERROR(INDEX('Ingredient Catalog'!$C:$C,MATCH(C301,'Ingredient Catalog'!$A:$A,0)),"⚠ not in catalog"))</f>
        <v/>
      </c>
      <c r="G301" s="12" t="str">
        <f aca="false">IF(A301="","",COUNTIFS('Weekly Log'!$A:$A,'Grocery List'!$B$3,'Weekly Log'!$C:$C,A301,'Weekly Log'!$E:$E,"Yes"))</f>
        <v/>
      </c>
      <c r="H301" s="12" t="str">
        <f aca="false">IF(OR(A301="",D301=""),"",D301*G301)</f>
        <v/>
      </c>
    </row>
    <row r="302" customFormat="false" ht="15" hidden="false" customHeight="false" outlineLevel="0" collapsed="false">
      <c r="B302" s="12" t="str">
        <f aca="false">IF(A302="","",IFERROR(INDEX(Recipes!$B:$B,MATCH(A302,Recipes!$A:$A,0)),"⚠ unknown recipe_id"))</f>
        <v/>
      </c>
      <c r="E302" s="12" t="str">
        <f aca="false">IF(C302="","",IFERROR(INDEX('Ingredient Catalog'!$C:$C,MATCH(C302,'Ingredient Catalog'!$A:$A,0)),"⚠ not in catalog"))</f>
        <v/>
      </c>
      <c r="G302" s="12" t="str">
        <f aca="false">IF(A302="","",COUNTIFS('Weekly Log'!$A:$A,'Grocery List'!$B$3,'Weekly Log'!$C:$C,A302,'Weekly Log'!$E:$E,"Yes"))</f>
        <v/>
      </c>
      <c r="H302" s="12" t="str">
        <f aca="false">IF(OR(A302="",D302=""),"",D302*G302)</f>
        <v/>
      </c>
    </row>
    <row r="303" customFormat="false" ht="15" hidden="false" customHeight="false" outlineLevel="0" collapsed="false">
      <c r="B303" s="12" t="str">
        <f aca="false">IF(A303="","",IFERROR(INDEX(Recipes!$B:$B,MATCH(A303,Recipes!$A:$A,0)),"⚠ unknown recipe_id"))</f>
        <v/>
      </c>
      <c r="E303" s="12" t="str">
        <f aca="false">IF(C303="","",IFERROR(INDEX('Ingredient Catalog'!$C:$C,MATCH(C303,'Ingredient Catalog'!$A:$A,0)),"⚠ not in catalog"))</f>
        <v/>
      </c>
      <c r="G303" s="12" t="str">
        <f aca="false">IF(A303="","",COUNTIFS('Weekly Log'!$A:$A,'Grocery List'!$B$3,'Weekly Log'!$C:$C,A303,'Weekly Log'!$E:$E,"Yes"))</f>
        <v/>
      </c>
      <c r="H303" s="12" t="str">
        <f aca="false">IF(OR(A303="",D303=""),"",D303*G303)</f>
        <v/>
      </c>
    </row>
    <row r="304" customFormat="false" ht="15" hidden="false" customHeight="false" outlineLevel="0" collapsed="false">
      <c r="B304" s="12" t="str">
        <f aca="false">IF(A304="","",IFERROR(INDEX(Recipes!$B:$B,MATCH(A304,Recipes!$A:$A,0)),"⚠ unknown recipe_id"))</f>
        <v/>
      </c>
      <c r="E304" s="12" t="str">
        <f aca="false">IF(C304="","",IFERROR(INDEX('Ingredient Catalog'!$C:$C,MATCH(C304,'Ingredient Catalog'!$A:$A,0)),"⚠ not in catalog"))</f>
        <v/>
      </c>
      <c r="G304" s="12" t="str">
        <f aca="false">IF(A304="","",COUNTIFS('Weekly Log'!$A:$A,'Grocery List'!$B$3,'Weekly Log'!$C:$C,A304,'Weekly Log'!$E:$E,"Yes"))</f>
        <v/>
      </c>
      <c r="H304" s="12" t="str">
        <f aca="false">IF(OR(A304="",D304=""),"",D304*G304)</f>
        <v/>
      </c>
    </row>
    <row r="305" customFormat="false" ht="15" hidden="false" customHeight="false" outlineLevel="0" collapsed="false">
      <c r="B305" s="12" t="str">
        <f aca="false">IF(A305="","",IFERROR(INDEX(Recipes!$B:$B,MATCH(A305,Recipes!$A:$A,0)),"⚠ unknown recipe_id"))</f>
        <v/>
      </c>
      <c r="E305" s="12" t="str">
        <f aca="false">IF(C305="","",IFERROR(INDEX('Ingredient Catalog'!$C:$C,MATCH(C305,'Ingredient Catalog'!$A:$A,0)),"⚠ not in catalog"))</f>
        <v/>
      </c>
      <c r="G305" s="12" t="str">
        <f aca="false">IF(A305="","",COUNTIFS('Weekly Log'!$A:$A,'Grocery List'!$B$3,'Weekly Log'!$C:$C,A305,'Weekly Log'!$E:$E,"Yes"))</f>
        <v/>
      </c>
      <c r="H305" s="12" t="str">
        <f aca="false">IF(OR(A305="",D305=""),"",D305*G305)</f>
        <v/>
      </c>
    </row>
    <row r="306" customFormat="false" ht="15" hidden="false" customHeight="false" outlineLevel="0" collapsed="false">
      <c r="B306" s="12" t="str">
        <f aca="false">IF(A306="","",IFERROR(INDEX(Recipes!$B:$B,MATCH(A306,Recipes!$A:$A,0)),"⚠ unknown recipe_id"))</f>
        <v/>
      </c>
      <c r="E306" s="12" t="str">
        <f aca="false">IF(C306="","",IFERROR(INDEX('Ingredient Catalog'!$C:$C,MATCH(C306,'Ingredient Catalog'!$A:$A,0)),"⚠ not in catalog"))</f>
        <v/>
      </c>
      <c r="G306" s="12" t="str">
        <f aca="false">IF(A306="","",COUNTIFS('Weekly Log'!$A:$A,'Grocery List'!$B$3,'Weekly Log'!$C:$C,A306,'Weekly Log'!$E:$E,"Yes"))</f>
        <v/>
      </c>
      <c r="H306" s="12" t="str">
        <f aca="false">IF(OR(A306="",D306=""),"",D306*G306)</f>
        <v/>
      </c>
    </row>
    <row r="307" customFormat="false" ht="15" hidden="false" customHeight="false" outlineLevel="0" collapsed="false">
      <c r="B307" s="12" t="str">
        <f aca="false">IF(A307="","",IFERROR(INDEX(Recipes!$B:$B,MATCH(A307,Recipes!$A:$A,0)),"⚠ unknown recipe_id"))</f>
        <v/>
      </c>
      <c r="E307" s="12" t="str">
        <f aca="false">IF(C307="","",IFERROR(INDEX('Ingredient Catalog'!$C:$C,MATCH(C307,'Ingredient Catalog'!$A:$A,0)),"⚠ not in catalog"))</f>
        <v/>
      </c>
      <c r="G307" s="12" t="str">
        <f aca="false">IF(A307="","",COUNTIFS('Weekly Log'!$A:$A,'Grocery List'!$B$3,'Weekly Log'!$C:$C,A307,'Weekly Log'!$E:$E,"Yes"))</f>
        <v/>
      </c>
      <c r="H307" s="12" t="str">
        <f aca="false">IF(OR(A307="",D307=""),"",D307*G307)</f>
        <v/>
      </c>
    </row>
    <row r="308" customFormat="false" ht="15" hidden="false" customHeight="false" outlineLevel="0" collapsed="false">
      <c r="B308" s="12" t="str">
        <f aca="false">IF(A308="","",IFERROR(INDEX(Recipes!$B:$B,MATCH(A308,Recipes!$A:$A,0)),"⚠ unknown recipe_id"))</f>
        <v/>
      </c>
      <c r="E308" s="12" t="str">
        <f aca="false">IF(C308="","",IFERROR(INDEX('Ingredient Catalog'!$C:$C,MATCH(C308,'Ingredient Catalog'!$A:$A,0)),"⚠ not in catalog"))</f>
        <v/>
      </c>
      <c r="G308" s="12" t="str">
        <f aca="false">IF(A308="","",COUNTIFS('Weekly Log'!$A:$A,'Grocery List'!$B$3,'Weekly Log'!$C:$C,A308,'Weekly Log'!$E:$E,"Yes"))</f>
        <v/>
      </c>
      <c r="H308" s="12" t="str">
        <f aca="false">IF(OR(A308="",D308=""),"",D308*G308)</f>
        <v/>
      </c>
    </row>
    <row r="309" customFormat="false" ht="15" hidden="false" customHeight="false" outlineLevel="0" collapsed="false">
      <c r="B309" s="12" t="str">
        <f aca="false">IF(A309="","",IFERROR(INDEX(Recipes!$B:$B,MATCH(A309,Recipes!$A:$A,0)),"⚠ unknown recipe_id"))</f>
        <v/>
      </c>
      <c r="E309" s="12" t="str">
        <f aca="false">IF(C309="","",IFERROR(INDEX('Ingredient Catalog'!$C:$C,MATCH(C309,'Ingredient Catalog'!$A:$A,0)),"⚠ not in catalog"))</f>
        <v/>
      </c>
      <c r="G309" s="12" t="str">
        <f aca="false">IF(A309="","",COUNTIFS('Weekly Log'!$A:$A,'Grocery List'!$B$3,'Weekly Log'!$C:$C,A309,'Weekly Log'!$E:$E,"Yes"))</f>
        <v/>
      </c>
      <c r="H309" s="12" t="str">
        <f aca="false">IF(OR(A309="",D309=""),"",D309*G309)</f>
        <v/>
      </c>
    </row>
    <row r="310" customFormat="false" ht="15" hidden="false" customHeight="false" outlineLevel="0" collapsed="false">
      <c r="B310" s="12" t="str">
        <f aca="false">IF(A310="","",IFERROR(INDEX(Recipes!$B:$B,MATCH(A310,Recipes!$A:$A,0)),"⚠ unknown recipe_id"))</f>
        <v/>
      </c>
      <c r="E310" s="12" t="str">
        <f aca="false">IF(C310="","",IFERROR(INDEX('Ingredient Catalog'!$C:$C,MATCH(C310,'Ingredient Catalog'!$A:$A,0)),"⚠ not in catalog"))</f>
        <v/>
      </c>
      <c r="G310" s="12" t="str">
        <f aca="false">IF(A310="","",COUNTIFS('Weekly Log'!$A:$A,'Grocery List'!$B$3,'Weekly Log'!$C:$C,A310,'Weekly Log'!$E:$E,"Yes"))</f>
        <v/>
      </c>
      <c r="H310" s="12" t="str">
        <f aca="false">IF(OR(A310="",D310=""),"",D310*G310)</f>
        <v/>
      </c>
    </row>
    <row r="311" customFormat="false" ht="15" hidden="false" customHeight="false" outlineLevel="0" collapsed="false">
      <c r="B311" s="12" t="str">
        <f aca="false">IF(A311="","",IFERROR(INDEX(Recipes!$B:$B,MATCH(A311,Recipes!$A:$A,0)),"⚠ unknown recipe_id"))</f>
        <v/>
      </c>
      <c r="E311" s="12" t="str">
        <f aca="false">IF(C311="","",IFERROR(INDEX('Ingredient Catalog'!$C:$C,MATCH(C311,'Ingredient Catalog'!$A:$A,0)),"⚠ not in catalog"))</f>
        <v/>
      </c>
      <c r="G311" s="12" t="str">
        <f aca="false">IF(A311="","",COUNTIFS('Weekly Log'!$A:$A,'Grocery List'!$B$3,'Weekly Log'!$C:$C,A311,'Weekly Log'!$E:$E,"Yes"))</f>
        <v/>
      </c>
      <c r="H311" s="12" t="str">
        <f aca="false">IF(OR(A311="",D311=""),"",D311*G311)</f>
        <v/>
      </c>
    </row>
    <row r="312" customFormat="false" ht="15" hidden="false" customHeight="false" outlineLevel="0" collapsed="false">
      <c r="B312" s="12" t="str">
        <f aca="false">IF(A312="","",IFERROR(INDEX(Recipes!$B:$B,MATCH(A312,Recipes!$A:$A,0)),"⚠ unknown recipe_id"))</f>
        <v/>
      </c>
      <c r="E312" s="12" t="str">
        <f aca="false">IF(C312="","",IFERROR(INDEX('Ingredient Catalog'!$C:$C,MATCH(C312,'Ingredient Catalog'!$A:$A,0)),"⚠ not in catalog"))</f>
        <v/>
      </c>
      <c r="G312" s="12" t="str">
        <f aca="false">IF(A312="","",COUNTIFS('Weekly Log'!$A:$A,'Grocery List'!$B$3,'Weekly Log'!$C:$C,A312,'Weekly Log'!$E:$E,"Yes"))</f>
        <v/>
      </c>
      <c r="H312" s="12" t="str">
        <f aca="false">IF(OR(A312="",D312=""),"",D312*G312)</f>
        <v/>
      </c>
    </row>
    <row r="313" customFormat="false" ht="15" hidden="false" customHeight="false" outlineLevel="0" collapsed="false">
      <c r="B313" s="12" t="str">
        <f aca="false">IF(A313="","",IFERROR(INDEX(Recipes!$B:$B,MATCH(A313,Recipes!$A:$A,0)),"⚠ unknown recipe_id"))</f>
        <v/>
      </c>
      <c r="E313" s="12" t="str">
        <f aca="false">IF(C313="","",IFERROR(INDEX('Ingredient Catalog'!$C:$C,MATCH(C313,'Ingredient Catalog'!$A:$A,0)),"⚠ not in catalog"))</f>
        <v/>
      </c>
      <c r="G313" s="12" t="str">
        <f aca="false">IF(A313="","",COUNTIFS('Weekly Log'!$A:$A,'Grocery List'!$B$3,'Weekly Log'!$C:$C,A313,'Weekly Log'!$E:$E,"Yes"))</f>
        <v/>
      </c>
      <c r="H313" s="12" t="str">
        <f aca="false">IF(OR(A313="",D313=""),"",D313*G313)</f>
        <v/>
      </c>
    </row>
    <row r="314" customFormat="false" ht="15" hidden="false" customHeight="false" outlineLevel="0" collapsed="false">
      <c r="B314" s="12" t="str">
        <f aca="false">IF(A314="","",IFERROR(INDEX(Recipes!$B:$B,MATCH(A314,Recipes!$A:$A,0)),"⚠ unknown recipe_id"))</f>
        <v/>
      </c>
      <c r="E314" s="12" t="str">
        <f aca="false">IF(C314="","",IFERROR(INDEX('Ingredient Catalog'!$C:$C,MATCH(C314,'Ingredient Catalog'!$A:$A,0)),"⚠ not in catalog"))</f>
        <v/>
      </c>
      <c r="G314" s="12" t="str">
        <f aca="false">IF(A314="","",COUNTIFS('Weekly Log'!$A:$A,'Grocery List'!$B$3,'Weekly Log'!$C:$C,A314,'Weekly Log'!$E:$E,"Yes"))</f>
        <v/>
      </c>
      <c r="H314" s="12" t="str">
        <f aca="false">IF(OR(A314="",D314=""),"",D314*G314)</f>
        <v/>
      </c>
    </row>
    <row r="315" customFormat="false" ht="15" hidden="false" customHeight="false" outlineLevel="0" collapsed="false">
      <c r="B315" s="12" t="str">
        <f aca="false">IF(A315="","",IFERROR(INDEX(Recipes!$B:$B,MATCH(A315,Recipes!$A:$A,0)),"⚠ unknown recipe_id"))</f>
        <v/>
      </c>
      <c r="E315" s="12" t="str">
        <f aca="false">IF(C315="","",IFERROR(INDEX('Ingredient Catalog'!$C:$C,MATCH(C315,'Ingredient Catalog'!$A:$A,0)),"⚠ not in catalog"))</f>
        <v/>
      </c>
      <c r="G315" s="12" t="str">
        <f aca="false">IF(A315="","",COUNTIFS('Weekly Log'!$A:$A,'Grocery List'!$B$3,'Weekly Log'!$C:$C,A315,'Weekly Log'!$E:$E,"Yes"))</f>
        <v/>
      </c>
      <c r="H315" s="12" t="str">
        <f aca="false">IF(OR(A315="",D315=""),"",D315*G315)</f>
        <v/>
      </c>
    </row>
    <row r="316" customFormat="false" ht="15" hidden="false" customHeight="false" outlineLevel="0" collapsed="false">
      <c r="B316" s="12" t="str">
        <f aca="false">IF(A316="","",IFERROR(INDEX(Recipes!$B:$B,MATCH(A316,Recipes!$A:$A,0)),"⚠ unknown recipe_id"))</f>
        <v/>
      </c>
      <c r="E316" s="12" t="str">
        <f aca="false">IF(C316="","",IFERROR(INDEX('Ingredient Catalog'!$C:$C,MATCH(C316,'Ingredient Catalog'!$A:$A,0)),"⚠ not in catalog"))</f>
        <v/>
      </c>
      <c r="G316" s="12" t="str">
        <f aca="false">IF(A316="","",COUNTIFS('Weekly Log'!$A:$A,'Grocery List'!$B$3,'Weekly Log'!$C:$C,A316,'Weekly Log'!$E:$E,"Yes"))</f>
        <v/>
      </c>
      <c r="H316" s="12" t="str">
        <f aca="false">IF(OR(A316="",D316=""),"",D316*G316)</f>
        <v/>
      </c>
    </row>
    <row r="317" customFormat="false" ht="15" hidden="false" customHeight="false" outlineLevel="0" collapsed="false">
      <c r="B317" s="12" t="str">
        <f aca="false">IF(A317="","",IFERROR(INDEX(Recipes!$B:$B,MATCH(A317,Recipes!$A:$A,0)),"⚠ unknown recipe_id"))</f>
        <v/>
      </c>
      <c r="E317" s="12" t="str">
        <f aca="false">IF(C317="","",IFERROR(INDEX('Ingredient Catalog'!$C:$C,MATCH(C317,'Ingredient Catalog'!$A:$A,0)),"⚠ not in catalog"))</f>
        <v/>
      </c>
      <c r="G317" s="12" t="str">
        <f aca="false">IF(A317="","",COUNTIFS('Weekly Log'!$A:$A,'Grocery List'!$B$3,'Weekly Log'!$C:$C,A317,'Weekly Log'!$E:$E,"Yes"))</f>
        <v/>
      </c>
      <c r="H317" s="12" t="str">
        <f aca="false">IF(OR(A317="",D317=""),"",D317*G317)</f>
        <v/>
      </c>
    </row>
    <row r="318" customFormat="false" ht="15" hidden="false" customHeight="false" outlineLevel="0" collapsed="false">
      <c r="B318" s="12" t="str">
        <f aca="false">IF(A318="","",IFERROR(INDEX(Recipes!$B:$B,MATCH(A318,Recipes!$A:$A,0)),"⚠ unknown recipe_id"))</f>
        <v/>
      </c>
      <c r="E318" s="12" t="str">
        <f aca="false">IF(C318="","",IFERROR(INDEX('Ingredient Catalog'!$C:$C,MATCH(C318,'Ingredient Catalog'!$A:$A,0)),"⚠ not in catalog"))</f>
        <v/>
      </c>
      <c r="G318" s="12" t="str">
        <f aca="false">IF(A318="","",COUNTIFS('Weekly Log'!$A:$A,'Grocery List'!$B$3,'Weekly Log'!$C:$C,A318,'Weekly Log'!$E:$E,"Yes"))</f>
        <v/>
      </c>
      <c r="H318" s="12" t="str">
        <f aca="false">IF(OR(A318="",D318=""),"",D318*G318)</f>
        <v/>
      </c>
    </row>
    <row r="319" customFormat="false" ht="15" hidden="false" customHeight="false" outlineLevel="0" collapsed="false">
      <c r="B319" s="12" t="str">
        <f aca="false">IF(A319="","",IFERROR(INDEX(Recipes!$B:$B,MATCH(A319,Recipes!$A:$A,0)),"⚠ unknown recipe_id"))</f>
        <v/>
      </c>
      <c r="E319" s="12" t="str">
        <f aca="false">IF(C319="","",IFERROR(INDEX('Ingredient Catalog'!$C:$C,MATCH(C319,'Ingredient Catalog'!$A:$A,0)),"⚠ not in catalog"))</f>
        <v/>
      </c>
      <c r="G319" s="12" t="str">
        <f aca="false">IF(A319="","",COUNTIFS('Weekly Log'!$A:$A,'Grocery List'!$B$3,'Weekly Log'!$C:$C,A319,'Weekly Log'!$E:$E,"Yes"))</f>
        <v/>
      </c>
      <c r="H319" s="12" t="str">
        <f aca="false">IF(OR(A319="",D319=""),"",D319*G319)</f>
        <v/>
      </c>
    </row>
    <row r="320" customFormat="false" ht="15" hidden="false" customHeight="false" outlineLevel="0" collapsed="false">
      <c r="B320" s="12" t="str">
        <f aca="false">IF(A320="","",IFERROR(INDEX(Recipes!$B:$B,MATCH(A320,Recipes!$A:$A,0)),"⚠ unknown recipe_id"))</f>
        <v/>
      </c>
      <c r="E320" s="12" t="str">
        <f aca="false">IF(C320="","",IFERROR(INDEX('Ingredient Catalog'!$C:$C,MATCH(C320,'Ingredient Catalog'!$A:$A,0)),"⚠ not in catalog"))</f>
        <v/>
      </c>
      <c r="G320" s="12" t="str">
        <f aca="false">IF(A320="","",COUNTIFS('Weekly Log'!$A:$A,'Grocery List'!$B$3,'Weekly Log'!$C:$C,A320,'Weekly Log'!$E:$E,"Yes"))</f>
        <v/>
      </c>
      <c r="H320" s="12" t="str">
        <f aca="false">IF(OR(A320="",D320=""),"",D320*G320)</f>
        <v/>
      </c>
    </row>
    <row r="321" customFormat="false" ht="15" hidden="false" customHeight="false" outlineLevel="0" collapsed="false">
      <c r="B321" s="12" t="str">
        <f aca="false">IF(A321="","",IFERROR(INDEX(Recipes!$B:$B,MATCH(A321,Recipes!$A:$A,0)),"⚠ unknown recipe_id"))</f>
        <v/>
      </c>
      <c r="E321" s="12" t="str">
        <f aca="false">IF(C321="","",IFERROR(INDEX('Ingredient Catalog'!$C:$C,MATCH(C321,'Ingredient Catalog'!$A:$A,0)),"⚠ not in catalog"))</f>
        <v/>
      </c>
      <c r="G321" s="12" t="str">
        <f aca="false">IF(A321="","",COUNTIFS('Weekly Log'!$A:$A,'Grocery List'!$B$3,'Weekly Log'!$C:$C,A321,'Weekly Log'!$E:$E,"Yes"))</f>
        <v/>
      </c>
      <c r="H321" s="12" t="str">
        <f aca="false">IF(OR(A321="",D321=""),"",D321*G321)</f>
        <v/>
      </c>
    </row>
    <row r="322" customFormat="false" ht="15" hidden="false" customHeight="false" outlineLevel="0" collapsed="false">
      <c r="B322" s="12" t="str">
        <f aca="false">IF(A322="","",IFERROR(INDEX(Recipes!$B:$B,MATCH(A322,Recipes!$A:$A,0)),"⚠ unknown recipe_id"))</f>
        <v/>
      </c>
      <c r="E322" s="12" t="str">
        <f aca="false">IF(C322="","",IFERROR(INDEX('Ingredient Catalog'!$C:$C,MATCH(C322,'Ingredient Catalog'!$A:$A,0)),"⚠ not in catalog"))</f>
        <v/>
      </c>
      <c r="G322" s="12" t="str">
        <f aca="false">IF(A322="","",COUNTIFS('Weekly Log'!$A:$A,'Grocery List'!$B$3,'Weekly Log'!$C:$C,A322,'Weekly Log'!$E:$E,"Yes"))</f>
        <v/>
      </c>
      <c r="H322" s="12" t="str">
        <f aca="false">IF(OR(A322="",D322=""),"",D322*G322)</f>
        <v/>
      </c>
    </row>
    <row r="323" customFormat="false" ht="15" hidden="false" customHeight="false" outlineLevel="0" collapsed="false">
      <c r="B323" s="12" t="str">
        <f aca="false">IF(A323="","",IFERROR(INDEX(Recipes!$B:$B,MATCH(A323,Recipes!$A:$A,0)),"⚠ unknown recipe_id"))</f>
        <v/>
      </c>
      <c r="E323" s="12" t="str">
        <f aca="false">IF(C323="","",IFERROR(INDEX('Ingredient Catalog'!$C:$C,MATCH(C323,'Ingredient Catalog'!$A:$A,0)),"⚠ not in catalog"))</f>
        <v/>
      </c>
      <c r="G323" s="12" t="str">
        <f aca="false">IF(A323="","",COUNTIFS('Weekly Log'!$A:$A,'Grocery List'!$B$3,'Weekly Log'!$C:$C,A323,'Weekly Log'!$E:$E,"Yes"))</f>
        <v/>
      </c>
      <c r="H323" s="12" t="str">
        <f aca="false">IF(OR(A323="",D323=""),"",D323*G323)</f>
        <v/>
      </c>
    </row>
    <row r="324" customFormat="false" ht="15" hidden="false" customHeight="false" outlineLevel="0" collapsed="false">
      <c r="B324" s="12" t="str">
        <f aca="false">IF(A324="","",IFERROR(INDEX(Recipes!$B:$B,MATCH(A324,Recipes!$A:$A,0)),"⚠ unknown recipe_id"))</f>
        <v/>
      </c>
      <c r="E324" s="12" t="str">
        <f aca="false">IF(C324="","",IFERROR(INDEX('Ingredient Catalog'!$C:$C,MATCH(C324,'Ingredient Catalog'!$A:$A,0)),"⚠ not in catalog"))</f>
        <v/>
      </c>
      <c r="G324" s="12" t="str">
        <f aca="false">IF(A324="","",COUNTIFS('Weekly Log'!$A:$A,'Grocery List'!$B$3,'Weekly Log'!$C:$C,A324,'Weekly Log'!$E:$E,"Yes"))</f>
        <v/>
      </c>
      <c r="H324" s="12" t="str">
        <f aca="false">IF(OR(A324="",D324=""),"",D324*G324)</f>
        <v/>
      </c>
    </row>
    <row r="325" customFormat="false" ht="15" hidden="false" customHeight="false" outlineLevel="0" collapsed="false">
      <c r="B325" s="12" t="str">
        <f aca="false">IF(A325="","",IFERROR(INDEX(Recipes!$B:$B,MATCH(A325,Recipes!$A:$A,0)),"⚠ unknown recipe_id"))</f>
        <v/>
      </c>
      <c r="E325" s="12" t="str">
        <f aca="false">IF(C325="","",IFERROR(INDEX('Ingredient Catalog'!$C:$C,MATCH(C325,'Ingredient Catalog'!$A:$A,0)),"⚠ not in catalog"))</f>
        <v/>
      </c>
      <c r="G325" s="12" t="str">
        <f aca="false">IF(A325="","",COUNTIFS('Weekly Log'!$A:$A,'Grocery List'!$B$3,'Weekly Log'!$C:$C,A325,'Weekly Log'!$E:$E,"Yes"))</f>
        <v/>
      </c>
      <c r="H325" s="12" t="str">
        <f aca="false">IF(OR(A325="",D325=""),"",D325*G325)</f>
        <v/>
      </c>
    </row>
    <row r="326" customFormat="false" ht="15" hidden="false" customHeight="false" outlineLevel="0" collapsed="false">
      <c r="B326" s="12" t="str">
        <f aca="false">IF(A326="","",IFERROR(INDEX(Recipes!$B:$B,MATCH(A326,Recipes!$A:$A,0)),"⚠ unknown recipe_id"))</f>
        <v/>
      </c>
      <c r="E326" s="12" t="str">
        <f aca="false">IF(C326="","",IFERROR(INDEX('Ingredient Catalog'!$C:$C,MATCH(C326,'Ingredient Catalog'!$A:$A,0)),"⚠ not in catalog"))</f>
        <v/>
      </c>
      <c r="G326" s="12" t="str">
        <f aca="false">IF(A326="","",COUNTIFS('Weekly Log'!$A:$A,'Grocery List'!$B$3,'Weekly Log'!$C:$C,A326,'Weekly Log'!$E:$E,"Yes"))</f>
        <v/>
      </c>
      <c r="H326" s="12" t="str">
        <f aca="false">IF(OR(A326="",D326=""),"",D326*G326)</f>
        <v/>
      </c>
    </row>
    <row r="327" customFormat="false" ht="15" hidden="false" customHeight="false" outlineLevel="0" collapsed="false">
      <c r="B327" s="12" t="str">
        <f aca="false">IF(A327="","",IFERROR(INDEX(Recipes!$B:$B,MATCH(A327,Recipes!$A:$A,0)),"⚠ unknown recipe_id"))</f>
        <v/>
      </c>
      <c r="E327" s="12" t="str">
        <f aca="false">IF(C327="","",IFERROR(INDEX('Ingredient Catalog'!$C:$C,MATCH(C327,'Ingredient Catalog'!$A:$A,0)),"⚠ not in catalog"))</f>
        <v/>
      </c>
      <c r="G327" s="12" t="str">
        <f aca="false">IF(A327="","",COUNTIFS('Weekly Log'!$A:$A,'Grocery List'!$B$3,'Weekly Log'!$C:$C,A327,'Weekly Log'!$E:$E,"Yes"))</f>
        <v/>
      </c>
      <c r="H327" s="12" t="str">
        <f aca="false">IF(OR(A327="",D327=""),"",D327*G327)</f>
        <v/>
      </c>
    </row>
    <row r="328" customFormat="false" ht="15" hidden="false" customHeight="false" outlineLevel="0" collapsed="false">
      <c r="B328" s="12" t="str">
        <f aca="false">IF(A328="","",IFERROR(INDEX(Recipes!$B:$B,MATCH(A328,Recipes!$A:$A,0)),"⚠ unknown recipe_id"))</f>
        <v/>
      </c>
      <c r="E328" s="12" t="str">
        <f aca="false">IF(C328="","",IFERROR(INDEX('Ingredient Catalog'!$C:$C,MATCH(C328,'Ingredient Catalog'!$A:$A,0)),"⚠ not in catalog"))</f>
        <v/>
      </c>
      <c r="G328" s="12" t="str">
        <f aca="false">IF(A328="","",COUNTIFS('Weekly Log'!$A:$A,'Grocery List'!$B$3,'Weekly Log'!$C:$C,A328,'Weekly Log'!$E:$E,"Yes"))</f>
        <v/>
      </c>
      <c r="H328" s="12" t="str">
        <f aca="false">IF(OR(A328="",D328=""),"",D328*G328)</f>
        <v/>
      </c>
    </row>
    <row r="329" customFormat="false" ht="15" hidden="false" customHeight="false" outlineLevel="0" collapsed="false">
      <c r="B329" s="12" t="str">
        <f aca="false">IF(A329="","",IFERROR(INDEX(Recipes!$B:$B,MATCH(A329,Recipes!$A:$A,0)),"⚠ unknown recipe_id"))</f>
        <v/>
      </c>
      <c r="E329" s="12" t="str">
        <f aca="false">IF(C329="","",IFERROR(INDEX('Ingredient Catalog'!$C:$C,MATCH(C329,'Ingredient Catalog'!$A:$A,0)),"⚠ not in catalog"))</f>
        <v/>
      </c>
      <c r="G329" s="12" t="str">
        <f aca="false">IF(A329="","",COUNTIFS('Weekly Log'!$A:$A,'Grocery List'!$B$3,'Weekly Log'!$C:$C,A329,'Weekly Log'!$E:$E,"Yes"))</f>
        <v/>
      </c>
      <c r="H329" s="12" t="str">
        <f aca="false">IF(OR(A329="",D329=""),"",D329*G329)</f>
        <v/>
      </c>
    </row>
    <row r="330" customFormat="false" ht="15" hidden="false" customHeight="false" outlineLevel="0" collapsed="false">
      <c r="B330" s="12" t="str">
        <f aca="false">IF(A330="","",IFERROR(INDEX(Recipes!$B:$B,MATCH(A330,Recipes!$A:$A,0)),"⚠ unknown recipe_id"))</f>
        <v/>
      </c>
      <c r="E330" s="12" t="str">
        <f aca="false">IF(C330="","",IFERROR(INDEX('Ingredient Catalog'!$C:$C,MATCH(C330,'Ingredient Catalog'!$A:$A,0)),"⚠ not in catalog"))</f>
        <v/>
      </c>
      <c r="G330" s="12" t="str">
        <f aca="false">IF(A330="","",COUNTIFS('Weekly Log'!$A:$A,'Grocery List'!$B$3,'Weekly Log'!$C:$C,A330,'Weekly Log'!$E:$E,"Yes"))</f>
        <v/>
      </c>
      <c r="H330" s="12" t="str">
        <f aca="false">IF(OR(A330="",D330=""),"",D330*G330)</f>
        <v/>
      </c>
    </row>
    <row r="331" customFormat="false" ht="15" hidden="false" customHeight="false" outlineLevel="0" collapsed="false">
      <c r="B331" s="12" t="str">
        <f aca="false">IF(A331="","",IFERROR(INDEX(Recipes!$B:$B,MATCH(A331,Recipes!$A:$A,0)),"⚠ unknown recipe_id"))</f>
        <v/>
      </c>
      <c r="E331" s="12" t="str">
        <f aca="false">IF(C331="","",IFERROR(INDEX('Ingredient Catalog'!$C:$C,MATCH(C331,'Ingredient Catalog'!$A:$A,0)),"⚠ not in catalog"))</f>
        <v/>
      </c>
      <c r="G331" s="12" t="str">
        <f aca="false">IF(A331="","",COUNTIFS('Weekly Log'!$A:$A,'Grocery List'!$B$3,'Weekly Log'!$C:$C,A331,'Weekly Log'!$E:$E,"Yes"))</f>
        <v/>
      </c>
      <c r="H331" s="12" t="str">
        <f aca="false">IF(OR(A331="",D331=""),"",D331*G331)</f>
        <v/>
      </c>
    </row>
    <row r="332" customFormat="false" ht="15" hidden="false" customHeight="false" outlineLevel="0" collapsed="false">
      <c r="B332" s="12" t="str">
        <f aca="false">IF(A332="","",IFERROR(INDEX(Recipes!$B:$B,MATCH(A332,Recipes!$A:$A,0)),"⚠ unknown recipe_id"))</f>
        <v/>
      </c>
      <c r="E332" s="12" t="str">
        <f aca="false">IF(C332="","",IFERROR(INDEX('Ingredient Catalog'!$C:$C,MATCH(C332,'Ingredient Catalog'!$A:$A,0)),"⚠ not in catalog"))</f>
        <v/>
      </c>
      <c r="G332" s="12" t="str">
        <f aca="false">IF(A332="","",COUNTIFS('Weekly Log'!$A:$A,'Grocery List'!$B$3,'Weekly Log'!$C:$C,A332,'Weekly Log'!$E:$E,"Yes"))</f>
        <v/>
      </c>
      <c r="H332" s="12" t="str">
        <f aca="false">IF(OR(A332="",D332=""),"",D332*G332)</f>
        <v/>
      </c>
    </row>
    <row r="333" customFormat="false" ht="15" hidden="false" customHeight="false" outlineLevel="0" collapsed="false">
      <c r="B333" s="12" t="str">
        <f aca="false">IF(A333="","",IFERROR(INDEX(Recipes!$B:$B,MATCH(A333,Recipes!$A:$A,0)),"⚠ unknown recipe_id"))</f>
        <v/>
      </c>
      <c r="E333" s="12" t="str">
        <f aca="false">IF(C333="","",IFERROR(INDEX('Ingredient Catalog'!$C:$C,MATCH(C333,'Ingredient Catalog'!$A:$A,0)),"⚠ not in catalog"))</f>
        <v/>
      </c>
      <c r="G333" s="12" t="str">
        <f aca="false">IF(A333="","",COUNTIFS('Weekly Log'!$A:$A,'Grocery List'!$B$3,'Weekly Log'!$C:$C,A333,'Weekly Log'!$E:$E,"Yes"))</f>
        <v/>
      </c>
      <c r="H333" s="12" t="str">
        <f aca="false">IF(OR(A333="",D333=""),"",D333*G333)</f>
        <v/>
      </c>
    </row>
    <row r="334" customFormat="false" ht="15" hidden="false" customHeight="false" outlineLevel="0" collapsed="false">
      <c r="B334" s="12" t="str">
        <f aca="false">IF(A334="","",IFERROR(INDEX(Recipes!$B:$B,MATCH(A334,Recipes!$A:$A,0)),"⚠ unknown recipe_id"))</f>
        <v/>
      </c>
      <c r="E334" s="12" t="str">
        <f aca="false">IF(C334="","",IFERROR(INDEX('Ingredient Catalog'!$C:$C,MATCH(C334,'Ingredient Catalog'!$A:$A,0)),"⚠ not in catalog"))</f>
        <v/>
      </c>
      <c r="G334" s="12" t="str">
        <f aca="false">IF(A334="","",COUNTIFS('Weekly Log'!$A:$A,'Grocery List'!$B$3,'Weekly Log'!$C:$C,A334,'Weekly Log'!$E:$E,"Yes"))</f>
        <v/>
      </c>
      <c r="H334" s="12" t="str">
        <f aca="false">IF(OR(A334="",D334=""),"",D334*G334)</f>
        <v/>
      </c>
    </row>
    <row r="335" customFormat="false" ht="15" hidden="false" customHeight="false" outlineLevel="0" collapsed="false">
      <c r="B335" s="12" t="str">
        <f aca="false">IF(A335="","",IFERROR(INDEX(Recipes!$B:$B,MATCH(A335,Recipes!$A:$A,0)),"⚠ unknown recipe_id"))</f>
        <v/>
      </c>
      <c r="E335" s="12" t="str">
        <f aca="false">IF(C335="","",IFERROR(INDEX('Ingredient Catalog'!$C:$C,MATCH(C335,'Ingredient Catalog'!$A:$A,0)),"⚠ not in catalog"))</f>
        <v/>
      </c>
      <c r="G335" s="12" t="str">
        <f aca="false">IF(A335="","",COUNTIFS('Weekly Log'!$A:$A,'Grocery List'!$B$3,'Weekly Log'!$C:$C,A335,'Weekly Log'!$E:$E,"Yes"))</f>
        <v/>
      </c>
      <c r="H335" s="12" t="str">
        <f aca="false">IF(OR(A335="",D335=""),"",D335*G335)</f>
        <v/>
      </c>
    </row>
    <row r="336" customFormat="false" ht="15" hidden="false" customHeight="false" outlineLevel="0" collapsed="false">
      <c r="B336" s="12" t="str">
        <f aca="false">IF(A336="","",IFERROR(INDEX(Recipes!$B:$B,MATCH(A336,Recipes!$A:$A,0)),"⚠ unknown recipe_id"))</f>
        <v/>
      </c>
      <c r="E336" s="12" t="str">
        <f aca="false">IF(C336="","",IFERROR(INDEX('Ingredient Catalog'!$C:$C,MATCH(C336,'Ingredient Catalog'!$A:$A,0)),"⚠ not in catalog"))</f>
        <v/>
      </c>
      <c r="G336" s="12" t="str">
        <f aca="false">IF(A336="","",COUNTIFS('Weekly Log'!$A:$A,'Grocery List'!$B$3,'Weekly Log'!$C:$C,A336,'Weekly Log'!$E:$E,"Yes"))</f>
        <v/>
      </c>
      <c r="H336" s="12" t="str">
        <f aca="false">IF(OR(A336="",D336=""),"",D336*G336)</f>
        <v/>
      </c>
    </row>
    <row r="337" customFormat="false" ht="15" hidden="false" customHeight="false" outlineLevel="0" collapsed="false">
      <c r="B337" s="12" t="str">
        <f aca="false">IF(A337="","",IFERROR(INDEX(Recipes!$B:$B,MATCH(A337,Recipes!$A:$A,0)),"⚠ unknown recipe_id"))</f>
        <v/>
      </c>
      <c r="E337" s="12" t="str">
        <f aca="false">IF(C337="","",IFERROR(INDEX('Ingredient Catalog'!$C:$C,MATCH(C337,'Ingredient Catalog'!$A:$A,0)),"⚠ not in catalog"))</f>
        <v/>
      </c>
      <c r="G337" s="12" t="str">
        <f aca="false">IF(A337="","",COUNTIFS('Weekly Log'!$A:$A,'Grocery List'!$B$3,'Weekly Log'!$C:$C,A337,'Weekly Log'!$E:$E,"Yes"))</f>
        <v/>
      </c>
      <c r="H337" s="12" t="str">
        <f aca="false">IF(OR(A337="",D337=""),"",D337*G337)</f>
        <v/>
      </c>
    </row>
    <row r="338" customFormat="false" ht="15" hidden="false" customHeight="false" outlineLevel="0" collapsed="false">
      <c r="B338" s="12" t="str">
        <f aca="false">IF(A338="","",IFERROR(INDEX(Recipes!$B:$B,MATCH(A338,Recipes!$A:$A,0)),"⚠ unknown recipe_id"))</f>
        <v/>
      </c>
      <c r="E338" s="12" t="str">
        <f aca="false">IF(C338="","",IFERROR(INDEX('Ingredient Catalog'!$C:$C,MATCH(C338,'Ingredient Catalog'!$A:$A,0)),"⚠ not in catalog"))</f>
        <v/>
      </c>
      <c r="G338" s="12" t="str">
        <f aca="false">IF(A338="","",COUNTIFS('Weekly Log'!$A:$A,'Grocery List'!$B$3,'Weekly Log'!$C:$C,A338,'Weekly Log'!$E:$E,"Yes"))</f>
        <v/>
      </c>
      <c r="H338" s="12" t="str">
        <f aca="false">IF(OR(A338="",D338=""),"",D338*G338)</f>
        <v/>
      </c>
    </row>
    <row r="339" customFormat="false" ht="15" hidden="false" customHeight="false" outlineLevel="0" collapsed="false">
      <c r="B339" s="12" t="str">
        <f aca="false">IF(A339="","",IFERROR(INDEX(Recipes!$B:$B,MATCH(A339,Recipes!$A:$A,0)),"⚠ unknown recipe_id"))</f>
        <v/>
      </c>
      <c r="E339" s="12" t="str">
        <f aca="false">IF(C339="","",IFERROR(INDEX('Ingredient Catalog'!$C:$C,MATCH(C339,'Ingredient Catalog'!$A:$A,0)),"⚠ not in catalog"))</f>
        <v/>
      </c>
      <c r="G339" s="12" t="str">
        <f aca="false">IF(A339="","",COUNTIFS('Weekly Log'!$A:$A,'Grocery List'!$B$3,'Weekly Log'!$C:$C,A339,'Weekly Log'!$E:$E,"Yes"))</f>
        <v/>
      </c>
      <c r="H339" s="12" t="str">
        <f aca="false">IF(OR(A339="",D339=""),"",D339*G339)</f>
        <v/>
      </c>
    </row>
    <row r="340" customFormat="false" ht="15" hidden="false" customHeight="false" outlineLevel="0" collapsed="false">
      <c r="B340" s="12" t="str">
        <f aca="false">IF(A340="","",IFERROR(INDEX(Recipes!$B:$B,MATCH(A340,Recipes!$A:$A,0)),"⚠ unknown recipe_id"))</f>
        <v/>
      </c>
      <c r="E340" s="12" t="str">
        <f aca="false">IF(C340="","",IFERROR(INDEX('Ingredient Catalog'!$C:$C,MATCH(C340,'Ingredient Catalog'!$A:$A,0)),"⚠ not in catalog"))</f>
        <v/>
      </c>
      <c r="G340" s="12" t="str">
        <f aca="false">IF(A340="","",COUNTIFS('Weekly Log'!$A:$A,'Grocery List'!$B$3,'Weekly Log'!$C:$C,A340,'Weekly Log'!$E:$E,"Yes"))</f>
        <v/>
      </c>
      <c r="H340" s="12" t="str">
        <f aca="false">IF(OR(A340="",D340=""),"",D340*G340)</f>
        <v/>
      </c>
    </row>
    <row r="341" customFormat="false" ht="15" hidden="false" customHeight="false" outlineLevel="0" collapsed="false">
      <c r="B341" s="12" t="str">
        <f aca="false">IF(A341="","",IFERROR(INDEX(Recipes!$B:$B,MATCH(A341,Recipes!$A:$A,0)),"⚠ unknown recipe_id"))</f>
        <v/>
      </c>
      <c r="E341" s="12" t="str">
        <f aca="false">IF(C341="","",IFERROR(INDEX('Ingredient Catalog'!$C:$C,MATCH(C341,'Ingredient Catalog'!$A:$A,0)),"⚠ not in catalog"))</f>
        <v/>
      </c>
      <c r="G341" s="12" t="str">
        <f aca="false">IF(A341="","",COUNTIFS('Weekly Log'!$A:$A,'Grocery List'!$B$3,'Weekly Log'!$C:$C,A341,'Weekly Log'!$E:$E,"Yes"))</f>
        <v/>
      </c>
      <c r="H341" s="12" t="str">
        <f aca="false">IF(OR(A341="",D341=""),"",D341*G341)</f>
        <v/>
      </c>
    </row>
    <row r="342" customFormat="false" ht="15" hidden="false" customHeight="false" outlineLevel="0" collapsed="false">
      <c r="B342" s="12" t="str">
        <f aca="false">IF(A342="","",IFERROR(INDEX(Recipes!$B:$B,MATCH(A342,Recipes!$A:$A,0)),"⚠ unknown recipe_id"))</f>
        <v/>
      </c>
      <c r="E342" s="12" t="str">
        <f aca="false">IF(C342="","",IFERROR(INDEX('Ingredient Catalog'!$C:$C,MATCH(C342,'Ingredient Catalog'!$A:$A,0)),"⚠ not in catalog"))</f>
        <v/>
      </c>
      <c r="G342" s="12" t="str">
        <f aca="false">IF(A342="","",COUNTIFS('Weekly Log'!$A:$A,'Grocery List'!$B$3,'Weekly Log'!$C:$C,A342,'Weekly Log'!$E:$E,"Yes"))</f>
        <v/>
      </c>
      <c r="H342" s="12" t="str">
        <f aca="false">IF(OR(A342="",D342=""),"",D342*G342)</f>
        <v/>
      </c>
    </row>
    <row r="343" customFormat="false" ht="15" hidden="false" customHeight="false" outlineLevel="0" collapsed="false">
      <c r="B343" s="12" t="str">
        <f aca="false">IF(A343="","",IFERROR(INDEX(Recipes!$B:$B,MATCH(A343,Recipes!$A:$A,0)),"⚠ unknown recipe_id"))</f>
        <v/>
      </c>
      <c r="E343" s="12" t="str">
        <f aca="false">IF(C343="","",IFERROR(INDEX('Ingredient Catalog'!$C:$C,MATCH(C343,'Ingredient Catalog'!$A:$A,0)),"⚠ not in catalog"))</f>
        <v/>
      </c>
      <c r="G343" s="12" t="str">
        <f aca="false">IF(A343="","",COUNTIFS('Weekly Log'!$A:$A,'Grocery List'!$B$3,'Weekly Log'!$C:$C,A343,'Weekly Log'!$E:$E,"Yes"))</f>
        <v/>
      </c>
      <c r="H343" s="12" t="str">
        <f aca="false">IF(OR(A343="",D343=""),"",D343*G343)</f>
        <v/>
      </c>
    </row>
    <row r="344" customFormat="false" ht="15" hidden="false" customHeight="false" outlineLevel="0" collapsed="false">
      <c r="B344" s="12" t="str">
        <f aca="false">IF(A344="","",IFERROR(INDEX(Recipes!$B:$B,MATCH(A344,Recipes!$A:$A,0)),"⚠ unknown recipe_id"))</f>
        <v/>
      </c>
      <c r="E344" s="12" t="str">
        <f aca="false">IF(C344="","",IFERROR(INDEX('Ingredient Catalog'!$C:$C,MATCH(C344,'Ingredient Catalog'!$A:$A,0)),"⚠ not in catalog"))</f>
        <v/>
      </c>
      <c r="G344" s="12" t="str">
        <f aca="false">IF(A344="","",COUNTIFS('Weekly Log'!$A:$A,'Grocery List'!$B$3,'Weekly Log'!$C:$C,A344,'Weekly Log'!$E:$E,"Yes"))</f>
        <v/>
      </c>
      <c r="H344" s="12" t="str">
        <f aca="false">IF(OR(A344="",D344=""),"",D344*G344)</f>
        <v/>
      </c>
    </row>
    <row r="345" customFormat="false" ht="15" hidden="false" customHeight="false" outlineLevel="0" collapsed="false">
      <c r="B345" s="12" t="str">
        <f aca="false">IF(A345="","",IFERROR(INDEX(Recipes!$B:$B,MATCH(A345,Recipes!$A:$A,0)),"⚠ unknown recipe_id"))</f>
        <v/>
      </c>
      <c r="E345" s="12" t="str">
        <f aca="false">IF(C345="","",IFERROR(INDEX('Ingredient Catalog'!$C:$C,MATCH(C345,'Ingredient Catalog'!$A:$A,0)),"⚠ not in catalog"))</f>
        <v/>
      </c>
      <c r="G345" s="12" t="str">
        <f aca="false">IF(A345="","",COUNTIFS('Weekly Log'!$A:$A,'Grocery List'!$B$3,'Weekly Log'!$C:$C,A345,'Weekly Log'!$E:$E,"Yes"))</f>
        <v/>
      </c>
      <c r="H345" s="12" t="str">
        <f aca="false">IF(OR(A345="",D345=""),"",D345*G345)</f>
        <v/>
      </c>
    </row>
    <row r="346" customFormat="false" ht="15" hidden="false" customHeight="false" outlineLevel="0" collapsed="false">
      <c r="B346" s="12" t="str">
        <f aca="false">IF(A346="","",IFERROR(INDEX(Recipes!$B:$B,MATCH(A346,Recipes!$A:$A,0)),"⚠ unknown recipe_id"))</f>
        <v/>
      </c>
      <c r="E346" s="12" t="str">
        <f aca="false">IF(C346="","",IFERROR(INDEX('Ingredient Catalog'!$C:$C,MATCH(C346,'Ingredient Catalog'!$A:$A,0)),"⚠ not in catalog"))</f>
        <v/>
      </c>
      <c r="G346" s="12" t="str">
        <f aca="false">IF(A346="","",COUNTIFS('Weekly Log'!$A:$A,'Grocery List'!$B$3,'Weekly Log'!$C:$C,A346,'Weekly Log'!$E:$E,"Yes"))</f>
        <v/>
      </c>
      <c r="H346" s="12" t="str">
        <f aca="false">IF(OR(A346="",D346=""),"",D346*G346)</f>
        <v/>
      </c>
    </row>
    <row r="347" customFormat="false" ht="15" hidden="false" customHeight="false" outlineLevel="0" collapsed="false">
      <c r="B347" s="12" t="str">
        <f aca="false">IF(A347="","",IFERROR(INDEX(Recipes!$B:$B,MATCH(A347,Recipes!$A:$A,0)),"⚠ unknown recipe_id"))</f>
        <v/>
      </c>
      <c r="E347" s="12" t="str">
        <f aca="false">IF(C347="","",IFERROR(INDEX('Ingredient Catalog'!$C:$C,MATCH(C347,'Ingredient Catalog'!$A:$A,0)),"⚠ not in catalog"))</f>
        <v/>
      </c>
      <c r="G347" s="12" t="str">
        <f aca="false">IF(A347="","",COUNTIFS('Weekly Log'!$A:$A,'Grocery List'!$B$3,'Weekly Log'!$C:$C,A347,'Weekly Log'!$E:$E,"Yes"))</f>
        <v/>
      </c>
      <c r="H347" s="12" t="str">
        <f aca="false">IF(OR(A347="",D347=""),"",D347*G347)</f>
        <v/>
      </c>
    </row>
    <row r="348" customFormat="false" ht="15" hidden="false" customHeight="false" outlineLevel="0" collapsed="false">
      <c r="B348" s="12" t="str">
        <f aca="false">IF(A348="","",IFERROR(INDEX(Recipes!$B:$B,MATCH(A348,Recipes!$A:$A,0)),"⚠ unknown recipe_id"))</f>
        <v/>
      </c>
      <c r="E348" s="12" t="str">
        <f aca="false">IF(C348="","",IFERROR(INDEX('Ingredient Catalog'!$C:$C,MATCH(C348,'Ingredient Catalog'!$A:$A,0)),"⚠ not in catalog"))</f>
        <v/>
      </c>
      <c r="G348" s="12" t="str">
        <f aca="false">IF(A348="","",COUNTIFS('Weekly Log'!$A:$A,'Grocery List'!$B$3,'Weekly Log'!$C:$C,A348,'Weekly Log'!$E:$E,"Yes"))</f>
        <v/>
      </c>
      <c r="H348" s="12" t="str">
        <f aca="false">IF(OR(A348="",D348=""),"",D348*G348)</f>
        <v/>
      </c>
    </row>
    <row r="349" customFormat="false" ht="15" hidden="false" customHeight="false" outlineLevel="0" collapsed="false">
      <c r="B349" s="12" t="str">
        <f aca="false">IF(A349="","",IFERROR(INDEX(Recipes!$B:$B,MATCH(A349,Recipes!$A:$A,0)),"⚠ unknown recipe_id"))</f>
        <v/>
      </c>
      <c r="E349" s="12" t="str">
        <f aca="false">IF(C349="","",IFERROR(INDEX('Ingredient Catalog'!$C:$C,MATCH(C349,'Ingredient Catalog'!$A:$A,0)),"⚠ not in catalog"))</f>
        <v/>
      </c>
      <c r="G349" s="12" t="str">
        <f aca="false">IF(A349="","",COUNTIFS('Weekly Log'!$A:$A,'Grocery List'!$B$3,'Weekly Log'!$C:$C,A349,'Weekly Log'!$E:$E,"Yes"))</f>
        <v/>
      </c>
      <c r="H349" s="12" t="str">
        <f aca="false">IF(OR(A349="",D349=""),"",D349*G349)</f>
        <v/>
      </c>
    </row>
    <row r="350" customFormat="false" ht="15" hidden="false" customHeight="false" outlineLevel="0" collapsed="false">
      <c r="B350" s="12" t="str">
        <f aca="false">IF(A350="","",IFERROR(INDEX(Recipes!$B:$B,MATCH(A350,Recipes!$A:$A,0)),"⚠ unknown recipe_id"))</f>
        <v/>
      </c>
      <c r="E350" s="12" t="str">
        <f aca="false">IF(C350="","",IFERROR(INDEX('Ingredient Catalog'!$C:$C,MATCH(C350,'Ingredient Catalog'!$A:$A,0)),"⚠ not in catalog"))</f>
        <v/>
      </c>
      <c r="G350" s="12" t="str">
        <f aca="false">IF(A350="","",COUNTIFS('Weekly Log'!$A:$A,'Grocery List'!$B$3,'Weekly Log'!$C:$C,A350,'Weekly Log'!$E:$E,"Yes"))</f>
        <v/>
      </c>
      <c r="H350" s="12" t="str">
        <f aca="false">IF(OR(A350="",D350=""),"",D350*G350)</f>
        <v/>
      </c>
    </row>
    <row r="351" customFormat="false" ht="15" hidden="false" customHeight="false" outlineLevel="0" collapsed="false">
      <c r="B351" s="12" t="str">
        <f aca="false">IF(A351="","",IFERROR(INDEX(Recipes!$B:$B,MATCH(A351,Recipes!$A:$A,0)),"⚠ unknown recipe_id"))</f>
        <v/>
      </c>
      <c r="E351" s="12" t="str">
        <f aca="false">IF(C351="","",IFERROR(INDEX('Ingredient Catalog'!$C:$C,MATCH(C351,'Ingredient Catalog'!$A:$A,0)),"⚠ not in catalog"))</f>
        <v/>
      </c>
      <c r="G351" s="12" t="str">
        <f aca="false">IF(A351="","",COUNTIFS('Weekly Log'!$A:$A,'Grocery List'!$B$3,'Weekly Log'!$C:$C,A351,'Weekly Log'!$E:$E,"Yes"))</f>
        <v/>
      </c>
      <c r="H351" s="12" t="str">
        <f aca="false">IF(OR(A351="",D351=""),"",D351*G351)</f>
        <v/>
      </c>
    </row>
    <row r="352" customFormat="false" ht="15" hidden="false" customHeight="false" outlineLevel="0" collapsed="false">
      <c r="B352" s="12" t="str">
        <f aca="false">IF(A352="","",IFERROR(INDEX(Recipes!$B:$B,MATCH(A352,Recipes!$A:$A,0)),"⚠ unknown recipe_id"))</f>
        <v/>
      </c>
      <c r="E352" s="12" t="str">
        <f aca="false">IF(C352="","",IFERROR(INDEX('Ingredient Catalog'!$C:$C,MATCH(C352,'Ingredient Catalog'!$A:$A,0)),"⚠ not in catalog"))</f>
        <v/>
      </c>
      <c r="G352" s="12" t="str">
        <f aca="false">IF(A352="","",COUNTIFS('Weekly Log'!$A:$A,'Grocery List'!$B$3,'Weekly Log'!$C:$C,A352,'Weekly Log'!$E:$E,"Yes"))</f>
        <v/>
      </c>
      <c r="H352" s="12" t="str">
        <f aca="false">IF(OR(A352="",D352=""),"",D352*G352)</f>
        <v/>
      </c>
    </row>
    <row r="353" customFormat="false" ht="15" hidden="false" customHeight="false" outlineLevel="0" collapsed="false">
      <c r="B353" s="12" t="str">
        <f aca="false">IF(A353="","",IFERROR(INDEX(Recipes!$B:$B,MATCH(A353,Recipes!$A:$A,0)),"⚠ unknown recipe_id"))</f>
        <v/>
      </c>
      <c r="E353" s="12" t="str">
        <f aca="false">IF(C353="","",IFERROR(INDEX('Ingredient Catalog'!$C:$C,MATCH(C353,'Ingredient Catalog'!$A:$A,0)),"⚠ not in catalog"))</f>
        <v/>
      </c>
      <c r="G353" s="12" t="str">
        <f aca="false">IF(A353="","",COUNTIFS('Weekly Log'!$A:$A,'Grocery List'!$B$3,'Weekly Log'!$C:$C,A353,'Weekly Log'!$E:$E,"Yes"))</f>
        <v/>
      </c>
      <c r="H353" s="12" t="str">
        <f aca="false">IF(OR(A353="",D353=""),"",D353*G353)</f>
        <v/>
      </c>
    </row>
    <row r="354" customFormat="false" ht="15" hidden="false" customHeight="false" outlineLevel="0" collapsed="false">
      <c r="B354" s="12" t="str">
        <f aca="false">IF(A354="","",IFERROR(INDEX(Recipes!$B:$B,MATCH(A354,Recipes!$A:$A,0)),"⚠ unknown recipe_id"))</f>
        <v/>
      </c>
      <c r="E354" s="12" t="str">
        <f aca="false">IF(C354="","",IFERROR(INDEX('Ingredient Catalog'!$C:$C,MATCH(C354,'Ingredient Catalog'!$A:$A,0)),"⚠ not in catalog"))</f>
        <v/>
      </c>
      <c r="G354" s="12" t="str">
        <f aca="false">IF(A354="","",COUNTIFS('Weekly Log'!$A:$A,'Grocery List'!$B$3,'Weekly Log'!$C:$C,A354,'Weekly Log'!$E:$E,"Yes"))</f>
        <v/>
      </c>
      <c r="H354" s="12" t="str">
        <f aca="false">IF(OR(A354="",D354=""),"",D354*G354)</f>
        <v/>
      </c>
    </row>
    <row r="355" customFormat="false" ht="15" hidden="false" customHeight="false" outlineLevel="0" collapsed="false">
      <c r="B355" s="12" t="str">
        <f aca="false">IF(A355="","",IFERROR(INDEX(Recipes!$B:$B,MATCH(A355,Recipes!$A:$A,0)),"⚠ unknown recipe_id"))</f>
        <v/>
      </c>
      <c r="E355" s="12" t="str">
        <f aca="false">IF(C355="","",IFERROR(INDEX('Ingredient Catalog'!$C:$C,MATCH(C355,'Ingredient Catalog'!$A:$A,0)),"⚠ not in catalog"))</f>
        <v/>
      </c>
      <c r="G355" s="12" t="str">
        <f aca="false">IF(A355="","",COUNTIFS('Weekly Log'!$A:$A,'Grocery List'!$B$3,'Weekly Log'!$C:$C,A355,'Weekly Log'!$E:$E,"Yes"))</f>
        <v/>
      </c>
      <c r="H355" s="12" t="str">
        <f aca="false">IF(OR(A355="",D355=""),"",D355*G355)</f>
        <v/>
      </c>
    </row>
    <row r="356" customFormat="false" ht="15" hidden="false" customHeight="false" outlineLevel="0" collapsed="false">
      <c r="B356" s="12" t="str">
        <f aca="false">IF(A356="","",IFERROR(INDEX(Recipes!$B:$B,MATCH(A356,Recipes!$A:$A,0)),"⚠ unknown recipe_id"))</f>
        <v/>
      </c>
      <c r="E356" s="12" t="str">
        <f aca="false">IF(C356="","",IFERROR(INDEX('Ingredient Catalog'!$C:$C,MATCH(C356,'Ingredient Catalog'!$A:$A,0)),"⚠ not in catalog"))</f>
        <v/>
      </c>
      <c r="G356" s="12" t="str">
        <f aca="false">IF(A356="","",COUNTIFS('Weekly Log'!$A:$A,'Grocery List'!$B$3,'Weekly Log'!$C:$C,A356,'Weekly Log'!$E:$E,"Yes"))</f>
        <v/>
      </c>
      <c r="H356" s="12" t="str">
        <f aca="false">IF(OR(A356="",D356=""),"",D356*G356)</f>
        <v/>
      </c>
    </row>
    <row r="357" customFormat="false" ht="15" hidden="false" customHeight="false" outlineLevel="0" collapsed="false">
      <c r="B357" s="12" t="str">
        <f aca="false">IF(A357="","",IFERROR(INDEX(Recipes!$B:$B,MATCH(A357,Recipes!$A:$A,0)),"⚠ unknown recipe_id"))</f>
        <v/>
      </c>
      <c r="E357" s="12" t="str">
        <f aca="false">IF(C357="","",IFERROR(INDEX('Ingredient Catalog'!$C:$C,MATCH(C357,'Ingredient Catalog'!$A:$A,0)),"⚠ not in catalog"))</f>
        <v/>
      </c>
      <c r="G357" s="12" t="str">
        <f aca="false">IF(A357="","",COUNTIFS('Weekly Log'!$A:$A,'Grocery List'!$B$3,'Weekly Log'!$C:$C,A357,'Weekly Log'!$E:$E,"Yes"))</f>
        <v/>
      </c>
      <c r="H357" s="12" t="str">
        <f aca="false">IF(OR(A357="",D357=""),"",D357*G357)</f>
        <v/>
      </c>
    </row>
    <row r="358" customFormat="false" ht="15" hidden="false" customHeight="false" outlineLevel="0" collapsed="false">
      <c r="B358" s="12" t="str">
        <f aca="false">IF(A358="","",IFERROR(INDEX(Recipes!$B:$B,MATCH(A358,Recipes!$A:$A,0)),"⚠ unknown recipe_id"))</f>
        <v/>
      </c>
      <c r="E358" s="12" t="str">
        <f aca="false">IF(C358="","",IFERROR(INDEX('Ingredient Catalog'!$C:$C,MATCH(C358,'Ingredient Catalog'!$A:$A,0)),"⚠ not in catalog"))</f>
        <v/>
      </c>
      <c r="G358" s="12" t="str">
        <f aca="false">IF(A358="","",COUNTIFS('Weekly Log'!$A:$A,'Grocery List'!$B$3,'Weekly Log'!$C:$C,A358,'Weekly Log'!$E:$E,"Yes"))</f>
        <v/>
      </c>
      <c r="H358" s="12" t="str">
        <f aca="false">IF(OR(A358="",D358=""),"",D358*G358)</f>
        <v/>
      </c>
    </row>
    <row r="359" customFormat="false" ht="15" hidden="false" customHeight="false" outlineLevel="0" collapsed="false">
      <c r="B359" s="12" t="str">
        <f aca="false">IF(A359="","",IFERROR(INDEX(Recipes!$B:$B,MATCH(A359,Recipes!$A:$A,0)),"⚠ unknown recipe_id"))</f>
        <v/>
      </c>
      <c r="E359" s="12" t="str">
        <f aca="false">IF(C359="","",IFERROR(INDEX('Ingredient Catalog'!$C:$C,MATCH(C359,'Ingredient Catalog'!$A:$A,0)),"⚠ not in catalog"))</f>
        <v/>
      </c>
      <c r="G359" s="12" t="str">
        <f aca="false">IF(A359="","",COUNTIFS('Weekly Log'!$A:$A,'Grocery List'!$B$3,'Weekly Log'!$C:$C,A359,'Weekly Log'!$E:$E,"Yes"))</f>
        <v/>
      </c>
      <c r="H359" s="12" t="str">
        <f aca="false">IF(OR(A359="",D359=""),"",D359*G359)</f>
        <v/>
      </c>
    </row>
    <row r="360" customFormat="false" ht="15" hidden="false" customHeight="false" outlineLevel="0" collapsed="false">
      <c r="B360" s="12" t="str">
        <f aca="false">IF(A360="","",IFERROR(INDEX(Recipes!$B:$B,MATCH(A360,Recipes!$A:$A,0)),"⚠ unknown recipe_id"))</f>
        <v/>
      </c>
      <c r="E360" s="12" t="str">
        <f aca="false">IF(C360="","",IFERROR(INDEX('Ingredient Catalog'!$C:$C,MATCH(C360,'Ingredient Catalog'!$A:$A,0)),"⚠ not in catalog"))</f>
        <v/>
      </c>
      <c r="G360" s="12" t="str">
        <f aca="false">IF(A360="","",COUNTIFS('Weekly Log'!$A:$A,'Grocery List'!$B$3,'Weekly Log'!$C:$C,A360,'Weekly Log'!$E:$E,"Yes"))</f>
        <v/>
      </c>
      <c r="H360" s="12" t="str">
        <f aca="false">IF(OR(A360="",D360=""),"",D360*G360)</f>
        <v/>
      </c>
    </row>
    <row r="361" customFormat="false" ht="15" hidden="false" customHeight="false" outlineLevel="0" collapsed="false">
      <c r="B361" s="12" t="str">
        <f aca="false">IF(A361="","",IFERROR(INDEX(Recipes!$B:$B,MATCH(A361,Recipes!$A:$A,0)),"⚠ unknown recipe_id"))</f>
        <v/>
      </c>
      <c r="E361" s="12" t="str">
        <f aca="false">IF(C361="","",IFERROR(INDEX('Ingredient Catalog'!$C:$C,MATCH(C361,'Ingredient Catalog'!$A:$A,0)),"⚠ not in catalog"))</f>
        <v/>
      </c>
      <c r="G361" s="12" t="str">
        <f aca="false">IF(A361="","",COUNTIFS('Weekly Log'!$A:$A,'Grocery List'!$B$3,'Weekly Log'!$C:$C,A361,'Weekly Log'!$E:$E,"Yes"))</f>
        <v/>
      </c>
      <c r="H361" s="12" t="str">
        <f aca="false">IF(OR(A361="",D361=""),"",D361*G361)</f>
        <v/>
      </c>
    </row>
    <row r="362" customFormat="false" ht="15" hidden="false" customHeight="false" outlineLevel="0" collapsed="false">
      <c r="B362" s="12" t="str">
        <f aca="false">IF(A362="","",IFERROR(INDEX(Recipes!$B:$B,MATCH(A362,Recipes!$A:$A,0)),"⚠ unknown recipe_id"))</f>
        <v/>
      </c>
      <c r="E362" s="12" t="str">
        <f aca="false">IF(C362="","",IFERROR(INDEX('Ingredient Catalog'!$C:$C,MATCH(C362,'Ingredient Catalog'!$A:$A,0)),"⚠ not in catalog"))</f>
        <v/>
      </c>
      <c r="G362" s="12" t="str">
        <f aca="false">IF(A362="","",COUNTIFS('Weekly Log'!$A:$A,'Grocery List'!$B$3,'Weekly Log'!$C:$C,A362,'Weekly Log'!$E:$E,"Yes"))</f>
        <v/>
      </c>
      <c r="H362" s="12" t="str">
        <f aca="false">IF(OR(A362="",D362=""),"",D362*G362)</f>
        <v/>
      </c>
    </row>
    <row r="363" customFormat="false" ht="15" hidden="false" customHeight="false" outlineLevel="0" collapsed="false">
      <c r="B363" s="12" t="str">
        <f aca="false">IF(A363="","",IFERROR(INDEX(Recipes!$B:$B,MATCH(A363,Recipes!$A:$A,0)),"⚠ unknown recipe_id"))</f>
        <v/>
      </c>
      <c r="E363" s="12" t="str">
        <f aca="false">IF(C363="","",IFERROR(INDEX('Ingredient Catalog'!$C:$C,MATCH(C363,'Ingredient Catalog'!$A:$A,0)),"⚠ not in catalog"))</f>
        <v/>
      </c>
      <c r="G363" s="12" t="str">
        <f aca="false">IF(A363="","",COUNTIFS('Weekly Log'!$A:$A,'Grocery List'!$B$3,'Weekly Log'!$C:$C,A363,'Weekly Log'!$E:$E,"Yes"))</f>
        <v/>
      </c>
      <c r="H363" s="12" t="str">
        <f aca="false">IF(OR(A363="",D363=""),"",D363*G363)</f>
        <v/>
      </c>
    </row>
    <row r="364" customFormat="false" ht="15" hidden="false" customHeight="false" outlineLevel="0" collapsed="false">
      <c r="B364" s="12" t="str">
        <f aca="false">IF(A364="","",IFERROR(INDEX(Recipes!$B:$B,MATCH(A364,Recipes!$A:$A,0)),"⚠ unknown recipe_id"))</f>
        <v/>
      </c>
      <c r="E364" s="12" t="str">
        <f aca="false">IF(C364="","",IFERROR(INDEX('Ingredient Catalog'!$C:$C,MATCH(C364,'Ingredient Catalog'!$A:$A,0)),"⚠ not in catalog"))</f>
        <v/>
      </c>
      <c r="G364" s="12" t="str">
        <f aca="false">IF(A364="","",COUNTIFS('Weekly Log'!$A:$A,'Grocery List'!$B$3,'Weekly Log'!$C:$C,A364,'Weekly Log'!$E:$E,"Yes"))</f>
        <v/>
      </c>
      <c r="H364" s="12" t="str">
        <f aca="false">IF(OR(A364="",D364=""),"",D364*G364)</f>
        <v/>
      </c>
    </row>
    <row r="365" customFormat="false" ht="15" hidden="false" customHeight="false" outlineLevel="0" collapsed="false">
      <c r="B365" s="12" t="str">
        <f aca="false">IF(A365="","",IFERROR(INDEX(Recipes!$B:$B,MATCH(A365,Recipes!$A:$A,0)),"⚠ unknown recipe_id"))</f>
        <v/>
      </c>
      <c r="E365" s="12" t="str">
        <f aca="false">IF(C365="","",IFERROR(INDEX('Ingredient Catalog'!$C:$C,MATCH(C365,'Ingredient Catalog'!$A:$A,0)),"⚠ not in catalog"))</f>
        <v/>
      </c>
      <c r="G365" s="12" t="str">
        <f aca="false">IF(A365="","",COUNTIFS('Weekly Log'!$A:$A,'Grocery List'!$B$3,'Weekly Log'!$C:$C,A365,'Weekly Log'!$E:$E,"Yes"))</f>
        <v/>
      </c>
      <c r="H365" s="12" t="str">
        <f aca="false">IF(OR(A365="",D365=""),"",D365*G365)</f>
        <v/>
      </c>
    </row>
    <row r="366" customFormat="false" ht="15" hidden="false" customHeight="false" outlineLevel="0" collapsed="false">
      <c r="B366" s="12" t="str">
        <f aca="false">IF(A366="","",IFERROR(INDEX(Recipes!$B:$B,MATCH(A366,Recipes!$A:$A,0)),"⚠ unknown recipe_id"))</f>
        <v/>
      </c>
      <c r="E366" s="12" t="str">
        <f aca="false">IF(C366="","",IFERROR(INDEX('Ingredient Catalog'!$C:$C,MATCH(C366,'Ingredient Catalog'!$A:$A,0)),"⚠ not in catalog"))</f>
        <v/>
      </c>
      <c r="G366" s="12" t="str">
        <f aca="false">IF(A366="","",COUNTIFS('Weekly Log'!$A:$A,'Grocery List'!$B$3,'Weekly Log'!$C:$C,A366,'Weekly Log'!$E:$E,"Yes"))</f>
        <v/>
      </c>
      <c r="H366" s="12" t="str">
        <f aca="false">IF(OR(A366="",D366=""),"",D366*G366)</f>
        <v/>
      </c>
    </row>
    <row r="367" customFormat="false" ht="15" hidden="false" customHeight="false" outlineLevel="0" collapsed="false">
      <c r="B367" s="12" t="str">
        <f aca="false">IF(A367="","",IFERROR(INDEX(Recipes!$B:$B,MATCH(A367,Recipes!$A:$A,0)),"⚠ unknown recipe_id"))</f>
        <v/>
      </c>
      <c r="E367" s="12" t="str">
        <f aca="false">IF(C367="","",IFERROR(INDEX('Ingredient Catalog'!$C:$C,MATCH(C367,'Ingredient Catalog'!$A:$A,0)),"⚠ not in catalog"))</f>
        <v/>
      </c>
      <c r="G367" s="12" t="str">
        <f aca="false">IF(A367="","",COUNTIFS('Weekly Log'!$A:$A,'Grocery List'!$B$3,'Weekly Log'!$C:$C,A367,'Weekly Log'!$E:$E,"Yes"))</f>
        <v/>
      </c>
      <c r="H367" s="12" t="str">
        <f aca="false">IF(OR(A367="",D367=""),"",D367*G367)</f>
        <v/>
      </c>
    </row>
    <row r="368" customFormat="false" ht="15" hidden="false" customHeight="false" outlineLevel="0" collapsed="false">
      <c r="B368" s="12" t="str">
        <f aca="false">IF(A368="","",IFERROR(INDEX(Recipes!$B:$B,MATCH(A368,Recipes!$A:$A,0)),"⚠ unknown recipe_id"))</f>
        <v/>
      </c>
      <c r="E368" s="12" t="str">
        <f aca="false">IF(C368="","",IFERROR(INDEX('Ingredient Catalog'!$C:$C,MATCH(C368,'Ingredient Catalog'!$A:$A,0)),"⚠ not in catalog"))</f>
        <v/>
      </c>
      <c r="G368" s="12" t="str">
        <f aca="false">IF(A368="","",COUNTIFS('Weekly Log'!$A:$A,'Grocery List'!$B$3,'Weekly Log'!$C:$C,A368,'Weekly Log'!$E:$E,"Yes"))</f>
        <v/>
      </c>
      <c r="H368" s="12" t="str">
        <f aca="false">IF(OR(A368="",D368=""),"",D368*G368)</f>
        <v/>
      </c>
    </row>
    <row r="369" customFormat="false" ht="15" hidden="false" customHeight="false" outlineLevel="0" collapsed="false">
      <c r="B369" s="12" t="str">
        <f aca="false">IF(A369="","",IFERROR(INDEX(Recipes!$B:$B,MATCH(A369,Recipes!$A:$A,0)),"⚠ unknown recipe_id"))</f>
        <v/>
      </c>
      <c r="E369" s="12" t="str">
        <f aca="false">IF(C369="","",IFERROR(INDEX('Ingredient Catalog'!$C:$C,MATCH(C369,'Ingredient Catalog'!$A:$A,0)),"⚠ not in catalog"))</f>
        <v/>
      </c>
      <c r="G369" s="12" t="str">
        <f aca="false">IF(A369="","",COUNTIFS('Weekly Log'!$A:$A,'Grocery List'!$B$3,'Weekly Log'!$C:$C,A369,'Weekly Log'!$E:$E,"Yes"))</f>
        <v/>
      </c>
      <c r="H369" s="12" t="str">
        <f aca="false">IF(OR(A369="",D369=""),"",D369*G369)</f>
        <v/>
      </c>
    </row>
    <row r="370" customFormat="false" ht="15" hidden="false" customHeight="false" outlineLevel="0" collapsed="false">
      <c r="B370" s="12" t="str">
        <f aca="false">IF(A370="","",IFERROR(INDEX(Recipes!$B:$B,MATCH(A370,Recipes!$A:$A,0)),"⚠ unknown recipe_id"))</f>
        <v/>
      </c>
      <c r="E370" s="12" t="str">
        <f aca="false">IF(C370="","",IFERROR(INDEX('Ingredient Catalog'!$C:$C,MATCH(C370,'Ingredient Catalog'!$A:$A,0)),"⚠ not in catalog"))</f>
        <v/>
      </c>
      <c r="G370" s="12" t="str">
        <f aca="false">IF(A370="","",COUNTIFS('Weekly Log'!$A:$A,'Grocery List'!$B$3,'Weekly Log'!$C:$C,A370,'Weekly Log'!$E:$E,"Yes"))</f>
        <v/>
      </c>
      <c r="H370" s="12" t="str">
        <f aca="false">IF(OR(A370="",D370=""),"",D370*G370)</f>
        <v/>
      </c>
    </row>
    <row r="371" customFormat="false" ht="15" hidden="false" customHeight="false" outlineLevel="0" collapsed="false">
      <c r="B371" s="12" t="str">
        <f aca="false">IF(A371="","",IFERROR(INDEX(Recipes!$B:$B,MATCH(A371,Recipes!$A:$A,0)),"⚠ unknown recipe_id"))</f>
        <v/>
      </c>
      <c r="E371" s="12" t="str">
        <f aca="false">IF(C371="","",IFERROR(INDEX('Ingredient Catalog'!$C:$C,MATCH(C371,'Ingredient Catalog'!$A:$A,0)),"⚠ not in catalog"))</f>
        <v/>
      </c>
      <c r="G371" s="12" t="str">
        <f aca="false">IF(A371="","",COUNTIFS('Weekly Log'!$A:$A,'Grocery List'!$B$3,'Weekly Log'!$C:$C,A371,'Weekly Log'!$E:$E,"Yes"))</f>
        <v/>
      </c>
      <c r="H371" s="12" t="str">
        <f aca="false">IF(OR(A371="",D371=""),"",D371*G371)</f>
        <v/>
      </c>
    </row>
    <row r="372" customFormat="false" ht="15" hidden="false" customHeight="false" outlineLevel="0" collapsed="false">
      <c r="B372" s="12" t="str">
        <f aca="false">IF(A372="","",IFERROR(INDEX(Recipes!$B:$B,MATCH(A372,Recipes!$A:$A,0)),"⚠ unknown recipe_id"))</f>
        <v/>
      </c>
      <c r="E372" s="12" t="str">
        <f aca="false">IF(C372="","",IFERROR(INDEX('Ingredient Catalog'!$C:$C,MATCH(C372,'Ingredient Catalog'!$A:$A,0)),"⚠ not in catalog"))</f>
        <v/>
      </c>
      <c r="G372" s="12" t="str">
        <f aca="false">IF(A372="","",COUNTIFS('Weekly Log'!$A:$A,'Grocery List'!$B$3,'Weekly Log'!$C:$C,A372,'Weekly Log'!$E:$E,"Yes"))</f>
        <v/>
      </c>
      <c r="H372" s="12" t="str">
        <f aca="false">IF(OR(A372="",D372=""),"",D372*G372)</f>
        <v/>
      </c>
    </row>
    <row r="373" customFormat="false" ht="15" hidden="false" customHeight="false" outlineLevel="0" collapsed="false">
      <c r="B373" s="12" t="str">
        <f aca="false">IF(A373="","",IFERROR(INDEX(Recipes!$B:$B,MATCH(A373,Recipes!$A:$A,0)),"⚠ unknown recipe_id"))</f>
        <v/>
      </c>
      <c r="E373" s="12" t="str">
        <f aca="false">IF(C373="","",IFERROR(INDEX('Ingredient Catalog'!$C:$C,MATCH(C373,'Ingredient Catalog'!$A:$A,0)),"⚠ not in catalog"))</f>
        <v/>
      </c>
      <c r="G373" s="12" t="str">
        <f aca="false">IF(A373="","",COUNTIFS('Weekly Log'!$A:$A,'Grocery List'!$B$3,'Weekly Log'!$C:$C,A373,'Weekly Log'!$E:$E,"Yes"))</f>
        <v/>
      </c>
      <c r="H373" s="12" t="str">
        <f aca="false">IF(OR(A373="",D373=""),"",D373*G373)</f>
        <v/>
      </c>
    </row>
    <row r="374" customFormat="false" ht="15" hidden="false" customHeight="false" outlineLevel="0" collapsed="false">
      <c r="B374" s="12" t="str">
        <f aca="false">IF(A374="","",IFERROR(INDEX(Recipes!$B:$B,MATCH(A374,Recipes!$A:$A,0)),"⚠ unknown recipe_id"))</f>
        <v/>
      </c>
      <c r="E374" s="12" t="str">
        <f aca="false">IF(C374="","",IFERROR(INDEX('Ingredient Catalog'!$C:$C,MATCH(C374,'Ingredient Catalog'!$A:$A,0)),"⚠ not in catalog"))</f>
        <v/>
      </c>
      <c r="G374" s="12" t="str">
        <f aca="false">IF(A374="","",COUNTIFS('Weekly Log'!$A:$A,'Grocery List'!$B$3,'Weekly Log'!$C:$C,A374,'Weekly Log'!$E:$E,"Yes"))</f>
        <v/>
      </c>
      <c r="H374" s="12" t="str">
        <f aca="false">IF(OR(A374="",D374=""),"",D374*G374)</f>
        <v/>
      </c>
    </row>
    <row r="375" customFormat="false" ht="15" hidden="false" customHeight="false" outlineLevel="0" collapsed="false">
      <c r="B375" s="12" t="str">
        <f aca="false">IF(A375="","",IFERROR(INDEX(Recipes!$B:$B,MATCH(A375,Recipes!$A:$A,0)),"⚠ unknown recipe_id"))</f>
        <v/>
      </c>
      <c r="E375" s="12" t="str">
        <f aca="false">IF(C375="","",IFERROR(INDEX('Ingredient Catalog'!$C:$C,MATCH(C375,'Ingredient Catalog'!$A:$A,0)),"⚠ not in catalog"))</f>
        <v/>
      </c>
      <c r="G375" s="12" t="str">
        <f aca="false">IF(A375="","",COUNTIFS('Weekly Log'!$A:$A,'Grocery List'!$B$3,'Weekly Log'!$C:$C,A375,'Weekly Log'!$E:$E,"Yes"))</f>
        <v/>
      </c>
      <c r="H375" s="12" t="str">
        <f aca="false">IF(OR(A375="",D375=""),"",D375*G375)</f>
        <v/>
      </c>
    </row>
    <row r="376" customFormat="false" ht="15" hidden="false" customHeight="false" outlineLevel="0" collapsed="false">
      <c r="B376" s="12" t="str">
        <f aca="false">IF(A376="","",IFERROR(INDEX(Recipes!$B:$B,MATCH(A376,Recipes!$A:$A,0)),"⚠ unknown recipe_id"))</f>
        <v/>
      </c>
      <c r="E376" s="12" t="str">
        <f aca="false">IF(C376="","",IFERROR(INDEX('Ingredient Catalog'!$C:$C,MATCH(C376,'Ingredient Catalog'!$A:$A,0)),"⚠ not in catalog"))</f>
        <v/>
      </c>
      <c r="G376" s="12" t="str">
        <f aca="false">IF(A376="","",COUNTIFS('Weekly Log'!$A:$A,'Grocery List'!$B$3,'Weekly Log'!$C:$C,A376,'Weekly Log'!$E:$E,"Yes"))</f>
        <v/>
      </c>
      <c r="H376" s="12" t="str">
        <f aca="false">IF(OR(A376="",D376=""),"",D376*G376)</f>
        <v/>
      </c>
    </row>
    <row r="377" customFormat="false" ht="15" hidden="false" customHeight="false" outlineLevel="0" collapsed="false">
      <c r="B377" s="12" t="str">
        <f aca="false">IF(A377="","",IFERROR(INDEX(Recipes!$B:$B,MATCH(A377,Recipes!$A:$A,0)),"⚠ unknown recipe_id"))</f>
        <v/>
      </c>
      <c r="E377" s="12" t="str">
        <f aca="false">IF(C377="","",IFERROR(INDEX('Ingredient Catalog'!$C:$C,MATCH(C377,'Ingredient Catalog'!$A:$A,0)),"⚠ not in catalog"))</f>
        <v/>
      </c>
      <c r="G377" s="12" t="str">
        <f aca="false">IF(A377="","",COUNTIFS('Weekly Log'!$A:$A,'Grocery List'!$B$3,'Weekly Log'!$C:$C,A377,'Weekly Log'!$E:$E,"Yes"))</f>
        <v/>
      </c>
      <c r="H377" s="12" t="str">
        <f aca="false">IF(OR(A377="",D377=""),"",D377*G377)</f>
        <v/>
      </c>
    </row>
    <row r="378" customFormat="false" ht="15" hidden="false" customHeight="false" outlineLevel="0" collapsed="false">
      <c r="B378" s="12" t="str">
        <f aca="false">IF(A378="","",IFERROR(INDEX(Recipes!$B:$B,MATCH(A378,Recipes!$A:$A,0)),"⚠ unknown recipe_id"))</f>
        <v/>
      </c>
      <c r="E378" s="12" t="str">
        <f aca="false">IF(C378="","",IFERROR(INDEX('Ingredient Catalog'!$C:$C,MATCH(C378,'Ingredient Catalog'!$A:$A,0)),"⚠ not in catalog"))</f>
        <v/>
      </c>
      <c r="G378" s="12" t="str">
        <f aca="false">IF(A378="","",COUNTIFS('Weekly Log'!$A:$A,'Grocery List'!$B$3,'Weekly Log'!$C:$C,A378,'Weekly Log'!$E:$E,"Yes"))</f>
        <v/>
      </c>
      <c r="H378" s="12" t="str">
        <f aca="false">IF(OR(A378="",D378=""),"",D378*G378)</f>
        <v/>
      </c>
    </row>
    <row r="379" customFormat="false" ht="15" hidden="false" customHeight="false" outlineLevel="0" collapsed="false">
      <c r="B379" s="12" t="str">
        <f aca="false">IF(A379="","",IFERROR(INDEX(Recipes!$B:$B,MATCH(A379,Recipes!$A:$A,0)),"⚠ unknown recipe_id"))</f>
        <v/>
      </c>
      <c r="E379" s="12" t="str">
        <f aca="false">IF(C379="","",IFERROR(INDEX('Ingredient Catalog'!$C:$C,MATCH(C379,'Ingredient Catalog'!$A:$A,0)),"⚠ not in catalog"))</f>
        <v/>
      </c>
      <c r="G379" s="12" t="str">
        <f aca="false">IF(A379="","",COUNTIFS('Weekly Log'!$A:$A,'Grocery List'!$B$3,'Weekly Log'!$C:$C,A379,'Weekly Log'!$E:$E,"Yes"))</f>
        <v/>
      </c>
      <c r="H379" s="12" t="str">
        <f aca="false">IF(OR(A379="",D379=""),"",D379*G379)</f>
        <v/>
      </c>
    </row>
    <row r="380" customFormat="false" ht="15" hidden="false" customHeight="false" outlineLevel="0" collapsed="false">
      <c r="B380" s="12" t="str">
        <f aca="false">IF(A380="","",IFERROR(INDEX(Recipes!$B:$B,MATCH(A380,Recipes!$A:$A,0)),"⚠ unknown recipe_id"))</f>
        <v/>
      </c>
      <c r="E380" s="12" t="str">
        <f aca="false">IF(C380="","",IFERROR(INDEX('Ingredient Catalog'!$C:$C,MATCH(C380,'Ingredient Catalog'!$A:$A,0)),"⚠ not in catalog"))</f>
        <v/>
      </c>
      <c r="G380" s="12" t="str">
        <f aca="false">IF(A380="","",COUNTIFS('Weekly Log'!$A:$A,'Grocery List'!$B$3,'Weekly Log'!$C:$C,A380,'Weekly Log'!$E:$E,"Yes"))</f>
        <v/>
      </c>
      <c r="H380" s="12" t="str">
        <f aca="false">IF(OR(A380="",D380=""),"",D380*G380)</f>
        <v/>
      </c>
    </row>
    <row r="381" customFormat="false" ht="15" hidden="false" customHeight="false" outlineLevel="0" collapsed="false">
      <c r="B381" s="12" t="str">
        <f aca="false">IF(A381="","",IFERROR(INDEX(Recipes!$B:$B,MATCH(A381,Recipes!$A:$A,0)),"⚠ unknown recipe_id"))</f>
        <v/>
      </c>
      <c r="E381" s="12" t="str">
        <f aca="false">IF(C381="","",IFERROR(INDEX('Ingredient Catalog'!$C:$C,MATCH(C381,'Ingredient Catalog'!$A:$A,0)),"⚠ not in catalog"))</f>
        <v/>
      </c>
      <c r="G381" s="12" t="str">
        <f aca="false">IF(A381="","",COUNTIFS('Weekly Log'!$A:$A,'Grocery List'!$B$3,'Weekly Log'!$C:$C,A381,'Weekly Log'!$E:$E,"Yes"))</f>
        <v/>
      </c>
      <c r="H381" s="12" t="str">
        <f aca="false">IF(OR(A381="",D381=""),"",D381*G381)</f>
        <v/>
      </c>
    </row>
    <row r="382" customFormat="false" ht="15" hidden="false" customHeight="false" outlineLevel="0" collapsed="false">
      <c r="B382" s="12" t="str">
        <f aca="false">IF(A382="","",IFERROR(INDEX(Recipes!$B:$B,MATCH(A382,Recipes!$A:$A,0)),"⚠ unknown recipe_id"))</f>
        <v/>
      </c>
      <c r="E382" s="12" t="str">
        <f aca="false">IF(C382="","",IFERROR(INDEX('Ingredient Catalog'!$C:$C,MATCH(C382,'Ingredient Catalog'!$A:$A,0)),"⚠ not in catalog"))</f>
        <v/>
      </c>
      <c r="G382" s="12" t="str">
        <f aca="false">IF(A382="","",COUNTIFS('Weekly Log'!$A:$A,'Grocery List'!$B$3,'Weekly Log'!$C:$C,A382,'Weekly Log'!$E:$E,"Yes"))</f>
        <v/>
      </c>
      <c r="H382" s="12" t="str">
        <f aca="false">IF(OR(A382="",D382=""),"",D382*G382)</f>
        <v/>
      </c>
    </row>
    <row r="383" customFormat="false" ht="15" hidden="false" customHeight="false" outlineLevel="0" collapsed="false">
      <c r="B383" s="12" t="str">
        <f aca="false">IF(A383="","",IFERROR(INDEX(Recipes!$B:$B,MATCH(A383,Recipes!$A:$A,0)),"⚠ unknown recipe_id"))</f>
        <v/>
      </c>
      <c r="E383" s="12" t="str">
        <f aca="false">IF(C383="","",IFERROR(INDEX('Ingredient Catalog'!$C:$C,MATCH(C383,'Ingredient Catalog'!$A:$A,0)),"⚠ not in catalog"))</f>
        <v/>
      </c>
      <c r="G383" s="12" t="str">
        <f aca="false">IF(A383="","",COUNTIFS('Weekly Log'!$A:$A,'Grocery List'!$B$3,'Weekly Log'!$C:$C,A383,'Weekly Log'!$E:$E,"Yes"))</f>
        <v/>
      </c>
      <c r="H383" s="12" t="str">
        <f aca="false">IF(OR(A383="",D383=""),"",D383*G383)</f>
        <v/>
      </c>
    </row>
    <row r="384" customFormat="false" ht="15" hidden="false" customHeight="false" outlineLevel="0" collapsed="false">
      <c r="B384" s="12" t="str">
        <f aca="false">IF(A384="","",IFERROR(INDEX(Recipes!$B:$B,MATCH(A384,Recipes!$A:$A,0)),"⚠ unknown recipe_id"))</f>
        <v/>
      </c>
      <c r="E384" s="12" t="str">
        <f aca="false">IF(C384="","",IFERROR(INDEX('Ingredient Catalog'!$C:$C,MATCH(C384,'Ingredient Catalog'!$A:$A,0)),"⚠ not in catalog"))</f>
        <v/>
      </c>
      <c r="G384" s="12" t="str">
        <f aca="false">IF(A384="","",COUNTIFS('Weekly Log'!$A:$A,'Grocery List'!$B$3,'Weekly Log'!$C:$C,A384,'Weekly Log'!$E:$E,"Yes"))</f>
        <v/>
      </c>
      <c r="H384" s="12" t="str">
        <f aca="false">IF(OR(A384="",D384=""),"",D384*G384)</f>
        <v/>
      </c>
    </row>
    <row r="385" customFormat="false" ht="15" hidden="false" customHeight="false" outlineLevel="0" collapsed="false">
      <c r="B385" s="12" t="str">
        <f aca="false">IF(A385="","",IFERROR(INDEX(Recipes!$B:$B,MATCH(A385,Recipes!$A:$A,0)),"⚠ unknown recipe_id"))</f>
        <v/>
      </c>
      <c r="E385" s="12" t="str">
        <f aca="false">IF(C385="","",IFERROR(INDEX('Ingredient Catalog'!$C:$C,MATCH(C385,'Ingredient Catalog'!$A:$A,0)),"⚠ not in catalog"))</f>
        <v/>
      </c>
      <c r="G385" s="12" t="str">
        <f aca="false">IF(A385="","",COUNTIFS('Weekly Log'!$A:$A,'Grocery List'!$B$3,'Weekly Log'!$C:$C,A385,'Weekly Log'!$E:$E,"Yes"))</f>
        <v/>
      </c>
      <c r="H385" s="12" t="str">
        <f aca="false">IF(OR(A385="",D385=""),"",D385*G385)</f>
        <v/>
      </c>
    </row>
    <row r="386" customFormat="false" ht="15" hidden="false" customHeight="false" outlineLevel="0" collapsed="false">
      <c r="B386" s="12" t="str">
        <f aca="false">IF(A386="","",IFERROR(INDEX(Recipes!$B:$B,MATCH(A386,Recipes!$A:$A,0)),"⚠ unknown recipe_id"))</f>
        <v/>
      </c>
      <c r="E386" s="12" t="str">
        <f aca="false">IF(C386="","",IFERROR(INDEX('Ingredient Catalog'!$C:$C,MATCH(C386,'Ingredient Catalog'!$A:$A,0)),"⚠ not in catalog"))</f>
        <v/>
      </c>
      <c r="G386" s="12" t="str">
        <f aca="false">IF(A386="","",COUNTIFS('Weekly Log'!$A:$A,'Grocery List'!$B$3,'Weekly Log'!$C:$C,A386,'Weekly Log'!$E:$E,"Yes"))</f>
        <v/>
      </c>
      <c r="H386" s="12" t="str">
        <f aca="false">IF(OR(A386="",D386=""),"",D386*G386)</f>
        <v/>
      </c>
    </row>
    <row r="387" customFormat="false" ht="15" hidden="false" customHeight="false" outlineLevel="0" collapsed="false">
      <c r="B387" s="12" t="str">
        <f aca="false">IF(A387="","",IFERROR(INDEX(Recipes!$B:$B,MATCH(A387,Recipes!$A:$A,0)),"⚠ unknown recipe_id"))</f>
        <v/>
      </c>
      <c r="E387" s="12" t="str">
        <f aca="false">IF(C387="","",IFERROR(INDEX('Ingredient Catalog'!$C:$C,MATCH(C387,'Ingredient Catalog'!$A:$A,0)),"⚠ not in catalog"))</f>
        <v/>
      </c>
      <c r="G387" s="12" t="str">
        <f aca="false">IF(A387="","",COUNTIFS('Weekly Log'!$A:$A,'Grocery List'!$B$3,'Weekly Log'!$C:$C,A387,'Weekly Log'!$E:$E,"Yes"))</f>
        <v/>
      </c>
      <c r="H387" s="12" t="str">
        <f aca="false">IF(OR(A387="",D387=""),"",D387*G387)</f>
        <v/>
      </c>
    </row>
    <row r="388" customFormat="false" ht="15" hidden="false" customHeight="false" outlineLevel="0" collapsed="false">
      <c r="B388" s="12" t="str">
        <f aca="false">IF(A388="","",IFERROR(INDEX(Recipes!$B:$B,MATCH(A388,Recipes!$A:$A,0)),"⚠ unknown recipe_id"))</f>
        <v/>
      </c>
      <c r="E388" s="12" t="str">
        <f aca="false">IF(C388="","",IFERROR(INDEX('Ingredient Catalog'!$C:$C,MATCH(C388,'Ingredient Catalog'!$A:$A,0)),"⚠ not in catalog"))</f>
        <v/>
      </c>
      <c r="G388" s="12" t="str">
        <f aca="false">IF(A388="","",COUNTIFS('Weekly Log'!$A:$A,'Grocery List'!$B$3,'Weekly Log'!$C:$C,A388,'Weekly Log'!$E:$E,"Yes"))</f>
        <v/>
      </c>
      <c r="H388" s="12" t="str">
        <f aca="false">IF(OR(A388="",D388=""),"",D388*G388)</f>
        <v/>
      </c>
    </row>
    <row r="389" customFormat="false" ht="15" hidden="false" customHeight="false" outlineLevel="0" collapsed="false">
      <c r="B389" s="12" t="str">
        <f aca="false">IF(A389="","",IFERROR(INDEX(Recipes!$B:$B,MATCH(A389,Recipes!$A:$A,0)),"⚠ unknown recipe_id"))</f>
        <v/>
      </c>
      <c r="E389" s="12" t="str">
        <f aca="false">IF(C389="","",IFERROR(INDEX('Ingredient Catalog'!$C:$C,MATCH(C389,'Ingredient Catalog'!$A:$A,0)),"⚠ not in catalog"))</f>
        <v/>
      </c>
      <c r="G389" s="12" t="str">
        <f aca="false">IF(A389="","",COUNTIFS('Weekly Log'!$A:$A,'Grocery List'!$B$3,'Weekly Log'!$C:$C,A389,'Weekly Log'!$E:$E,"Yes"))</f>
        <v/>
      </c>
      <c r="H389" s="12" t="str">
        <f aca="false">IF(OR(A389="",D389=""),"",D389*G389)</f>
        <v/>
      </c>
    </row>
    <row r="390" customFormat="false" ht="15" hidden="false" customHeight="false" outlineLevel="0" collapsed="false">
      <c r="B390" s="12" t="str">
        <f aca="false">IF(A390="","",IFERROR(INDEX(Recipes!$B:$B,MATCH(A390,Recipes!$A:$A,0)),"⚠ unknown recipe_id"))</f>
        <v/>
      </c>
      <c r="E390" s="12" t="str">
        <f aca="false">IF(C390="","",IFERROR(INDEX('Ingredient Catalog'!$C:$C,MATCH(C390,'Ingredient Catalog'!$A:$A,0)),"⚠ not in catalog"))</f>
        <v/>
      </c>
      <c r="G390" s="12" t="str">
        <f aca="false">IF(A390="","",COUNTIFS('Weekly Log'!$A:$A,'Grocery List'!$B$3,'Weekly Log'!$C:$C,A390,'Weekly Log'!$E:$E,"Yes"))</f>
        <v/>
      </c>
      <c r="H390" s="12" t="str">
        <f aca="false">IF(OR(A390="",D390=""),"",D390*G390)</f>
        <v/>
      </c>
    </row>
    <row r="391" customFormat="false" ht="15" hidden="false" customHeight="false" outlineLevel="0" collapsed="false">
      <c r="B391" s="12" t="str">
        <f aca="false">IF(A391="","",IFERROR(INDEX(Recipes!$B:$B,MATCH(A391,Recipes!$A:$A,0)),"⚠ unknown recipe_id"))</f>
        <v/>
      </c>
      <c r="E391" s="12" t="str">
        <f aca="false">IF(C391="","",IFERROR(INDEX('Ingredient Catalog'!$C:$C,MATCH(C391,'Ingredient Catalog'!$A:$A,0)),"⚠ not in catalog"))</f>
        <v/>
      </c>
      <c r="G391" s="12" t="str">
        <f aca="false">IF(A391="","",COUNTIFS('Weekly Log'!$A:$A,'Grocery List'!$B$3,'Weekly Log'!$C:$C,A391,'Weekly Log'!$E:$E,"Yes"))</f>
        <v/>
      </c>
      <c r="H391" s="12" t="str">
        <f aca="false">IF(OR(A391="",D391=""),"",D391*G391)</f>
        <v/>
      </c>
    </row>
    <row r="392" customFormat="false" ht="15" hidden="false" customHeight="false" outlineLevel="0" collapsed="false">
      <c r="B392" s="12" t="str">
        <f aca="false">IF(A392="","",IFERROR(INDEX(Recipes!$B:$B,MATCH(A392,Recipes!$A:$A,0)),"⚠ unknown recipe_id"))</f>
        <v/>
      </c>
      <c r="E392" s="12" t="str">
        <f aca="false">IF(C392="","",IFERROR(INDEX('Ingredient Catalog'!$C:$C,MATCH(C392,'Ingredient Catalog'!$A:$A,0)),"⚠ not in catalog"))</f>
        <v/>
      </c>
      <c r="G392" s="12" t="str">
        <f aca="false">IF(A392="","",COUNTIFS('Weekly Log'!$A:$A,'Grocery List'!$B$3,'Weekly Log'!$C:$C,A392,'Weekly Log'!$E:$E,"Yes"))</f>
        <v/>
      </c>
      <c r="H392" s="12" t="str">
        <f aca="false">IF(OR(A392="",D392=""),"",D392*G392)</f>
        <v/>
      </c>
    </row>
    <row r="393" customFormat="false" ht="15" hidden="false" customHeight="false" outlineLevel="0" collapsed="false">
      <c r="B393" s="12" t="str">
        <f aca="false">IF(A393="","",IFERROR(INDEX(Recipes!$B:$B,MATCH(A393,Recipes!$A:$A,0)),"⚠ unknown recipe_id"))</f>
        <v/>
      </c>
      <c r="E393" s="12" t="str">
        <f aca="false">IF(C393="","",IFERROR(INDEX('Ingredient Catalog'!$C:$C,MATCH(C393,'Ingredient Catalog'!$A:$A,0)),"⚠ not in catalog"))</f>
        <v/>
      </c>
      <c r="G393" s="12" t="str">
        <f aca="false">IF(A393="","",COUNTIFS('Weekly Log'!$A:$A,'Grocery List'!$B$3,'Weekly Log'!$C:$C,A393,'Weekly Log'!$E:$E,"Yes"))</f>
        <v/>
      </c>
      <c r="H393" s="12" t="str">
        <f aca="false">IF(OR(A393="",D393=""),"",D393*G393)</f>
        <v/>
      </c>
    </row>
    <row r="394" customFormat="false" ht="15" hidden="false" customHeight="false" outlineLevel="0" collapsed="false">
      <c r="B394" s="12" t="str">
        <f aca="false">IF(A394="","",IFERROR(INDEX(Recipes!$B:$B,MATCH(A394,Recipes!$A:$A,0)),"⚠ unknown recipe_id"))</f>
        <v/>
      </c>
      <c r="E394" s="12" t="str">
        <f aca="false">IF(C394="","",IFERROR(INDEX('Ingredient Catalog'!$C:$C,MATCH(C394,'Ingredient Catalog'!$A:$A,0)),"⚠ not in catalog"))</f>
        <v/>
      </c>
      <c r="G394" s="12" t="str">
        <f aca="false">IF(A394="","",COUNTIFS('Weekly Log'!$A:$A,'Grocery List'!$B$3,'Weekly Log'!$C:$C,A394,'Weekly Log'!$E:$E,"Yes"))</f>
        <v/>
      </c>
      <c r="H394" s="12" t="str">
        <f aca="false">IF(OR(A394="",D394=""),"",D394*G394)</f>
        <v/>
      </c>
    </row>
    <row r="395" customFormat="false" ht="15" hidden="false" customHeight="false" outlineLevel="0" collapsed="false">
      <c r="B395" s="12" t="str">
        <f aca="false">IF(A395="","",IFERROR(INDEX(Recipes!$B:$B,MATCH(A395,Recipes!$A:$A,0)),"⚠ unknown recipe_id"))</f>
        <v/>
      </c>
      <c r="E395" s="12" t="str">
        <f aca="false">IF(C395="","",IFERROR(INDEX('Ingredient Catalog'!$C:$C,MATCH(C395,'Ingredient Catalog'!$A:$A,0)),"⚠ not in catalog"))</f>
        <v/>
      </c>
      <c r="G395" s="12" t="str">
        <f aca="false">IF(A395="","",COUNTIFS('Weekly Log'!$A:$A,'Grocery List'!$B$3,'Weekly Log'!$C:$C,A395,'Weekly Log'!$E:$E,"Yes"))</f>
        <v/>
      </c>
      <c r="H395" s="12" t="str">
        <f aca="false">IF(OR(A395="",D395=""),"",D395*G395)</f>
        <v/>
      </c>
    </row>
    <row r="396" customFormat="false" ht="15" hidden="false" customHeight="false" outlineLevel="0" collapsed="false">
      <c r="B396" s="12" t="str">
        <f aca="false">IF(A396="","",IFERROR(INDEX(Recipes!$B:$B,MATCH(A396,Recipes!$A:$A,0)),"⚠ unknown recipe_id"))</f>
        <v/>
      </c>
      <c r="E396" s="12" t="str">
        <f aca="false">IF(C396="","",IFERROR(INDEX('Ingredient Catalog'!$C:$C,MATCH(C396,'Ingredient Catalog'!$A:$A,0)),"⚠ not in catalog"))</f>
        <v/>
      </c>
      <c r="G396" s="12" t="str">
        <f aca="false">IF(A396="","",COUNTIFS('Weekly Log'!$A:$A,'Grocery List'!$B$3,'Weekly Log'!$C:$C,A396,'Weekly Log'!$E:$E,"Yes"))</f>
        <v/>
      </c>
      <c r="H396" s="12" t="str">
        <f aca="false">IF(OR(A396="",D396=""),"",D396*G396)</f>
        <v/>
      </c>
    </row>
    <row r="397" customFormat="false" ht="15" hidden="false" customHeight="false" outlineLevel="0" collapsed="false">
      <c r="B397" s="12" t="str">
        <f aca="false">IF(A397="","",IFERROR(INDEX(Recipes!$B:$B,MATCH(A397,Recipes!$A:$A,0)),"⚠ unknown recipe_id"))</f>
        <v/>
      </c>
      <c r="E397" s="12" t="str">
        <f aca="false">IF(C397="","",IFERROR(INDEX('Ingredient Catalog'!$C:$C,MATCH(C397,'Ingredient Catalog'!$A:$A,0)),"⚠ not in catalog"))</f>
        <v/>
      </c>
      <c r="G397" s="12" t="str">
        <f aca="false">IF(A397="","",COUNTIFS('Weekly Log'!$A:$A,'Grocery List'!$B$3,'Weekly Log'!$C:$C,A397,'Weekly Log'!$E:$E,"Yes"))</f>
        <v/>
      </c>
      <c r="H397" s="12" t="str">
        <f aca="false">IF(OR(A397="",D397=""),"",D397*G397)</f>
        <v/>
      </c>
    </row>
    <row r="398" customFormat="false" ht="15" hidden="false" customHeight="false" outlineLevel="0" collapsed="false">
      <c r="B398" s="12" t="str">
        <f aca="false">IF(A398="","",IFERROR(INDEX(Recipes!$B:$B,MATCH(A398,Recipes!$A:$A,0)),"⚠ unknown recipe_id"))</f>
        <v/>
      </c>
      <c r="E398" s="12" t="str">
        <f aca="false">IF(C398="","",IFERROR(INDEX('Ingredient Catalog'!$C:$C,MATCH(C398,'Ingredient Catalog'!$A:$A,0)),"⚠ not in catalog"))</f>
        <v/>
      </c>
      <c r="G398" s="12" t="str">
        <f aca="false">IF(A398="","",COUNTIFS('Weekly Log'!$A:$A,'Grocery List'!$B$3,'Weekly Log'!$C:$C,A398,'Weekly Log'!$E:$E,"Yes"))</f>
        <v/>
      </c>
      <c r="H398" s="12" t="str">
        <f aca="false">IF(OR(A398="",D398=""),"",D398*G398)</f>
        <v/>
      </c>
    </row>
    <row r="399" customFormat="false" ht="15" hidden="false" customHeight="false" outlineLevel="0" collapsed="false">
      <c r="B399" s="12" t="str">
        <f aca="false">IF(A399="","",IFERROR(INDEX(Recipes!$B:$B,MATCH(A399,Recipes!$A:$A,0)),"⚠ unknown recipe_id"))</f>
        <v/>
      </c>
      <c r="E399" s="12" t="str">
        <f aca="false">IF(C399="","",IFERROR(INDEX('Ingredient Catalog'!$C:$C,MATCH(C399,'Ingredient Catalog'!$A:$A,0)),"⚠ not in catalog"))</f>
        <v/>
      </c>
      <c r="G399" s="12" t="str">
        <f aca="false">IF(A399="","",COUNTIFS('Weekly Log'!$A:$A,'Grocery List'!$B$3,'Weekly Log'!$C:$C,A399,'Weekly Log'!$E:$E,"Yes"))</f>
        <v/>
      </c>
      <c r="H399" s="12" t="str">
        <f aca="false">IF(OR(A399="",D399=""),"",D399*G399)</f>
        <v/>
      </c>
    </row>
    <row r="400" customFormat="false" ht="15" hidden="false" customHeight="false" outlineLevel="0" collapsed="false">
      <c r="B400" s="12" t="str">
        <f aca="false">IF(A400="","",IFERROR(INDEX(Recipes!$B:$B,MATCH(A400,Recipes!$A:$A,0)),"⚠ unknown recipe_id"))</f>
        <v/>
      </c>
      <c r="E400" s="12" t="str">
        <f aca="false">IF(C400="","",IFERROR(INDEX('Ingredient Catalog'!$C:$C,MATCH(C400,'Ingredient Catalog'!$A:$A,0)),"⚠ not in catalog"))</f>
        <v/>
      </c>
      <c r="G400" s="12" t="str">
        <f aca="false">IF(A400="","",COUNTIFS('Weekly Log'!$A:$A,'Grocery List'!$B$3,'Weekly Log'!$C:$C,A400,'Weekly Log'!$E:$E,"Yes"))</f>
        <v/>
      </c>
      <c r="H400" s="12" t="str">
        <f aca="false">IF(OR(A400="",D400=""),"",D400*G400)</f>
        <v/>
      </c>
    </row>
    <row r="401" customFormat="false" ht="15" hidden="false" customHeight="false" outlineLevel="0" collapsed="false">
      <c r="B401" s="12" t="str">
        <f aca="false">IF(A401="","",IFERROR(INDEX(Recipes!$B:$B,MATCH(A401,Recipes!$A:$A,0)),"⚠ unknown recipe_id"))</f>
        <v/>
      </c>
      <c r="E401" s="12" t="str">
        <f aca="false">IF(C401="","",IFERROR(INDEX('Ingredient Catalog'!$C:$C,MATCH(C401,'Ingredient Catalog'!$A:$A,0)),"⚠ not in catalog"))</f>
        <v/>
      </c>
      <c r="G401" s="12" t="str">
        <f aca="false">IF(A401="","",COUNTIFS('Weekly Log'!$A:$A,'Grocery List'!$B$3,'Weekly Log'!$C:$C,A401,'Weekly Log'!$E:$E,"Yes"))</f>
        <v/>
      </c>
      <c r="H401" s="12" t="str">
        <f aca="false">IF(OR(A401="",D401=""),"",D401*G401)</f>
        <v/>
      </c>
    </row>
    <row r="402" customFormat="false" ht="15" hidden="false" customHeight="false" outlineLevel="0" collapsed="false">
      <c r="B402" s="12" t="str">
        <f aca="false">IF(A402="","",IFERROR(INDEX(Recipes!$B:$B,MATCH(A402,Recipes!$A:$A,0)),"⚠ unknown recipe_id"))</f>
        <v/>
      </c>
      <c r="E402" s="12" t="str">
        <f aca="false">IF(C402="","",IFERROR(INDEX('Ingredient Catalog'!$C:$C,MATCH(C402,'Ingredient Catalog'!$A:$A,0)),"⚠ not in catalog"))</f>
        <v/>
      </c>
      <c r="G402" s="12" t="str">
        <f aca="false">IF(A402="","",COUNTIFS('Weekly Log'!$A:$A,'Grocery List'!$B$3,'Weekly Log'!$C:$C,A402,'Weekly Log'!$E:$E,"Yes"))</f>
        <v/>
      </c>
      <c r="H402" s="12" t="str">
        <f aca="false">IF(OR(A402="",D402=""),"",D402*G402)</f>
        <v/>
      </c>
    </row>
    <row r="403" customFormat="false" ht="15" hidden="false" customHeight="false" outlineLevel="0" collapsed="false">
      <c r="B403" s="12" t="str">
        <f aca="false">IF(A403="","",IFERROR(INDEX(Recipes!$B:$B,MATCH(A403,Recipes!$A:$A,0)),"⚠ unknown recipe_id"))</f>
        <v/>
      </c>
      <c r="E403" s="12" t="str">
        <f aca="false">IF(C403="","",IFERROR(INDEX('Ingredient Catalog'!$C:$C,MATCH(C403,'Ingredient Catalog'!$A:$A,0)),"⚠ not in catalog"))</f>
        <v/>
      </c>
      <c r="G403" s="12" t="str">
        <f aca="false">IF(A403="","",COUNTIFS('Weekly Log'!$A:$A,'Grocery List'!$B$3,'Weekly Log'!$C:$C,A403,'Weekly Log'!$E:$E,"Yes"))</f>
        <v/>
      </c>
      <c r="H403" s="12" t="str">
        <f aca="false">IF(OR(A403="",D403=""),"",D403*G403)</f>
        <v/>
      </c>
    </row>
    <row r="404" customFormat="false" ht="15" hidden="false" customHeight="false" outlineLevel="0" collapsed="false">
      <c r="B404" s="12" t="str">
        <f aca="false">IF(A404="","",IFERROR(INDEX(Recipes!$B:$B,MATCH(A404,Recipes!$A:$A,0)),"⚠ unknown recipe_id"))</f>
        <v/>
      </c>
      <c r="E404" s="12" t="str">
        <f aca="false">IF(C404="","",IFERROR(INDEX('Ingredient Catalog'!$C:$C,MATCH(C404,'Ingredient Catalog'!$A:$A,0)),"⚠ not in catalog"))</f>
        <v/>
      </c>
      <c r="G404" s="12" t="str">
        <f aca="false">IF(A404="","",COUNTIFS('Weekly Log'!$A:$A,'Grocery List'!$B$3,'Weekly Log'!$C:$C,A404,'Weekly Log'!$E:$E,"Yes"))</f>
        <v/>
      </c>
      <c r="H404" s="12" t="str">
        <f aca="false">IF(OR(A404="",D404=""),"",D404*G404)</f>
        <v/>
      </c>
    </row>
    <row r="405" customFormat="false" ht="15" hidden="false" customHeight="false" outlineLevel="0" collapsed="false">
      <c r="B405" s="12" t="str">
        <f aca="false">IF(A405="","",IFERROR(INDEX(Recipes!$B:$B,MATCH(A405,Recipes!$A:$A,0)),"⚠ unknown recipe_id"))</f>
        <v/>
      </c>
      <c r="E405" s="12" t="str">
        <f aca="false">IF(C405="","",IFERROR(INDEX('Ingredient Catalog'!$C:$C,MATCH(C405,'Ingredient Catalog'!$A:$A,0)),"⚠ not in catalog"))</f>
        <v/>
      </c>
      <c r="G405" s="12" t="str">
        <f aca="false">IF(A405="","",COUNTIFS('Weekly Log'!$A:$A,'Grocery List'!$B$3,'Weekly Log'!$C:$C,A405,'Weekly Log'!$E:$E,"Yes"))</f>
        <v/>
      </c>
      <c r="H405" s="12" t="str">
        <f aca="false">IF(OR(A405="",D405=""),"",D405*G405)</f>
        <v/>
      </c>
    </row>
    <row r="406" customFormat="false" ht="15" hidden="false" customHeight="false" outlineLevel="0" collapsed="false">
      <c r="B406" s="12" t="str">
        <f aca="false">IF(A406="","",IFERROR(INDEX(Recipes!$B:$B,MATCH(A406,Recipes!$A:$A,0)),"⚠ unknown recipe_id"))</f>
        <v/>
      </c>
      <c r="E406" s="12" t="str">
        <f aca="false">IF(C406="","",IFERROR(INDEX('Ingredient Catalog'!$C:$C,MATCH(C406,'Ingredient Catalog'!$A:$A,0)),"⚠ not in catalog"))</f>
        <v/>
      </c>
      <c r="G406" s="12" t="str">
        <f aca="false">IF(A406="","",COUNTIFS('Weekly Log'!$A:$A,'Grocery List'!$B$3,'Weekly Log'!$C:$C,A406,'Weekly Log'!$E:$E,"Yes"))</f>
        <v/>
      </c>
      <c r="H406" s="12" t="str">
        <f aca="false">IF(OR(A406="",D406=""),"",D406*G406)</f>
        <v/>
      </c>
    </row>
    <row r="407" customFormat="false" ht="15" hidden="false" customHeight="false" outlineLevel="0" collapsed="false">
      <c r="B407" s="12" t="str">
        <f aca="false">IF(A407="","",IFERROR(INDEX(Recipes!$B:$B,MATCH(A407,Recipes!$A:$A,0)),"⚠ unknown recipe_id"))</f>
        <v/>
      </c>
      <c r="E407" s="12" t="str">
        <f aca="false">IF(C407="","",IFERROR(INDEX('Ingredient Catalog'!$C:$C,MATCH(C407,'Ingredient Catalog'!$A:$A,0)),"⚠ not in catalog"))</f>
        <v/>
      </c>
      <c r="G407" s="12" t="str">
        <f aca="false">IF(A407="","",COUNTIFS('Weekly Log'!$A:$A,'Grocery List'!$B$3,'Weekly Log'!$C:$C,A407,'Weekly Log'!$E:$E,"Yes"))</f>
        <v/>
      </c>
      <c r="H407" s="12" t="str">
        <f aca="false">IF(OR(A407="",D407=""),"",D407*G407)</f>
        <v/>
      </c>
    </row>
    <row r="408" customFormat="false" ht="15" hidden="false" customHeight="false" outlineLevel="0" collapsed="false">
      <c r="B408" s="12" t="str">
        <f aca="false">IF(A408="","",IFERROR(INDEX(Recipes!$B:$B,MATCH(A408,Recipes!$A:$A,0)),"⚠ unknown recipe_id"))</f>
        <v/>
      </c>
      <c r="E408" s="12" t="str">
        <f aca="false">IF(C408="","",IFERROR(INDEX('Ingredient Catalog'!$C:$C,MATCH(C408,'Ingredient Catalog'!$A:$A,0)),"⚠ not in catalog"))</f>
        <v/>
      </c>
      <c r="G408" s="12" t="str">
        <f aca="false">IF(A408="","",COUNTIFS('Weekly Log'!$A:$A,'Grocery List'!$B$3,'Weekly Log'!$C:$C,A408,'Weekly Log'!$E:$E,"Yes"))</f>
        <v/>
      </c>
      <c r="H408" s="12" t="str">
        <f aca="false">IF(OR(A408="",D408=""),"",D408*G408)</f>
        <v/>
      </c>
    </row>
    <row r="409" customFormat="false" ht="15" hidden="false" customHeight="false" outlineLevel="0" collapsed="false">
      <c r="B409" s="12" t="str">
        <f aca="false">IF(A409="","",IFERROR(INDEX(Recipes!$B:$B,MATCH(A409,Recipes!$A:$A,0)),"⚠ unknown recipe_id"))</f>
        <v/>
      </c>
      <c r="E409" s="12" t="str">
        <f aca="false">IF(C409="","",IFERROR(INDEX('Ingredient Catalog'!$C:$C,MATCH(C409,'Ingredient Catalog'!$A:$A,0)),"⚠ not in catalog"))</f>
        <v/>
      </c>
      <c r="G409" s="12" t="str">
        <f aca="false">IF(A409="","",COUNTIFS('Weekly Log'!$A:$A,'Grocery List'!$B$3,'Weekly Log'!$C:$C,A409,'Weekly Log'!$E:$E,"Yes"))</f>
        <v/>
      </c>
      <c r="H409" s="12" t="str">
        <f aca="false">IF(OR(A409="",D409=""),"",D409*G409)</f>
        <v/>
      </c>
    </row>
    <row r="410" customFormat="false" ht="15" hidden="false" customHeight="false" outlineLevel="0" collapsed="false">
      <c r="B410" s="12" t="str">
        <f aca="false">IF(A410="","",IFERROR(INDEX(Recipes!$B:$B,MATCH(A410,Recipes!$A:$A,0)),"⚠ unknown recipe_id"))</f>
        <v/>
      </c>
      <c r="E410" s="12" t="str">
        <f aca="false">IF(C410="","",IFERROR(INDEX('Ingredient Catalog'!$C:$C,MATCH(C410,'Ingredient Catalog'!$A:$A,0)),"⚠ not in catalog"))</f>
        <v/>
      </c>
      <c r="G410" s="12" t="str">
        <f aca="false">IF(A410="","",COUNTIFS('Weekly Log'!$A:$A,'Grocery List'!$B$3,'Weekly Log'!$C:$C,A410,'Weekly Log'!$E:$E,"Yes"))</f>
        <v/>
      </c>
      <c r="H410" s="12" t="str">
        <f aca="false">IF(OR(A410="",D410=""),"",D410*G410)</f>
        <v/>
      </c>
    </row>
    <row r="411" customFormat="false" ht="15" hidden="false" customHeight="false" outlineLevel="0" collapsed="false">
      <c r="B411" s="12" t="str">
        <f aca="false">IF(A411="","",IFERROR(INDEX(Recipes!$B:$B,MATCH(A411,Recipes!$A:$A,0)),"⚠ unknown recipe_id"))</f>
        <v/>
      </c>
      <c r="E411" s="12" t="str">
        <f aca="false">IF(C411="","",IFERROR(INDEX('Ingredient Catalog'!$C:$C,MATCH(C411,'Ingredient Catalog'!$A:$A,0)),"⚠ not in catalog"))</f>
        <v/>
      </c>
      <c r="G411" s="12" t="str">
        <f aca="false">IF(A411="","",COUNTIFS('Weekly Log'!$A:$A,'Grocery List'!$B$3,'Weekly Log'!$C:$C,A411,'Weekly Log'!$E:$E,"Yes"))</f>
        <v/>
      </c>
      <c r="H411" s="12" t="str">
        <f aca="false">IF(OR(A411="",D411=""),"",D411*G411)</f>
        <v/>
      </c>
    </row>
    <row r="412" customFormat="false" ht="15" hidden="false" customHeight="false" outlineLevel="0" collapsed="false">
      <c r="B412" s="12" t="str">
        <f aca="false">IF(A412="","",IFERROR(INDEX(Recipes!$B:$B,MATCH(A412,Recipes!$A:$A,0)),"⚠ unknown recipe_id"))</f>
        <v/>
      </c>
      <c r="E412" s="12" t="str">
        <f aca="false">IF(C412="","",IFERROR(INDEX('Ingredient Catalog'!$C:$C,MATCH(C412,'Ingredient Catalog'!$A:$A,0)),"⚠ not in catalog"))</f>
        <v/>
      </c>
      <c r="G412" s="12" t="str">
        <f aca="false">IF(A412="","",COUNTIFS('Weekly Log'!$A:$A,'Grocery List'!$B$3,'Weekly Log'!$C:$C,A412,'Weekly Log'!$E:$E,"Yes"))</f>
        <v/>
      </c>
      <c r="H412" s="12" t="str">
        <f aca="false">IF(OR(A412="",D412=""),"",D412*G412)</f>
        <v/>
      </c>
    </row>
    <row r="413" customFormat="false" ht="15" hidden="false" customHeight="false" outlineLevel="0" collapsed="false">
      <c r="B413" s="12" t="str">
        <f aca="false">IF(A413="","",IFERROR(INDEX(Recipes!$B:$B,MATCH(A413,Recipes!$A:$A,0)),"⚠ unknown recipe_id"))</f>
        <v/>
      </c>
      <c r="E413" s="12" t="str">
        <f aca="false">IF(C413="","",IFERROR(INDEX('Ingredient Catalog'!$C:$C,MATCH(C413,'Ingredient Catalog'!$A:$A,0)),"⚠ not in catalog"))</f>
        <v/>
      </c>
      <c r="G413" s="12" t="str">
        <f aca="false">IF(A413="","",COUNTIFS('Weekly Log'!$A:$A,'Grocery List'!$B$3,'Weekly Log'!$C:$C,A413,'Weekly Log'!$E:$E,"Yes"))</f>
        <v/>
      </c>
      <c r="H413" s="12" t="str">
        <f aca="false">IF(OR(A413="",D413=""),"",D413*G413)</f>
        <v/>
      </c>
    </row>
    <row r="414" customFormat="false" ht="15" hidden="false" customHeight="false" outlineLevel="0" collapsed="false">
      <c r="B414" s="12" t="str">
        <f aca="false">IF(A414="","",IFERROR(INDEX(Recipes!$B:$B,MATCH(A414,Recipes!$A:$A,0)),"⚠ unknown recipe_id"))</f>
        <v/>
      </c>
      <c r="E414" s="12" t="str">
        <f aca="false">IF(C414="","",IFERROR(INDEX('Ingredient Catalog'!$C:$C,MATCH(C414,'Ingredient Catalog'!$A:$A,0)),"⚠ not in catalog"))</f>
        <v/>
      </c>
      <c r="G414" s="12" t="str">
        <f aca="false">IF(A414="","",COUNTIFS('Weekly Log'!$A:$A,'Grocery List'!$B$3,'Weekly Log'!$C:$C,A414,'Weekly Log'!$E:$E,"Yes"))</f>
        <v/>
      </c>
      <c r="H414" s="12" t="str">
        <f aca="false">IF(OR(A414="",D414=""),"",D414*G414)</f>
        <v/>
      </c>
    </row>
    <row r="415" customFormat="false" ht="15" hidden="false" customHeight="false" outlineLevel="0" collapsed="false">
      <c r="B415" s="12" t="str">
        <f aca="false">IF(A415="","",IFERROR(INDEX(Recipes!$B:$B,MATCH(A415,Recipes!$A:$A,0)),"⚠ unknown recipe_id"))</f>
        <v/>
      </c>
      <c r="E415" s="12" t="str">
        <f aca="false">IF(C415="","",IFERROR(INDEX('Ingredient Catalog'!$C:$C,MATCH(C415,'Ingredient Catalog'!$A:$A,0)),"⚠ not in catalog"))</f>
        <v/>
      </c>
      <c r="G415" s="12" t="str">
        <f aca="false">IF(A415="","",COUNTIFS('Weekly Log'!$A:$A,'Grocery List'!$B$3,'Weekly Log'!$C:$C,A415,'Weekly Log'!$E:$E,"Yes"))</f>
        <v/>
      </c>
      <c r="H415" s="12" t="str">
        <f aca="false">IF(OR(A415="",D415=""),"",D415*G415)</f>
        <v/>
      </c>
    </row>
    <row r="416" customFormat="false" ht="15" hidden="false" customHeight="false" outlineLevel="0" collapsed="false">
      <c r="B416" s="12" t="str">
        <f aca="false">IF(A416="","",IFERROR(INDEX(Recipes!$B:$B,MATCH(A416,Recipes!$A:$A,0)),"⚠ unknown recipe_id"))</f>
        <v/>
      </c>
      <c r="E416" s="12" t="str">
        <f aca="false">IF(C416="","",IFERROR(INDEX('Ingredient Catalog'!$C:$C,MATCH(C416,'Ingredient Catalog'!$A:$A,0)),"⚠ not in catalog"))</f>
        <v/>
      </c>
      <c r="G416" s="12" t="str">
        <f aca="false">IF(A416="","",COUNTIFS('Weekly Log'!$A:$A,'Grocery List'!$B$3,'Weekly Log'!$C:$C,A416,'Weekly Log'!$E:$E,"Yes"))</f>
        <v/>
      </c>
      <c r="H416" s="12" t="str">
        <f aca="false">IF(OR(A416="",D416=""),"",D416*G416)</f>
        <v/>
      </c>
    </row>
    <row r="417" customFormat="false" ht="15" hidden="false" customHeight="false" outlineLevel="0" collapsed="false">
      <c r="B417" s="12" t="str">
        <f aca="false">IF(A417="","",IFERROR(INDEX(Recipes!$B:$B,MATCH(A417,Recipes!$A:$A,0)),"⚠ unknown recipe_id"))</f>
        <v/>
      </c>
      <c r="E417" s="12" t="str">
        <f aca="false">IF(C417="","",IFERROR(INDEX('Ingredient Catalog'!$C:$C,MATCH(C417,'Ingredient Catalog'!$A:$A,0)),"⚠ not in catalog"))</f>
        <v/>
      </c>
      <c r="G417" s="12" t="str">
        <f aca="false">IF(A417="","",COUNTIFS('Weekly Log'!$A:$A,'Grocery List'!$B$3,'Weekly Log'!$C:$C,A417,'Weekly Log'!$E:$E,"Yes"))</f>
        <v/>
      </c>
      <c r="H417" s="12" t="str">
        <f aca="false">IF(OR(A417="",D417=""),"",D417*G417)</f>
        <v/>
      </c>
    </row>
    <row r="418" customFormat="false" ht="15" hidden="false" customHeight="false" outlineLevel="0" collapsed="false">
      <c r="B418" s="12" t="str">
        <f aca="false">IF(A418="","",IFERROR(INDEX(Recipes!$B:$B,MATCH(A418,Recipes!$A:$A,0)),"⚠ unknown recipe_id"))</f>
        <v/>
      </c>
      <c r="E418" s="12" t="str">
        <f aca="false">IF(C418="","",IFERROR(INDEX('Ingredient Catalog'!$C:$C,MATCH(C418,'Ingredient Catalog'!$A:$A,0)),"⚠ not in catalog"))</f>
        <v/>
      </c>
      <c r="G418" s="12" t="str">
        <f aca="false">IF(A418="","",COUNTIFS('Weekly Log'!$A:$A,'Grocery List'!$B$3,'Weekly Log'!$C:$C,A418,'Weekly Log'!$E:$E,"Yes"))</f>
        <v/>
      </c>
      <c r="H418" s="12" t="str">
        <f aca="false">IF(OR(A418="",D418=""),"",D418*G418)</f>
        <v/>
      </c>
    </row>
    <row r="419" customFormat="false" ht="15" hidden="false" customHeight="false" outlineLevel="0" collapsed="false">
      <c r="B419" s="12" t="str">
        <f aca="false">IF(A419="","",IFERROR(INDEX(Recipes!$B:$B,MATCH(A419,Recipes!$A:$A,0)),"⚠ unknown recipe_id"))</f>
        <v/>
      </c>
      <c r="E419" s="12" t="str">
        <f aca="false">IF(C419="","",IFERROR(INDEX('Ingredient Catalog'!$C:$C,MATCH(C419,'Ingredient Catalog'!$A:$A,0)),"⚠ not in catalog"))</f>
        <v/>
      </c>
      <c r="G419" s="12" t="str">
        <f aca="false">IF(A419="","",COUNTIFS('Weekly Log'!$A:$A,'Grocery List'!$B$3,'Weekly Log'!$C:$C,A419,'Weekly Log'!$E:$E,"Yes"))</f>
        <v/>
      </c>
      <c r="H419" s="12" t="str">
        <f aca="false">IF(OR(A419="",D419=""),"",D419*G419)</f>
        <v/>
      </c>
    </row>
    <row r="420" customFormat="false" ht="15" hidden="false" customHeight="false" outlineLevel="0" collapsed="false">
      <c r="B420" s="12" t="str">
        <f aca="false">IF(A420="","",IFERROR(INDEX(Recipes!$B:$B,MATCH(A420,Recipes!$A:$A,0)),"⚠ unknown recipe_id"))</f>
        <v/>
      </c>
      <c r="E420" s="12" t="str">
        <f aca="false">IF(C420="","",IFERROR(INDEX('Ingredient Catalog'!$C:$C,MATCH(C420,'Ingredient Catalog'!$A:$A,0)),"⚠ not in catalog"))</f>
        <v/>
      </c>
      <c r="G420" s="12" t="str">
        <f aca="false">IF(A420="","",COUNTIFS('Weekly Log'!$A:$A,'Grocery List'!$B$3,'Weekly Log'!$C:$C,A420,'Weekly Log'!$E:$E,"Yes"))</f>
        <v/>
      </c>
      <c r="H420" s="12" t="str">
        <f aca="false">IF(OR(A420="",D420=""),"",D420*G420)</f>
        <v/>
      </c>
    </row>
    <row r="421" customFormat="false" ht="15" hidden="false" customHeight="false" outlineLevel="0" collapsed="false">
      <c r="B421" s="12" t="str">
        <f aca="false">IF(A421="","",IFERROR(INDEX(Recipes!$B:$B,MATCH(A421,Recipes!$A:$A,0)),"⚠ unknown recipe_id"))</f>
        <v/>
      </c>
      <c r="E421" s="12" t="str">
        <f aca="false">IF(C421="","",IFERROR(INDEX('Ingredient Catalog'!$C:$C,MATCH(C421,'Ingredient Catalog'!$A:$A,0)),"⚠ not in catalog"))</f>
        <v/>
      </c>
      <c r="G421" s="12" t="str">
        <f aca="false">IF(A421="","",COUNTIFS('Weekly Log'!$A:$A,'Grocery List'!$B$3,'Weekly Log'!$C:$C,A421,'Weekly Log'!$E:$E,"Yes"))</f>
        <v/>
      </c>
      <c r="H421" s="12" t="str">
        <f aca="false">IF(OR(A421="",D421=""),"",D421*G421)</f>
        <v/>
      </c>
    </row>
    <row r="422" customFormat="false" ht="15" hidden="false" customHeight="false" outlineLevel="0" collapsed="false">
      <c r="B422" s="12" t="str">
        <f aca="false">IF(A422="","",IFERROR(INDEX(Recipes!$B:$B,MATCH(A422,Recipes!$A:$A,0)),"⚠ unknown recipe_id"))</f>
        <v/>
      </c>
      <c r="E422" s="12" t="str">
        <f aca="false">IF(C422="","",IFERROR(INDEX('Ingredient Catalog'!$C:$C,MATCH(C422,'Ingredient Catalog'!$A:$A,0)),"⚠ not in catalog"))</f>
        <v/>
      </c>
      <c r="G422" s="12" t="str">
        <f aca="false">IF(A422="","",COUNTIFS('Weekly Log'!$A:$A,'Grocery List'!$B$3,'Weekly Log'!$C:$C,A422,'Weekly Log'!$E:$E,"Yes"))</f>
        <v/>
      </c>
      <c r="H422" s="12" t="str">
        <f aca="false">IF(OR(A422="",D422=""),"",D422*G422)</f>
        <v/>
      </c>
    </row>
    <row r="423" customFormat="false" ht="15" hidden="false" customHeight="false" outlineLevel="0" collapsed="false">
      <c r="B423" s="12" t="str">
        <f aca="false">IF(A423="","",IFERROR(INDEX(Recipes!$B:$B,MATCH(A423,Recipes!$A:$A,0)),"⚠ unknown recipe_id"))</f>
        <v/>
      </c>
      <c r="E423" s="12" t="str">
        <f aca="false">IF(C423="","",IFERROR(INDEX('Ingredient Catalog'!$C:$C,MATCH(C423,'Ingredient Catalog'!$A:$A,0)),"⚠ not in catalog"))</f>
        <v/>
      </c>
      <c r="G423" s="12" t="str">
        <f aca="false">IF(A423="","",COUNTIFS('Weekly Log'!$A:$A,'Grocery List'!$B$3,'Weekly Log'!$C:$C,A423,'Weekly Log'!$E:$E,"Yes"))</f>
        <v/>
      </c>
      <c r="H423" s="12" t="str">
        <f aca="false">IF(OR(A423="",D423=""),"",D423*G423)</f>
        <v/>
      </c>
    </row>
    <row r="424" customFormat="false" ht="15" hidden="false" customHeight="false" outlineLevel="0" collapsed="false">
      <c r="B424" s="12" t="str">
        <f aca="false">IF(A424="","",IFERROR(INDEX(Recipes!$B:$B,MATCH(A424,Recipes!$A:$A,0)),"⚠ unknown recipe_id"))</f>
        <v/>
      </c>
      <c r="E424" s="12" t="str">
        <f aca="false">IF(C424="","",IFERROR(INDEX('Ingredient Catalog'!$C:$C,MATCH(C424,'Ingredient Catalog'!$A:$A,0)),"⚠ not in catalog"))</f>
        <v/>
      </c>
      <c r="G424" s="12" t="str">
        <f aca="false">IF(A424="","",COUNTIFS('Weekly Log'!$A:$A,'Grocery List'!$B$3,'Weekly Log'!$C:$C,A424,'Weekly Log'!$E:$E,"Yes"))</f>
        <v/>
      </c>
      <c r="H424" s="12" t="str">
        <f aca="false">IF(OR(A424="",D424=""),"",D424*G424)</f>
        <v/>
      </c>
    </row>
    <row r="425" customFormat="false" ht="15" hidden="false" customHeight="false" outlineLevel="0" collapsed="false">
      <c r="B425" s="12" t="str">
        <f aca="false">IF(A425="","",IFERROR(INDEX(Recipes!$B:$B,MATCH(A425,Recipes!$A:$A,0)),"⚠ unknown recipe_id"))</f>
        <v/>
      </c>
      <c r="E425" s="12" t="str">
        <f aca="false">IF(C425="","",IFERROR(INDEX('Ingredient Catalog'!$C:$C,MATCH(C425,'Ingredient Catalog'!$A:$A,0)),"⚠ not in catalog"))</f>
        <v/>
      </c>
      <c r="G425" s="12" t="str">
        <f aca="false">IF(A425="","",COUNTIFS('Weekly Log'!$A:$A,'Grocery List'!$B$3,'Weekly Log'!$C:$C,A425,'Weekly Log'!$E:$E,"Yes"))</f>
        <v/>
      </c>
      <c r="H425" s="12" t="str">
        <f aca="false">IF(OR(A425="",D425=""),"",D425*G425)</f>
        <v/>
      </c>
    </row>
    <row r="426" customFormat="false" ht="15" hidden="false" customHeight="false" outlineLevel="0" collapsed="false">
      <c r="B426" s="12" t="str">
        <f aca="false">IF(A426="","",IFERROR(INDEX(Recipes!$B:$B,MATCH(A426,Recipes!$A:$A,0)),"⚠ unknown recipe_id"))</f>
        <v/>
      </c>
      <c r="E426" s="12" t="str">
        <f aca="false">IF(C426="","",IFERROR(INDEX('Ingredient Catalog'!$C:$C,MATCH(C426,'Ingredient Catalog'!$A:$A,0)),"⚠ not in catalog"))</f>
        <v/>
      </c>
      <c r="G426" s="12" t="str">
        <f aca="false">IF(A426="","",COUNTIFS('Weekly Log'!$A:$A,'Grocery List'!$B$3,'Weekly Log'!$C:$C,A426,'Weekly Log'!$E:$E,"Yes"))</f>
        <v/>
      </c>
      <c r="H426" s="12" t="str">
        <f aca="false">IF(OR(A426="",D426=""),"",D426*G426)</f>
        <v/>
      </c>
    </row>
    <row r="427" customFormat="false" ht="15" hidden="false" customHeight="false" outlineLevel="0" collapsed="false">
      <c r="B427" s="12" t="str">
        <f aca="false">IF(A427="","",IFERROR(INDEX(Recipes!$B:$B,MATCH(A427,Recipes!$A:$A,0)),"⚠ unknown recipe_id"))</f>
        <v/>
      </c>
      <c r="E427" s="12" t="str">
        <f aca="false">IF(C427="","",IFERROR(INDEX('Ingredient Catalog'!$C:$C,MATCH(C427,'Ingredient Catalog'!$A:$A,0)),"⚠ not in catalog"))</f>
        <v/>
      </c>
      <c r="G427" s="12" t="str">
        <f aca="false">IF(A427="","",COUNTIFS('Weekly Log'!$A:$A,'Grocery List'!$B$3,'Weekly Log'!$C:$C,A427,'Weekly Log'!$E:$E,"Yes"))</f>
        <v/>
      </c>
      <c r="H427" s="12" t="str">
        <f aca="false">IF(OR(A427="",D427=""),"",D427*G427)</f>
        <v/>
      </c>
    </row>
    <row r="428" customFormat="false" ht="15" hidden="false" customHeight="false" outlineLevel="0" collapsed="false">
      <c r="B428" s="12" t="str">
        <f aca="false">IF(A428="","",IFERROR(INDEX(Recipes!$B:$B,MATCH(A428,Recipes!$A:$A,0)),"⚠ unknown recipe_id"))</f>
        <v/>
      </c>
      <c r="E428" s="12" t="str">
        <f aca="false">IF(C428="","",IFERROR(INDEX('Ingredient Catalog'!$C:$C,MATCH(C428,'Ingredient Catalog'!$A:$A,0)),"⚠ not in catalog"))</f>
        <v/>
      </c>
      <c r="G428" s="12" t="str">
        <f aca="false">IF(A428="","",COUNTIFS('Weekly Log'!$A:$A,'Grocery List'!$B$3,'Weekly Log'!$C:$C,A428,'Weekly Log'!$E:$E,"Yes"))</f>
        <v/>
      </c>
      <c r="H428" s="12" t="str">
        <f aca="false">IF(OR(A428="",D428=""),"",D428*G428)</f>
        <v/>
      </c>
    </row>
    <row r="429" customFormat="false" ht="15" hidden="false" customHeight="false" outlineLevel="0" collapsed="false">
      <c r="B429" s="12" t="str">
        <f aca="false">IF(A429="","",IFERROR(INDEX(Recipes!$B:$B,MATCH(A429,Recipes!$A:$A,0)),"⚠ unknown recipe_id"))</f>
        <v/>
      </c>
      <c r="E429" s="12" t="str">
        <f aca="false">IF(C429="","",IFERROR(INDEX('Ingredient Catalog'!$C:$C,MATCH(C429,'Ingredient Catalog'!$A:$A,0)),"⚠ not in catalog"))</f>
        <v/>
      </c>
      <c r="G429" s="12" t="str">
        <f aca="false">IF(A429="","",COUNTIFS('Weekly Log'!$A:$A,'Grocery List'!$B$3,'Weekly Log'!$C:$C,A429,'Weekly Log'!$E:$E,"Yes"))</f>
        <v/>
      </c>
      <c r="H429" s="12" t="str">
        <f aca="false">IF(OR(A429="",D429=""),"",D429*G429)</f>
        <v/>
      </c>
    </row>
    <row r="430" customFormat="false" ht="15" hidden="false" customHeight="false" outlineLevel="0" collapsed="false">
      <c r="B430" s="12" t="str">
        <f aca="false">IF(A430="","",IFERROR(INDEX(Recipes!$B:$B,MATCH(A430,Recipes!$A:$A,0)),"⚠ unknown recipe_id"))</f>
        <v/>
      </c>
      <c r="E430" s="12" t="str">
        <f aca="false">IF(C430="","",IFERROR(INDEX('Ingredient Catalog'!$C:$C,MATCH(C430,'Ingredient Catalog'!$A:$A,0)),"⚠ not in catalog"))</f>
        <v/>
      </c>
      <c r="G430" s="12" t="str">
        <f aca="false">IF(A430="","",COUNTIFS('Weekly Log'!$A:$A,'Grocery List'!$B$3,'Weekly Log'!$C:$C,A430,'Weekly Log'!$E:$E,"Yes"))</f>
        <v/>
      </c>
      <c r="H430" s="12" t="str">
        <f aca="false">IF(OR(A430="",D430=""),"",D430*G430)</f>
        <v/>
      </c>
    </row>
    <row r="431" customFormat="false" ht="15" hidden="false" customHeight="false" outlineLevel="0" collapsed="false">
      <c r="B431" s="12" t="str">
        <f aca="false">IF(A431="","",IFERROR(INDEX(Recipes!$B:$B,MATCH(A431,Recipes!$A:$A,0)),"⚠ unknown recipe_id"))</f>
        <v/>
      </c>
      <c r="E431" s="12" t="str">
        <f aca="false">IF(C431="","",IFERROR(INDEX('Ingredient Catalog'!$C:$C,MATCH(C431,'Ingredient Catalog'!$A:$A,0)),"⚠ not in catalog"))</f>
        <v/>
      </c>
      <c r="G431" s="12" t="str">
        <f aca="false">IF(A431="","",COUNTIFS('Weekly Log'!$A:$A,'Grocery List'!$B$3,'Weekly Log'!$C:$C,A431,'Weekly Log'!$E:$E,"Yes"))</f>
        <v/>
      </c>
      <c r="H431" s="12" t="str">
        <f aca="false">IF(OR(A431="",D431=""),"",D431*G431)</f>
        <v/>
      </c>
    </row>
    <row r="432" customFormat="false" ht="15" hidden="false" customHeight="false" outlineLevel="0" collapsed="false">
      <c r="B432" s="12" t="str">
        <f aca="false">IF(A432="","",IFERROR(INDEX(Recipes!$B:$B,MATCH(A432,Recipes!$A:$A,0)),"⚠ unknown recipe_id"))</f>
        <v/>
      </c>
      <c r="E432" s="12" t="str">
        <f aca="false">IF(C432="","",IFERROR(INDEX('Ingredient Catalog'!$C:$C,MATCH(C432,'Ingredient Catalog'!$A:$A,0)),"⚠ not in catalog"))</f>
        <v/>
      </c>
      <c r="G432" s="12" t="str">
        <f aca="false">IF(A432="","",COUNTIFS('Weekly Log'!$A:$A,'Grocery List'!$B$3,'Weekly Log'!$C:$C,A432,'Weekly Log'!$E:$E,"Yes"))</f>
        <v/>
      </c>
      <c r="H432" s="12" t="str">
        <f aca="false">IF(OR(A432="",D432=""),"",D432*G432)</f>
        <v/>
      </c>
    </row>
    <row r="433" customFormat="false" ht="15" hidden="false" customHeight="false" outlineLevel="0" collapsed="false">
      <c r="B433" s="12" t="str">
        <f aca="false">IF(A433="","",IFERROR(INDEX(Recipes!$B:$B,MATCH(A433,Recipes!$A:$A,0)),"⚠ unknown recipe_id"))</f>
        <v/>
      </c>
      <c r="E433" s="12" t="str">
        <f aca="false">IF(C433="","",IFERROR(INDEX('Ingredient Catalog'!$C:$C,MATCH(C433,'Ingredient Catalog'!$A:$A,0)),"⚠ not in catalog"))</f>
        <v/>
      </c>
      <c r="G433" s="12" t="str">
        <f aca="false">IF(A433="","",COUNTIFS('Weekly Log'!$A:$A,'Grocery List'!$B$3,'Weekly Log'!$C:$C,A433,'Weekly Log'!$E:$E,"Yes"))</f>
        <v/>
      </c>
      <c r="H433" s="12" t="str">
        <f aca="false">IF(OR(A433="",D433=""),"",D433*G433)</f>
        <v/>
      </c>
    </row>
    <row r="434" customFormat="false" ht="15" hidden="false" customHeight="false" outlineLevel="0" collapsed="false">
      <c r="B434" s="12" t="str">
        <f aca="false">IF(A434="","",IFERROR(INDEX(Recipes!$B:$B,MATCH(A434,Recipes!$A:$A,0)),"⚠ unknown recipe_id"))</f>
        <v/>
      </c>
      <c r="E434" s="12" t="str">
        <f aca="false">IF(C434="","",IFERROR(INDEX('Ingredient Catalog'!$C:$C,MATCH(C434,'Ingredient Catalog'!$A:$A,0)),"⚠ not in catalog"))</f>
        <v/>
      </c>
      <c r="G434" s="12" t="str">
        <f aca="false">IF(A434="","",COUNTIFS('Weekly Log'!$A:$A,'Grocery List'!$B$3,'Weekly Log'!$C:$C,A434,'Weekly Log'!$E:$E,"Yes"))</f>
        <v/>
      </c>
      <c r="H434" s="12" t="str">
        <f aca="false">IF(OR(A434="",D434=""),"",D434*G434)</f>
        <v/>
      </c>
    </row>
    <row r="435" customFormat="false" ht="15" hidden="false" customHeight="false" outlineLevel="0" collapsed="false">
      <c r="B435" s="12" t="str">
        <f aca="false">IF(A435="","",IFERROR(INDEX(Recipes!$B:$B,MATCH(A435,Recipes!$A:$A,0)),"⚠ unknown recipe_id"))</f>
        <v/>
      </c>
      <c r="E435" s="12" t="str">
        <f aca="false">IF(C435="","",IFERROR(INDEX('Ingredient Catalog'!$C:$C,MATCH(C435,'Ingredient Catalog'!$A:$A,0)),"⚠ not in catalog"))</f>
        <v/>
      </c>
      <c r="G435" s="12" t="str">
        <f aca="false">IF(A435="","",COUNTIFS('Weekly Log'!$A:$A,'Grocery List'!$B$3,'Weekly Log'!$C:$C,A435,'Weekly Log'!$E:$E,"Yes"))</f>
        <v/>
      </c>
      <c r="H435" s="12" t="str">
        <f aca="false">IF(OR(A435="",D435=""),"",D435*G435)</f>
        <v/>
      </c>
    </row>
    <row r="436" customFormat="false" ht="15" hidden="false" customHeight="false" outlineLevel="0" collapsed="false">
      <c r="B436" s="12" t="str">
        <f aca="false">IF(A436="","",IFERROR(INDEX(Recipes!$B:$B,MATCH(A436,Recipes!$A:$A,0)),"⚠ unknown recipe_id"))</f>
        <v/>
      </c>
      <c r="E436" s="12" t="str">
        <f aca="false">IF(C436="","",IFERROR(INDEX('Ingredient Catalog'!$C:$C,MATCH(C436,'Ingredient Catalog'!$A:$A,0)),"⚠ not in catalog"))</f>
        <v/>
      </c>
      <c r="G436" s="12" t="str">
        <f aca="false">IF(A436="","",COUNTIFS('Weekly Log'!$A:$A,'Grocery List'!$B$3,'Weekly Log'!$C:$C,A436,'Weekly Log'!$E:$E,"Yes"))</f>
        <v/>
      </c>
      <c r="H436" s="12" t="str">
        <f aca="false">IF(OR(A436="",D436=""),"",D436*G436)</f>
        <v/>
      </c>
    </row>
    <row r="437" customFormat="false" ht="15" hidden="false" customHeight="false" outlineLevel="0" collapsed="false">
      <c r="B437" s="12" t="str">
        <f aca="false">IF(A437="","",IFERROR(INDEX(Recipes!$B:$B,MATCH(A437,Recipes!$A:$A,0)),"⚠ unknown recipe_id"))</f>
        <v/>
      </c>
      <c r="E437" s="12" t="str">
        <f aca="false">IF(C437="","",IFERROR(INDEX('Ingredient Catalog'!$C:$C,MATCH(C437,'Ingredient Catalog'!$A:$A,0)),"⚠ not in catalog"))</f>
        <v/>
      </c>
      <c r="G437" s="12" t="str">
        <f aca="false">IF(A437="","",COUNTIFS('Weekly Log'!$A:$A,'Grocery List'!$B$3,'Weekly Log'!$C:$C,A437,'Weekly Log'!$E:$E,"Yes"))</f>
        <v/>
      </c>
      <c r="H437" s="12" t="str">
        <f aca="false">IF(OR(A437="",D437=""),"",D437*G437)</f>
        <v/>
      </c>
    </row>
    <row r="438" customFormat="false" ht="15" hidden="false" customHeight="false" outlineLevel="0" collapsed="false">
      <c r="B438" s="12" t="str">
        <f aca="false">IF(A438="","",IFERROR(INDEX(Recipes!$B:$B,MATCH(A438,Recipes!$A:$A,0)),"⚠ unknown recipe_id"))</f>
        <v/>
      </c>
      <c r="E438" s="12" t="str">
        <f aca="false">IF(C438="","",IFERROR(INDEX('Ingredient Catalog'!$C:$C,MATCH(C438,'Ingredient Catalog'!$A:$A,0)),"⚠ not in catalog"))</f>
        <v/>
      </c>
      <c r="G438" s="12" t="str">
        <f aca="false">IF(A438="","",COUNTIFS('Weekly Log'!$A:$A,'Grocery List'!$B$3,'Weekly Log'!$C:$C,A438,'Weekly Log'!$E:$E,"Yes"))</f>
        <v/>
      </c>
      <c r="H438" s="12" t="str">
        <f aca="false">IF(OR(A438="",D438=""),"",D438*G438)</f>
        <v/>
      </c>
    </row>
    <row r="439" customFormat="false" ht="15" hidden="false" customHeight="false" outlineLevel="0" collapsed="false">
      <c r="B439" s="12" t="str">
        <f aca="false">IF(A439="","",IFERROR(INDEX(Recipes!$B:$B,MATCH(A439,Recipes!$A:$A,0)),"⚠ unknown recipe_id"))</f>
        <v/>
      </c>
      <c r="E439" s="12" t="str">
        <f aca="false">IF(C439="","",IFERROR(INDEX('Ingredient Catalog'!$C:$C,MATCH(C439,'Ingredient Catalog'!$A:$A,0)),"⚠ not in catalog"))</f>
        <v/>
      </c>
      <c r="G439" s="12" t="str">
        <f aca="false">IF(A439="","",COUNTIFS('Weekly Log'!$A:$A,'Grocery List'!$B$3,'Weekly Log'!$C:$C,A439,'Weekly Log'!$E:$E,"Yes"))</f>
        <v/>
      </c>
      <c r="H439" s="12" t="str">
        <f aca="false">IF(OR(A439="",D439=""),"",D439*G439)</f>
        <v/>
      </c>
    </row>
    <row r="440" customFormat="false" ht="15" hidden="false" customHeight="false" outlineLevel="0" collapsed="false">
      <c r="B440" s="12" t="str">
        <f aca="false">IF(A440="","",IFERROR(INDEX(Recipes!$B:$B,MATCH(A440,Recipes!$A:$A,0)),"⚠ unknown recipe_id"))</f>
        <v/>
      </c>
      <c r="E440" s="12" t="str">
        <f aca="false">IF(C440="","",IFERROR(INDEX('Ingredient Catalog'!$C:$C,MATCH(C440,'Ingredient Catalog'!$A:$A,0)),"⚠ not in catalog"))</f>
        <v/>
      </c>
      <c r="G440" s="12" t="str">
        <f aca="false">IF(A440="","",COUNTIFS('Weekly Log'!$A:$A,'Grocery List'!$B$3,'Weekly Log'!$C:$C,A440,'Weekly Log'!$E:$E,"Yes"))</f>
        <v/>
      </c>
      <c r="H440" s="12" t="str">
        <f aca="false">IF(OR(A440="",D440=""),"",D440*G440)</f>
        <v/>
      </c>
    </row>
    <row r="441" customFormat="false" ht="15" hidden="false" customHeight="false" outlineLevel="0" collapsed="false">
      <c r="B441" s="12" t="str">
        <f aca="false">IF(A441="","",IFERROR(INDEX(Recipes!$B:$B,MATCH(A441,Recipes!$A:$A,0)),"⚠ unknown recipe_id"))</f>
        <v/>
      </c>
      <c r="E441" s="12" t="str">
        <f aca="false">IF(C441="","",IFERROR(INDEX('Ingredient Catalog'!$C:$C,MATCH(C441,'Ingredient Catalog'!$A:$A,0)),"⚠ not in catalog"))</f>
        <v/>
      </c>
      <c r="G441" s="12" t="str">
        <f aca="false">IF(A441="","",COUNTIFS('Weekly Log'!$A:$A,'Grocery List'!$B$3,'Weekly Log'!$C:$C,A441,'Weekly Log'!$E:$E,"Yes"))</f>
        <v/>
      </c>
      <c r="H441" s="12" t="str">
        <f aca="false">IF(OR(A441="",D441=""),"",D441*G441)</f>
        <v/>
      </c>
    </row>
    <row r="442" customFormat="false" ht="15" hidden="false" customHeight="false" outlineLevel="0" collapsed="false">
      <c r="B442" s="12" t="str">
        <f aca="false">IF(A442="","",IFERROR(INDEX(Recipes!$B:$B,MATCH(A442,Recipes!$A:$A,0)),"⚠ unknown recipe_id"))</f>
        <v/>
      </c>
      <c r="E442" s="12" t="str">
        <f aca="false">IF(C442="","",IFERROR(INDEX('Ingredient Catalog'!$C:$C,MATCH(C442,'Ingredient Catalog'!$A:$A,0)),"⚠ not in catalog"))</f>
        <v/>
      </c>
      <c r="G442" s="12" t="str">
        <f aca="false">IF(A442="","",COUNTIFS('Weekly Log'!$A:$A,'Grocery List'!$B$3,'Weekly Log'!$C:$C,A442,'Weekly Log'!$E:$E,"Yes"))</f>
        <v/>
      </c>
      <c r="H442" s="12" t="str">
        <f aca="false">IF(OR(A442="",D442=""),"",D442*G442)</f>
        <v/>
      </c>
    </row>
    <row r="443" customFormat="false" ht="15" hidden="false" customHeight="false" outlineLevel="0" collapsed="false">
      <c r="B443" s="12" t="str">
        <f aca="false">IF(A443="","",IFERROR(INDEX(Recipes!$B:$B,MATCH(A443,Recipes!$A:$A,0)),"⚠ unknown recipe_id"))</f>
        <v/>
      </c>
      <c r="E443" s="12" t="str">
        <f aca="false">IF(C443="","",IFERROR(INDEX('Ingredient Catalog'!$C:$C,MATCH(C443,'Ingredient Catalog'!$A:$A,0)),"⚠ not in catalog"))</f>
        <v/>
      </c>
      <c r="G443" s="12" t="str">
        <f aca="false">IF(A443="","",COUNTIFS('Weekly Log'!$A:$A,'Grocery List'!$B$3,'Weekly Log'!$C:$C,A443,'Weekly Log'!$E:$E,"Yes"))</f>
        <v/>
      </c>
      <c r="H443" s="12" t="str">
        <f aca="false">IF(OR(A443="",D443=""),"",D443*G443)</f>
        <v/>
      </c>
    </row>
    <row r="444" customFormat="false" ht="15" hidden="false" customHeight="false" outlineLevel="0" collapsed="false">
      <c r="B444" s="12" t="str">
        <f aca="false">IF(A444="","",IFERROR(INDEX(Recipes!$B:$B,MATCH(A444,Recipes!$A:$A,0)),"⚠ unknown recipe_id"))</f>
        <v/>
      </c>
      <c r="E444" s="12" t="str">
        <f aca="false">IF(C444="","",IFERROR(INDEX('Ingredient Catalog'!$C:$C,MATCH(C444,'Ingredient Catalog'!$A:$A,0)),"⚠ not in catalog"))</f>
        <v/>
      </c>
      <c r="G444" s="12" t="str">
        <f aca="false">IF(A444="","",COUNTIFS('Weekly Log'!$A:$A,'Grocery List'!$B$3,'Weekly Log'!$C:$C,A444,'Weekly Log'!$E:$E,"Yes"))</f>
        <v/>
      </c>
      <c r="H444" s="12" t="str">
        <f aca="false">IF(OR(A444="",D444=""),"",D444*G444)</f>
        <v/>
      </c>
    </row>
    <row r="445" customFormat="false" ht="15" hidden="false" customHeight="false" outlineLevel="0" collapsed="false">
      <c r="B445" s="12" t="str">
        <f aca="false">IF(A445="","",IFERROR(INDEX(Recipes!$B:$B,MATCH(A445,Recipes!$A:$A,0)),"⚠ unknown recipe_id"))</f>
        <v/>
      </c>
      <c r="E445" s="12" t="str">
        <f aca="false">IF(C445="","",IFERROR(INDEX('Ingredient Catalog'!$C:$C,MATCH(C445,'Ingredient Catalog'!$A:$A,0)),"⚠ not in catalog"))</f>
        <v/>
      </c>
      <c r="G445" s="12" t="str">
        <f aca="false">IF(A445="","",COUNTIFS('Weekly Log'!$A:$A,'Grocery List'!$B$3,'Weekly Log'!$C:$C,A445,'Weekly Log'!$E:$E,"Yes"))</f>
        <v/>
      </c>
      <c r="H445" s="12" t="str">
        <f aca="false">IF(OR(A445="",D445=""),"",D445*G445)</f>
        <v/>
      </c>
    </row>
    <row r="446" customFormat="false" ht="15" hidden="false" customHeight="false" outlineLevel="0" collapsed="false">
      <c r="B446" s="12" t="str">
        <f aca="false">IF(A446="","",IFERROR(INDEX(Recipes!$B:$B,MATCH(A446,Recipes!$A:$A,0)),"⚠ unknown recipe_id"))</f>
        <v/>
      </c>
      <c r="E446" s="12" t="str">
        <f aca="false">IF(C446="","",IFERROR(INDEX('Ingredient Catalog'!$C:$C,MATCH(C446,'Ingredient Catalog'!$A:$A,0)),"⚠ not in catalog"))</f>
        <v/>
      </c>
      <c r="G446" s="12" t="str">
        <f aca="false">IF(A446="","",COUNTIFS('Weekly Log'!$A:$A,'Grocery List'!$B$3,'Weekly Log'!$C:$C,A446,'Weekly Log'!$E:$E,"Yes"))</f>
        <v/>
      </c>
      <c r="H446" s="12" t="str">
        <f aca="false">IF(OR(A446="",D446=""),"",D446*G446)</f>
        <v/>
      </c>
    </row>
    <row r="447" customFormat="false" ht="15" hidden="false" customHeight="false" outlineLevel="0" collapsed="false">
      <c r="B447" s="12" t="str">
        <f aca="false">IF(A447="","",IFERROR(INDEX(Recipes!$B:$B,MATCH(A447,Recipes!$A:$A,0)),"⚠ unknown recipe_id"))</f>
        <v/>
      </c>
      <c r="E447" s="12" t="str">
        <f aca="false">IF(C447="","",IFERROR(INDEX('Ingredient Catalog'!$C:$C,MATCH(C447,'Ingredient Catalog'!$A:$A,0)),"⚠ not in catalog"))</f>
        <v/>
      </c>
      <c r="G447" s="12" t="str">
        <f aca="false">IF(A447="","",COUNTIFS('Weekly Log'!$A:$A,'Grocery List'!$B$3,'Weekly Log'!$C:$C,A447,'Weekly Log'!$E:$E,"Yes"))</f>
        <v/>
      </c>
      <c r="H447" s="12" t="str">
        <f aca="false">IF(OR(A447="",D447=""),"",D447*G447)</f>
        <v/>
      </c>
    </row>
    <row r="448" customFormat="false" ht="15" hidden="false" customHeight="false" outlineLevel="0" collapsed="false">
      <c r="B448" s="12" t="str">
        <f aca="false">IF(A448="","",IFERROR(INDEX(Recipes!$B:$B,MATCH(A448,Recipes!$A:$A,0)),"⚠ unknown recipe_id"))</f>
        <v/>
      </c>
      <c r="E448" s="12" t="str">
        <f aca="false">IF(C448="","",IFERROR(INDEX('Ingredient Catalog'!$C:$C,MATCH(C448,'Ingredient Catalog'!$A:$A,0)),"⚠ not in catalog"))</f>
        <v/>
      </c>
      <c r="G448" s="12" t="str">
        <f aca="false">IF(A448="","",COUNTIFS('Weekly Log'!$A:$A,'Grocery List'!$B$3,'Weekly Log'!$C:$C,A448,'Weekly Log'!$E:$E,"Yes"))</f>
        <v/>
      </c>
      <c r="H448" s="12" t="str">
        <f aca="false">IF(OR(A448="",D448=""),"",D448*G448)</f>
        <v/>
      </c>
    </row>
    <row r="449" customFormat="false" ht="15" hidden="false" customHeight="false" outlineLevel="0" collapsed="false">
      <c r="B449" s="12" t="str">
        <f aca="false">IF(A449="","",IFERROR(INDEX(Recipes!$B:$B,MATCH(A449,Recipes!$A:$A,0)),"⚠ unknown recipe_id"))</f>
        <v/>
      </c>
      <c r="E449" s="12" t="str">
        <f aca="false">IF(C449="","",IFERROR(INDEX('Ingredient Catalog'!$C:$C,MATCH(C449,'Ingredient Catalog'!$A:$A,0)),"⚠ not in catalog"))</f>
        <v/>
      </c>
      <c r="G449" s="12" t="str">
        <f aca="false">IF(A449="","",COUNTIFS('Weekly Log'!$A:$A,'Grocery List'!$B$3,'Weekly Log'!$C:$C,A449,'Weekly Log'!$E:$E,"Yes"))</f>
        <v/>
      </c>
      <c r="H449" s="12" t="str">
        <f aca="false">IF(OR(A449="",D449=""),"",D449*G449)</f>
        <v/>
      </c>
    </row>
    <row r="450" customFormat="false" ht="15" hidden="false" customHeight="false" outlineLevel="0" collapsed="false">
      <c r="B450" s="12" t="str">
        <f aca="false">IF(A450="","",IFERROR(INDEX(Recipes!$B:$B,MATCH(A450,Recipes!$A:$A,0)),"⚠ unknown recipe_id"))</f>
        <v/>
      </c>
      <c r="E450" s="12" t="str">
        <f aca="false">IF(C450="","",IFERROR(INDEX('Ingredient Catalog'!$C:$C,MATCH(C450,'Ingredient Catalog'!$A:$A,0)),"⚠ not in catalog"))</f>
        <v/>
      </c>
      <c r="G450" s="12" t="str">
        <f aca="false">IF(A450="","",COUNTIFS('Weekly Log'!$A:$A,'Grocery List'!$B$3,'Weekly Log'!$C:$C,A450,'Weekly Log'!$E:$E,"Yes"))</f>
        <v/>
      </c>
      <c r="H450" s="12" t="str">
        <f aca="false">IF(OR(A450="",D450=""),"",D450*G450)</f>
        <v/>
      </c>
    </row>
    <row r="451" customFormat="false" ht="15" hidden="false" customHeight="false" outlineLevel="0" collapsed="false">
      <c r="B451" s="12" t="str">
        <f aca="false">IF(A451="","",IFERROR(INDEX(Recipes!$B:$B,MATCH(A451,Recipes!$A:$A,0)),"⚠ unknown recipe_id"))</f>
        <v/>
      </c>
      <c r="E451" s="12" t="str">
        <f aca="false">IF(C451="","",IFERROR(INDEX('Ingredient Catalog'!$C:$C,MATCH(C451,'Ingredient Catalog'!$A:$A,0)),"⚠ not in catalog"))</f>
        <v/>
      </c>
      <c r="G451" s="12" t="str">
        <f aca="false">IF(A451="","",COUNTIFS('Weekly Log'!$A:$A,'Grocery List'!$B$3,'Weekly Log'!$C:$C,A451,'Weekly Log'!$E:$E,"Yes"))</f>
        <v/>
      </c>
      <c r="H451" s="12" t="str">
        <f aca="false">IF(OR(A451="",D451=""),"",D451*G451)</f>
        <v/>
      </c>
    </row>
    <row r="452" customFormat="false" ht="15" hidden="false" customHeight="false" outlineLevel="0" collapsed="false">
      <c r="B452" s="12" t="str">
        <f aca="false">IF(A452="","",IFERROR(INDEX(Recipes!$B:$B,MATCH(A452,Recipes!$A:$A,0)),"⚠ unknown recipe_id"))</f>
        <v/>
      </c>
      <c r="E452" s="12" t="str">
        <f aca="false">IF(C452="","",IFERROR(INDEX('Ingredient Catalog'!$C:$C,MATCH(C452,'Ingredient Catalog'!$A:$A,0)),"⚠ not in catalog"))</f>
        <v/>
      </c>
      <c r="G452" s="12" t="str">
        <f aca="false">IF(A452="","",COUNTIFS('Weekly Log'!$A:$A,'Grocery List'!$B$3,'Weekly Log'!$C:$C,A452,'Weekly Log'!$E:$E,"Yes"))</f>
        <v/>
      </c>
      <c r="H452" s="12" t="str">
        <f aca="false">IF(OR(A452="",D452=""),"",D452*G452)</f>
        <v/>
      </c>
    </row>
    <row r="453" customFormat="false" ht="15" hidden="false" customHeight="false" outlineLevel="0" collapsed="false">
      <c r="B453" s="12" t="str">
        <f aca="false">IF(A453="","",IFERROR(INDEX(Recipes!$B:$B,MATCH(A453,Recipes!$A:$A,0)),"⚠ unknown recipe_id"))</f>
        <v/>
      </c>
      <c r="E453" s="12" t="str">
        <f aca="false">IF(C453="","",IFERROR(INDEX('Ingredient Catalog'!$C:$C,MATCH(C453,'Ingredient Catalog'!$A:$A,0)),"⚠ not in catalog"))</f>
        <v/>
      </c>
      <c r="G453" s="12" t="str">
        <f aca="false">IF(A453="","",COUNTIFS('Weekly Log'!$A:$A,'Grocery List'!$B$3,'Weekly Log'!$C:$C,A453,'Weekly Log'!$E:$E,"Yes"))</f>
        <v/>
      </c>
      <c r="H453" s="12" t="str">
        <f aca="false">IF(OR(A453="",D453=""),"",D453*G453)</f>
        <v/>
      </c>
    </row>
    <row r="454" customFormat="false" ht="15" hidden="false" customHeight="false" outlineLevel="0" collapsed="false">
      <c r="B454" s="12" t="str">
        <f aca="false">IF(A454="","",IFERROR(INDEX(Recipes!$B:$B,MATCH(A454,Recipes!$A:$A,0)),"⚠ unknown recipe_id"))</f>
        <v/>
      </c>
      <c r="E454" s="12" t="str">
        <f aca="false">IF(C454="","",IFERROR(INDEX('Ingredient Catalog'!$C:$C,MATCH(C454,'Ingredient Catalog'!$A:$A,0)),"⚠ not in catalog"))</f>
        <v/>
      </c>
      <c r="G454" s="12" t="str">
        <f aca="false">IF(A454="","",COUNTIFS('Weekly Log'!$A:$A,'Grocery List'!$B$3,'Weekly Log'!$C:$C,A454,'Weekly Log'!$E:$E,"Yes"))</f>
        <v/>
      </c>
      <c r="H454" s="12" t="str">
        <f aca="false">IF(OR(A454="",D454=""),"",D454*G454)</f>
        <v/>
      </c>
    </row>
    <row r="455" customFormat="false" ht="15" hidden="false" customHeight="false" outlineLevel="0" collapsed="false">
      <c r="B455" s="12" t="str">
        <f aca="false">IF(A455="","",IFERROR(INDEX(Recipes!$B:$B,MATCH(A455,Recipes!$A:$A,0)),"⚠ unknown recipe_id"))</f>
        <v/>
      </c>
      <c r="E455" s="12" t="str">
        <f aca="false">IF(C455="","",IFERROR(INDEX('Ingredient Catalog'!$C:$C,MATCH(C455,'Ingredient Catalog'!$A:$A,0)),"⚠ not in catalog"))</f>
        <v/>
      </c>
      <c r="G455" s="12" t="str">
        <f aca="false">IF(A455="","",COUNTIFS('Weekly Log'!$A:$A,'Grocery List'!$B$3,'Weekly Log'!$C:$C,A455,'Weekly Log'!$E:$E,"Yes"))</f>
        <v/>
      </c>
      <c r="H455" s="12" t="str">
        <f aca="false">IF(OR(A455="",D455=""),"",D455*G455)</f>
        <v/>
      </c>
    </row>
    <row r="456" customFormat="false" ht="15" hidden="false" customHeight="false" outlineLevel="0" collapsed="false">
      <c r="B456" s="12" t="str">
        <f aca="false">IF(A456="","",IFERROR(INDEX(Recipes!$B:$B,MATCH(A456,Recipes!$A:$A,0)),"⚠ unknown recipe_id"))</f>
        <v/>
      </c>
      <c r="E456" s="12" t="str">
        <f aca="false">IF(C456="","",IFERROR(INDEX('Ingredient Catalog'!$C:$C,MATCH(C456,'Ingredient Catalog'!$A:$A,0)),"⚠ not in catalog"))</f>
        <v/>
      </c>
      <c r="G456" s="12" t="str">
        <f aca="false">IF(A456="","",COUNTIFS('Weekly Log'!$A:$A,'Grocery List'!$B$3,'Weekly Log'!$C:$C,A456,'Weekly Log'!$E:$E,"Yes"))</f>
        <v/>
      </c>
      <c r="H456" s="12" t="str">
        <f aca="false">IF(OR(A456="",D456=""),"",D456*G456)</f>
        <v/>
      </c>
    </row>
    <row r="457" customFormat="false" ht="15" hidden="false" customHeight="false" outlineLevel="0" collapsed="false">
      <c r="B457" s="12" t="str">
        <f aca="false">IF(A457="","",IFERROR(INDEX(Recipes!$B:$B,MATCH(A457,Recipes!$A:$A,0)),"⚠ unknown recipe_id"))</f>
        <v/>
      </c>
      <c r="E457" s="12" t="str">
        <f aca="false">IF(C457="","",IFERROR(INDEX('Ingredient Catalog'!$C:$C,MATCH(C457,'Ingredient Catalog'!$A:$A,0)),"⚠ not in catalog"))</f>
        <v/>
      </c>
      <c r="G457" s="12" t="str">
        <f aca="false">IF(A457="","",COUNTIFS('Weekly Log'!$A:$A,'Grocery List'!$B$3,'Weekly Log'!$C:$C,A457,'Weekly Log'!$E:$E,"Yes"))</f>
        <v/>
      </c>
      <c r="H457" s="12" t="str">
        <f aca="false">IF(OR(A457="",D457=""),"",D457*G457)</f>
        <v/>
      </c>
    </row>
    <row r="458" customFormat="false" ht="15" hidden="false" customHeight="false" outlineLevel="0" collapsed="false">
      <c r="B458" s="12" t="str">
        <f aca="false">IF(A458="","",IFERROR(INDEX(Recipes!$B:$B,MATCH(A458,Recipes!$A:$A,0)),"⚠ unknown recipe_id"))</f>
        <v/>
      </c>
      <c r="E458" s="12" t="str">
        <f aca="false">IF(C458="","",IFERROR(INDEX('Ingredient Catalog'!$C:$C,MATCH(C458,'Ingredient Catalog'!$A:$A,0)),"⚠ not in catalog"))</f>
        <v/>
      </c>
      <c r="G458" s="12" t="str">
        <f aca="false">IF(A458="","",COUNTIFS('Weekly Log'!$A:$A,'Grocery List'!$B$3,'Weekly Log'!$C:$C,A458,'Weekly Log'!$E:$E,"Yes"))</f>
        <v/>
      </c>
      <c r="H458" s="12" t="str">
        <f aca="false">IF(OR(A458="",D458=""),"",D458*G458)</f>
        <v/>
      </c>
    </row>
    <row r="459" customFormat="false" ht="15" hidden="false" customHeight="false" outlineLevel="0" collapsed="false">
      <c r="B459" s="12" t="str">
        <f aca="false">IF(A459="","",IFERROR(INDEX(Recipes!$B:$B,MATCH(A459,Recipes!$A:$A,0)),"⚠ unknown recipe_id"))</f>
        <v/>
      </c>
      <c r="E459" s="12" t="str">
        <f aca="false">IF(C459="","",IFERROR(INDEX('Ingredient Catalog'!$C:$C,MATCH(C459,'Ingredient Catalog'!$A:$A,0)),"⚠ not in catalog"))</f>
        <v/>
      </c>
      <c r="G459" s="12" t="str">
        <f aca="false">IF(A459="","",COUNTIFS('Weekly Log'!$A:$A,'Grocery List'!$B$3,'Weekly Log'!$C:$C,A459,'Weekly Log'!$E:$E,"Yes"))</f>
        <v/>
      </c>
      <c r="H459" s="12" t="str">
        <f aca="false">IF(OR(A459="",D459=""),"",D459*G459)</f>
        <v/>
      </c>
    </row>
    <row r="460" customFormat="false" ht="15" hidden="false" customHeight="false" outlineLevel="0" collapsed="false">
      <c r="B460" s="12" t="str">
        <f aca="false">IF(A460="","",IFERROR(INDEX(Recipes!$B:$B,MATCH(A460,Recipes!$A:$A,0)),"⚠ unknown recipe_id"))</f>
        <v/>
      </c>
      <c r="E460" s="12" t="str">
        <f aca="false">IF(C460="","",IFERROR(INDEX('Ingredient Catalog'!$C:$C,MATCH(C460,'Ingredient Catalog'!$A:$A,0)),"⚠ not in catalog"))</f>
        <v/>
      </c>
      <c r="G460" s="12" t="str">
        <f aca="false">IF(A460="","",COUNTIFS('Weekly Log'!$A:$A,'Grocery List'!$B$3,'Weekly Log'!$C:$C,A460,'Weekly Log'!$E:$E,"Yes"))</f>
        <v/>
      </c>
      <c r="H460" s="12" t="str">
        <f aca="false">IF(OR(A460="",D460=""),"",D460*G460)</f>
        <v/>
      </c>
    </row>
    <row r="461" customFormat="false" ht="15" hidden="false" customHeight="false" outlineLevel="0" collapsed="false">
      <c r="B461" s="12" t="str">
        <f aca="false">IF(A461="","",IFERROR(INDEX(Recipes!$B:$B,MATCH(A461,Recipes!$A:$A,0)),"⚠ unknown recipe_id"))</f>
        <v/>
      </c>
      <c r="E461" s="12" t="str">
        <f aca="false">IF(C461="","",IFERROR(INDEX('Ingredient Catalog'!$C:$C,MATCH(C461,'Ingredient Catalog'!$A:$A,0)),"⚠ not in catalog"))</f>
        <v/>
      </c>
      <c r="G461" s="12" t="str">
        <f aca="false">IF(A461="","",COUNTIFS('Weekly Log'!$A:$A,'Grocery List'!$B$3,'Weekly Log'!$C:$C,A461,'Weekly Log'!$E:$E,"Yes"))</f>
        <v/>
      </c>
      <c r="H461" s="12" t="str">
        <f aca="false">IF(OR(A461="",D461=""),"",D461*G461)</f>
        <v/>
      </c>
    </row>
    <row r="462" customFormat="false" ht="15" hidden="false" customHeight="false" outlineLevel="0" collapsed="false">
      <c r="B462" s="12" t="str">
        <f aca="false">IF(A462="","",IFERROR(INDEX(Recipes!$B:$B,MATCH(A462,Recipes!$A:$A,0)),"⚠ unknown recipe_id"))</f>
        <v/>
      </c>
      <c r="E462" s="12" t="str">
        <f aca="false">IF(C462="","",IFERROR(INDEX('Ingredient Catalog'!$C:$C,MATCH(C462,'Ingredient Catalog'!$A:$A,0)),"⚠ not in catalog"))</f>
        <v/>
      </c>
      <c r="G462" s="12" t="str">
        <f aca="false">IF(A462="","",COUNTIFS('Weekly Log'!$A:$A,'Grocery List'!$B$3,'Weekly Log'!$C:$C,A462,'Weekly Log'!$E:$E,"Yes"))</f>
        <v/>
      </c>
      <c r="H462" s="12" t="str">
        <f aca="false">IF(OR(A462="",D462=""),"",D462*G462)</f>
        <v/>
      </c>
    </row>
    <row r="463" customFormat="false" ht="15" hidden="false" customHeight="false" outlineLevel="0" collapsed="false">
      <c r="B463" s="12" t="str">
        <f aca="false">IF(A463="","",IFERROR(INDEX(Recipes!$B:$B,MATCH(A463,Recipes!$A:$A,0)),"⚠ unknown recipe_id"))</f>
        <v/>
      </c>
      <c r="E463" s="12" t="str">
        <f aca="false">IF(C463="","",IFERROR(INDEX('Ingredient Catalog'!$C:$C,MATCH(C463,'Ingredient Catalog'!$A:$A,0)),"⚠ not in catalog"))</f>
        <v/>
      </c>
      <c r="G463" s="12" t="str">
        <f aca="false">IF(A463="","",COUNTIFS('Weekly Log'!$A:$A,'Grocery List'!$B$3,'Weekly Log'!$C:$C,A463,'Weekly Log'!$E:$E,"Yes"))</f>
        <v/>
      </c>
      <c r="H463" s="12" t="str">
        <f aca="false">IF(OR(A463="",D463=""),"",D463*G463)</f>
        <v/>
      </c>
    </row>
    <row r="464" customFormat="false" ht="15" hidden="false" customHeight="false" outlineLevel="0" collapsed="false">
      <c r="B464" s="12" t="str">
        <f aca="false">IF(A464="","",IFERROR(INDEX(Recipes!$B:$B,MATCH(A464,Recipes!$A:$A,0)),"⚠ unknown recipe_id"))</f>
        <v/>
      </c>
      <c r="E464" s="12" t="str">
        <f aca="false">IF(C464="","",IFERROR(INDEX('Ingredient Catalog'!$C:$C,MATCH(C464,'Ingredient Catalog'!$A:$A,0)),"⚠ not in catalog"))</f>
        <v/>
      </c>
      <c r="G464" s="12" t="str">
        <f aca="false">IF(A464="","",COUNTIFS('Weekly Log'!$A:$A,'Grocery List'!$B$3,'Weekly Log'!$C:$C,A464,'Weekly Log'!$E:$E,"Yes"))</f>
        <v/>
      </c>
      <c r="H464" s="12" t="str">
        <f aca="false">IF(OR(A464="",D464=""),"",D464*G464)</f>
        <v/>
      </c>
    </row>
    <row r="465" customFormat="false" ht="15" hidden="false" customHeight="false" outlineLevel="0" collapsed="false">
      <c r="B465" s="12" t="str">
        <f aca="false">IF(A465="","",IFERROR(INDEX(Recipes!$B:$B,MATCH(A465,Recipes!$A:$A,0)),"⚠ unknown recipe_id"))</f>
        <v/>
      </c>
      <c r="E465" s="12" t="str">
        <f aca="false">IF(C465="","",IFERROR(INDEX('Ingredient Catalog'!$C:$C,MATCH(C465,'Ingredient Catalog'!$A:$A,0)),"⚠ not in catalog"))</f>
        <v/>
      </c>
      <c r="G465" s="12" t="str">
        <f aca="false">IF(A465="","",COUNTIFS('Weekly Log'!$A:$A,'Grocery List'!$B$3,'Weekly Log'!$C:$C,A465,'Weekly Log'!$E:$E,"Yes"))</f>
        <v/>
      </c>
      <c r="H465" s="12" t="str">
        <f aca="false">IF(OR(A465="",D465=""),"",D465*G465)</f>
        <v/>
      </c>
    </row>
    <row r="466" customFormat="false" ht="15" hidden="false" customHeight="false" outlineLevel="0" collapsed="false">
      <c r="B466" s="12" t="str">
        <f aca="false">IF(A466="","",IFERROR(INDEX(Recipes!$B:$B,MATCH(A466,Recipes!$A:$A,0)),"⚠ unknown recipe_id"))</f>
        <v/>
      </c>
      <c r="E466" s="12" t="str">
        <f aca="false">IF(C466="","",IFERROR(INDEX('Ingredient Catalog'!$C:$C,MATCH(C466,'Ingredient Catalog'!$A:$A,0)),"⚠ not in catalog"))</f>
        <v/>
      </c>
      <c r="G466" s="12" t="str">
        <f aca="false">IF(A466="","",COUNTIFS('Weekly Log'!$A:$A,'Grocery List'!$B$3,'Weekly Log'!$C:$C,A466,'Weekly Log'!$E:$E,"Yes"))</f>
        <v/>
      </c>
      <c r="H466" s="12" t="str">
        <f aca="false">IF(OR(A466="",D466=""),"",D466*G466)</f>
        <v/>
      </c>
    </row>
    <row r="467" customFormat="false" ht="15" hidden="false" customHeight="false" outlineLevel="0" collapsed="false">
      <c r="B467" s="12" t="str">
        <f aca="false">IF(A467="","",IFERROR(INDEX(Recipes!$B:$B,MATCH(A467,Recipes!$A:$A,0)),"⚠ unknown recipe_id"))</f>
        <v/>
      </c>
      <c r="E467" s="12" t="str">
        <f aca="false">IF(C467="","",IFERROR(INDEX('Ingredient Catalog'!$C:$C,MATCH(C467,'Ingredient Catalog'!$A:$A,0)),"⚠ not in catalog"))</f>
        <v/>
      </c>
      <c r="G467" s="12" t="str">
        <f aca="false">IF(A467="","",COUNTIFS('Weekly Log'!$A:$A,'Grocery List'!$B$3,'Weekly Log'!$C:$C,A467,'Weekly Log'!$E:$E,"Yes"))</f>
        <v/>
      </c>
      <c r="H467" s="12" t="str">
        <f aca="false">IF(OR(A467="",D467=""),"",D467*G467)</f>
        <v/>
      </c>
    </row>
    <row r="468" customFormat="false" ht="15" hidden="false" customHeight="false" outlineLevel="0" collapsed="false">
      <c r="B468" s="12" t="str">
        <f aca="false">IF(A468="","",IFERROR(INDEX(Recipes!$B:$B,MATCH(A468,Recipes!$A:$A,0)),"⚠ unknown recipe_id"))</f>
        <v/>
      </c>
      <c r="E468" s="12" t="str">
        <f aca="false">IF(C468="","",IFERROR(INDEX('Ingredient Catalog'!$C:$C,MATCH(C468,'Ingredient Catalog'!$A:$A,0)),"⚠ not in catalog"))</f>
        <v/>
      </c>
      <c r="G468" s="12" t="str">
        <f aca="false">IF(A468="","",COUNTIFS('Weekly Log'!$A:$A,'Grocery List'!$B$3,'Weekly Log'!$C:$C,A468,'Weekly Log'!$E:$E,"Yes"))</f>
        <v/>
      </c>
      <c r="H468" s="12" t="str">
        <f aca="false">IF(OR(A468="",D468=""),"",D468*G468)</f>
        <v/>
      </c>
    </row>
    <row r="469" customFormat="false" ht="15" hidden="false" customHeight="false" outlineLevel="0" collapsed="false">
      <c r="B469" s="12" t="str">
        <f aca="false">IF(A469="","",IFERROR(INDEX(Recipes!$B:$B,MATCH(A469,Recipes!$A:$A,0)),"⚠ unknown recipe_id"))</f>
        <v/>
      </c>
      <c r="E469" s="12" t="str">
        <f aca="false">IF(C469="","",IFERROR(INDEX('Ingredient Catalog'!$C:$C,MATCH(C469,'Ingredient Catalog'!$A:$A,0)),"⚠ not in catalog"))</f>
        <v/>
      </c>
      <c r="G469" s="12" t="str">
        <f aca="false">IF(A469="","",COUNTIFS('Weekly Log'!$A:$A,'Grocery List'!$B$3,'Weekly Log'!$C:$C,A469,'Weekly Log'!$E:$E,"Yes"))</f>
        <v/>
      </c>
      <c r="H469" s="12" t="str">
        <f aca="false">IF(OR(A469="",D469=""),"",D469*G469)</f>
        <v/>
      </c>
    </row>
    <row r="470" customFormat="false" ht="15" hidden="false" customHeight="false" outlineLevel="0" collapsed="false">
      <c r="B470" s="12" t="str">
        <f aca="false">IF(A470="","",IFERROR(INDEX(Recipes!$B:$B,MATCH(A470,Recipes!$A:$A,0)),"⚠ unknown recipe_id"))</f>
        <v/>
      </c>
      <c r="E470" s="12" t="str">
        <f aca="false">IF(C470="","",IFERROR(INDEX('Ingredient Catalog'!$C:$C,MATCH(C470,'Ingredient Catalog'!$A:$A,0)),"⚠ not in catalog"))</f>
        <v/>
      </c>
      <c r="G470" s="12" t="str">
        <f aca="false">IF(A470="","",COUNTIFS('Weekly Log'!$A:$A,'Grocery List'!$B$3,'Weekly Log'!$C:$C,A470,'Weekly Log'!$E:$E,"Yes"))</f>
        <v/>
      </c>
      <c r="H470" s="12" t="str">
        <f aca="false">IF(OR(A470="",D470=""),"",D470*G470)</f>
        <v/>
      </c>
    </row>
    <row r="471" customFormat="false" ht="15" hidden="false" customHeight="false" outlineLevel="0" collapsed="false">
      <c r="B471" s="12" t="str">
        <f aca="false">IF(A471="","",IFERROR(INDEX(Recipes!$B:$B,MATCH(A471,Recipes!$A:$A,0)),"⚠ unknown recipe_id"))</f>
        <v/>
      </c>
      <c r="E471" s="12" t="str">
        <f aca="false">IF(C471="","",IFERROR(INDEX('Ingredient Catalog'!$C:$C,MATCH(C471,'Ingredient Catalog'!$A:$A,0)),"⚠ not in catalog"))</f>
        <v/>
      </c>
      <c r="G471" s="12" t="str">
        <f aca="false">IF(A471="","",COUNTIFS('Weekly Log'!$A:$A,'Grocery List'!$B$3,'Weekly Log'!$C:$C,A471,'Weekly Log'!$E:$E,"Yes"))</f>
        <v/>
      </c>
      <c r="H471" s="12" t="str">
        <f aca="false">IF(OR(A471="",D471=""),"",D471*G471)</f>
        <v/>
      </c>
    </row>
    <row r="472" customFormat="false" ht="15" hidden="false" customHeight="false" outlineLevel="0" collapsed="false">
      <c r="B472" s="12" t="str">
        <f aca="false">IF(A472="","",IFERROR(INDEX(Recipes!$B:$B,MATCH(A472,Recipes!$A:$A,0)),"⚠ unknown recipe_id"))</f>
        <v/>
      </c>
      <c r="E472" s="12" t="str">
        <f aca="false">IF(C472="","",IFERROR(INDEX('Ingredient Catalog'!$C:$C,MATCH(C472,'Ingredient Catalog'!$A:$A,0)),"⚠ not in catalog"))</f>
        <v/>
      </c>
      <c r="G472" s="12" t="str">
        <f aca="false">IF(A472="","",COUNTIFS('Weekly Log'!$A:$A,'Grocery List'!$B$3,'Weekly Log'!$C:$C,A472,'Weekly Log'!$E:$E,"Yes"))</f>
        <v/>
      </c>
      <c r="H472" s="12" t="str">
        <f aca="false">IF(OR(A472="",D472=""),"",D472*G472)</f>
        <v/>
      </c>
    </row>
    <row r="473" customFormat="false" ht="15" hidden="false" customHeight="false" outlineLevel="0" collapsed="false">
      <c r="B473" s="12" t="str">
        <f aca="false">IF(A473="","",IFERROR(INDEX(Recipes!$B:$B,MATCH(A473,Recipes!$A:$A,0)),"⚠ unknown recipe_id"))</f>
        <v/>
      </c>
      <c r="E473" s="12" t="str">
        <f aca="false">IF(C473="","",IFERROR(INDEX('Ingredient Catalog'!$C:$C,MATCH(C473,'Ingredient Catalog'!$A:$A,0)),"⚠ not in catalog"))</f>
        <v/>
      </c>
      <c r="G473" s="12" t="str">
        <f aca="false">IF(A473="","",COUNTIFS('Weekly Log'!$A:$A,'Grocery List'!$B$3,'Weekly Log'!$C:$C,A473,'Weekly Log'!$E:$E,"Yes"))</f>
        <v/>
      </c>
      <c r="H473" s="12" t="str">
        <f aca="false">IF(OR(A473="",D473=""),"",D473*G473)</f>
        <v/>
      </c>
    </row>
    <row r="474" customFormat="false" ht="15" hidden="false" customHeight="false" outlineLevel="0" collapsed="false">
      <c r="B474" s="12" t="str">
        <f aca="false">IF(A474="","",IFERROR(INDEX(Recipes!$B:$B,MATCH(A474,Recipes!$A:$A,0)),"⚠ unknown recipe_id"))</f>
        <v/>
      </c>
      <c r="E474" s="12" t="str">
        <f aca="false">IF(C474="","",IFERROR(INDEX('Ingredient Catalog'!$C:$C,MATCH(C474,'Ingredient Catalog'!$A:$A,0)),"⚠ not in catalog"))</f>
        <v/>
      </c>
      <c r="G474" s="12" t="str">
        <f aca="false">IF(A474="","",COUNTIFS('Weekly Log'!$A:$A,'Grocery List'!$B$3,'Weekly Log'!$C:$C,A474,'Weekly Log'!$E:$E,"Yes"))</f>
        <v/>
      </c>
      <c r="H474" s="12" t="str">
        <f aca="false">IF(OR(A474="",D474=""),"",D474*G474)</f>
        <v/>
      </c>
    </row>
    <row r="475" customFormat="false" ht="15" hidden="false" customHeight="false" outlineLevel="0" collapsed="false">
      <c r="B475" s="12" t="str">
        <f aca="false">IF(A475="","",IFERROR(INDEX(Recipes!$B:$B,MATCH(A475,Recipes!$A:$A,0)),"⚠ unknown recipe_id"))</f>
        <v/>
      </c>
      <c r="E475" s="12" t="str">
        <f aca="false">IF(C475="","",IFERROR(INDEX('Ingredient Catalog'!$C:$C,MATCH(C475,'Ingredient Catalog'!$A:$A,0)),"⚠ not in catalog"))</f>
        <v/>
      </c>
      <c r="G475" s="12" t="str">
        <f aca="false">IF(A475="","",COUNTIFS('Weekly Log'!$A:$A,'Grocery List'!$B$3,'Weekly Log'!$C:$C,A475,'Weekly Log'!$E:$E,"Yes"))</f>
        <v/>
      </c>
      <c r="H475" s="12" t="str">
        <f aca="false">IF(OR(A475="",D475=""),"",D475*G475)</f>
        <v/>
      </c>
    </row>
    <row r="476" customFormat="false" ht="15" hidden="false" customHeight="false" outlineLevel="0" collapsed="false">
      <c r="B476" s="12" t="str">
        <f aca="false">IF(A476="","",IFERROR(INDEX(Recipes!$B:$B,MATCH(A476,Recipes!$A:$A,0)),"⚠ unknown recipe_id"))</f>
        <v/>
      </c>
      <c r="E476" s="12" t="str">
        <f aca="false">IF(C476="","",IFERROR(INDEX('Ingredient Catalog'!$C:$C,MATCH(C476,'Ingredient Catalog'!$A:$A,0)),"⚠ not in catalog"))</f>
        <v/>
      </c>
      <c r="G476" s="12" t="str">
        <f aca="false">IF(A476="","",COUNTIFS('Weekly Log'!$A:$A,'Grocery List'!$B$3,'Weekly Log'!$C:$C,A476,'Weekly Log'!$E:$E,"Yes"))</f>
        <v/>
      </c>
      <c r="H476" s="12" t="str">
        <f aca="false">IF(OR(A476="",D476=""),"",D476*G476)</f>
        <v/>
      </c>
    </row>
    <row r="477" customFormat="false" ht="15" hidden="false" customHeight="false" outlineLevel="0" collapsed="false">
      <c r="B477" s="12" t="str">
        <f aca="false">IF(A477="","",IFERROR(INDEX(Recipes!$B:$B,MATCH(A477,Recipes!$A:$A,0)),"⚠ unknown recipe_id"))</f>
        <v/>
      </c>
      <c r="E477" s="12" t="str">
        <f aca="false">IF(C477="","",IFERROR(INDEX('Ingredient Catalog'!$C:$C,MATCH(C477,'Ingredient Catalog'!$A:$A,0)),"⚠ not in catalog"))</f>
        <v/>
      </c>
      <c r="G477" s="12" t="str">
        <f aca="false">IF(A477="","",COUNTIFS('Weekly Log'!$A:$A,'Grocery List'!$B$3,'Weekly Log'!$C:$C,A477,'Weekly Log'!$E:$E,"Yes"))</f>
        <v/>
      </c>
      <c r="H477" s="12" t="str">
        <f aca="false">IF(OR(A477="",D477=""),"",D477*G477)</f>
        <v/>
      </c>
    </row>
    <row r="478" customFormat="false" ht="15" hidden="false" customHeight="false" outlineLevel="0" collapsed="false">
      <c r="B478" s="12" t="str">
        <f aca="false">IF(A478="","",IFERROR(INDEX(Recipes!$B:$B,MATCH(A478,Recipes!$A:$A,0)),"⚠ unknown recipe_id"))</f>
        <v/>
      </c>
      <c r="E478" s="12" t="str">
        <f aca="false">IF(C478="","",IFERROR(INDEX('Ingredient Catalog'!$C:$C,MATCH(C478,'Ingredient Catalog'!$A:$A,0)),"⚠ not in catalog"))</f>
        <v/>
      </c>
      <c r="G478" s="12" t="str">
        <f aca="false">IF(A478="","",COUNTIFS('Weekly Log'!$A:$A,'Grocery List'!$B$3,'Weekly Log'!$C:$C,A478,'Weekly Log'!$E:$E,"Yes"))</f>
        <v/>
      </c>
      <c r="H478" s="12" t="str">
        <f aca="false">IF(OR(A478="",D478=""),"",D478*G478)</f>
        <v/>
      </c>
    </row>
    <row r="479" customFormat="false" ht="15" hidden="false" customHeight="false" outlineLevel="0" collapsed="false">
      <c r="B479" s="12" t="str">
        <f aca="false">IF(A479="","",IFERROR(INDEX(Recipes!$B:$B,MATCH(A479,Recipes!$A:$A,0)),"⚠ unknown recipe_id"))</f>
        <v/>
      </c>
      <c r="E479" s="12" t="str">
        <f aca="false">IF(C479="","",IFERROR(INDEX('Ingredient Catalog'!$C:$C,MATCH(C479,'Ingredient Catalog'!$A:$A,0)),"⚠ not in catalog"))</f>
        <v/>
      </c>
      <c r="G479" s="12" t="str">
        <f aca="false">IF(A479="","",COUNTIFS('Weekly Log'!$A:$A,'Grocery List'!$B$3,'Weekly Log'!$C:$C,A479,'Weekly Log'!$E:$E,"Yes"))</f>
        <v/>
      </c>
      <c r="H479" s="12" t="str">
        <f aca="false">IF(OR(A479="",D479=""),"",D479*G479)</f>
        <v/>
      </c>
    </row>
    <row r="480" customFormat="false" ht="15" hidden="false" customHeight="false" outlineLevel="0" collapsed="false">
      <c r="B480" s="12" t="str">
        <f aca="false">IF(A480="","",IFERROR(INDEX(Recipes!$B:$B,MATCH(A480,Recipes!$A:$A,0)),"⚠ unknown recipe_id"))</f>
        <v/>
      </c>
      <c r="E480" s="12" t="str">
        <f aca="false">IF(C480="","",IFERROR(INDEX('Ingredient Catalog'!$C:$C,MATCH(C480,'Ingredient Catalog'!$A:$A,0)),"⚠ not in catalog"))</f>
        <v/>
      </c>
      <c r="G480" s="12" t="str">
        <f aca="false">IF(A480="","",COUNTIFS('Weekly Log'!$A:$A,'Grocery List'!$B$3,'Weekly Log'!$C:$C,A480,'Weekly Log'!$E:$E,"Yes"))</f>
        <v/>
      </c>
      <c r="H480" s="12" t="str">
        <f aca="false">IF(OR(A480="",D480=""),"",D480*G480)</f>
        <v/>
      </c>
    </row>
    <row r="481" customFormat="false" ht="15" hidden="false" customHeight="false" outlineLevel="0" collapsed="false">
      <c r="B481" s="12" t="str">
        <f aca="false">IF(A481="","",IFERROR(INDEX(Recipes!$B:$B,MATCH(A481,Recipes!$A:$A,0)),"⚠ unknown recipe_id"))</f>
        <v/>
      </c>
      <c r="E481" s="12" t="str">
        <f aca="false">IF(C481="","",IFERROR(INDEX('Ingredient Catalog'!$C:$C,MATCH(C481,'Ingredient Catalog'!$A:$A,0)),"⚠ not in catalog"))</f>
        <v/>
      </c>
      <c r="G481" s="12" t="str">
        <f aca="false">IF(A481="","",COUNTIFS('Weekly Log'!$A:$A,'Grocery List'!$B$3,'Weekly Log'!$C:$C,A481,'Weekly Log'!$E:$E,"Yes"))</f>
        <v/>
      </c>
      <c r="H481" s="12" t="str">
        <f aca="false">IF(OR(A481="",D481=""),"",D481*G481)</f>
        <v/>
      </c>
    </row>
    <row r="482" customFormat="false" ht="15" hidden="false" customHeight="false" outlineLevel="0" collapsed="false">
      <c r="B482" s="12" t="str">
        <f aca="false">IF(A482="","",IFERROR(INDEX(Recipes!$B:$B,MATCH(A482,Recipes!$A:$A,0)),"⚠ unknown recipe_id"))</f>
        <v/>
      </c>
      <c r="E482" s="12" t="str">
        <f aca="false">IF(C482="","",IFERROR(INDEX('Ingredient Catalog'!$C:$C,MATCH(C482,'Ingredient Catalog'!$A:$A,0)),"⚠ not in catalog"))</f>
        <v/>
      </c>
      <c r="G482" s="12" t="str">
        <f aca="false">IF(A482="","",COUNTIFS('Weekly Log'!$A:$A,'Grocery List'!$B$3,'Weekly Log'!$C:$C,A482,'Weekly Log'!$E:$E,"Yes"))</f>
        <v/>
      </c>
      <c r="H482" s="12" t="str">
        <f aca="false">IF(OR(A482="",D482=""),"",D482*G482)</f>
        <v/>
      </c>
    </row>
    <row r="483" customFormat="false" ht="15" hidden="false" customHeight="false" outlineLevel="0" collapsed="false">
      <c r="B483" s="12" t="str">
        <f aca="false">IF(A483="","",IFERROR(INDEX(Recipes!$B:$B,MATCH(A483,Recipes!$A:$A,0)),"⚠ unknown recipe_id"))</f>
        <v/>
      </c>
      <c r="E483" s="12" t="str">
        <f aca="false">IF(C483="","",IFERROR(INDEX('Ingredient Catalog'!$C:$C,MATCH(C483,'Ingredient Catalog'!$A:$A,0)),"⚠ not in catalog"))</f>
        <v/>
      </c>
      <c r="G483" s="12" t="str">
        <f aca="false">IF(A483="","",COUNTIFS('Weekly Log'!$A:$A,'Grocery List'!$B$3,'Weekly Log'!$C:$C,A483,'Weekly Log'!$E:$E,"Yes"))</f>
        <v/>
      </c>
      <c r="H483" s="12" t="str">
        <f aca="false">IF(OR(A483="",D483=""),"",D483*G483)</f>
        <v/>
      </c>
    </row>
    <row r="484" customFormat="false" ht="15" hidden="false" customHeight="false" outlineLevel="0" collapsed="false">
      <c r="B484" s="12" t="str">
        <f aca="false">IF(A484="","",IFERROR(INDEX(Recipes!$B:$B,MATCH(A484,Recipes!$A:$A,0)),"⚠ unknown recipe_id"))</f>
        <v/>
      </c>
      <c r="E484" s="12" t="str">
        <f aca="false">IF(C484="","",IFERROR(INDEX('Ingredient Catalog'!$C:$C,MATCH(C484,'Ingredient Catalog'!$A:$A,0)),"⚠ not in catalog"))</f>
        <v/>
      </c>
      <c r="G484" s="12" t="str">
        <f aca="false">IF(A484="","",COUNTIFS('Weekly Log'!$A:$A,'Grocery List'!$B$3,'Weekly Log'!$C:$C,A484,'Weekly Log'!$E:$E,"Yes"))</f>
        <v/>
      </c>
      <c r="H484" s="12" t="str">
        <f aca="false">IF(OR(A484="",D484=""),"",D484*G484)</f>
        <v/>
      </c>
    </row>
    <row r="485" customFormat="false" ht="15" hidden="false" customHeight="false" outlineLevel="0" collapsed="false">
      <c r="B485" s="12" t="str">
        <f aca="false">IF(A485="","",IFERROR(INDEX(Recipes!$B:$B,MATCH(A485,Recipes!$A:$A,0)),"⚠ unknown recipe_id"))</f>
        <v/>
      </c>
      <c r="E485" s="12" t="str">
        <f aca="false">IF(C485="","",IFERROR(INDEX('Ingredient Catalog'!$C:$C,MATCH(C485,'Ingredient Catalog'!$A:$A,0)),"⚠ not in catalog"))</f>
        <v/>
      </c>
      <c r="G485" s="12" t="str">
        <f aca="false">IF(A485="","",COUNTIFS('Weekly Log'!$A:$A,'Grocery List'!$B$3,'Weekly Log'!$C:$C,A485,'Weekly Log'!$E:$E,"Yes"))</f>
        <v/>
      </c>
      <c r="H485" s="12" t="str">
        <f aca="false">IF(OR(A485="",D485=""),"",D485*G485)</f>
        <v/>
      </c>
    </row>
    <row r="486" customFormat="false" ht="15" hidden="false" customHeight="false" outlineLevel="0" collapsed="false">
      <c r="B486" s="12" t="str">
        <f aca="false">IF(A486="","",IFERROR(INDEX(Recipes!$B:$B,MATCH(A486,Recipes!$A:$A,0)),"⚠ unknown recipe_id"))</f>
        <v/>
      </c>
      <c r="E486" s="12" t="str">
        <f aca="false">IF(C486="","",IFERROR(INDEX('Ingredient Catalog'!$C:$C,MATCH(C486,'Ingredient Catalog'!$A:$A,0)),"⚠ not in catalog"))</f>
        <v/>
      </c>
      <c r="G486" s="12" t="str">
        <f aca="false">IF(A486="","",COUNTIFS('Weekly Log'!$A:$A,'Grocery List'!$B$3,'Weekly Log'!$C:$C,A486,'Weekly Log'!$E:$E,"Yes"))</f>
        <v/>
      </c>
      <c r="H486" s="12" t="str">
        <f aca="false">IF(OR(A486="",D486=""),"",D486*G486)</f>
        <v/>
      </c>
    </row>
    <row r="487" customFormat="false" ht="15" hidden="false" customHeight="false" outlineLevel="0" collapsed="false">
      <c r="B487" s="12" t="str">
        <f aca="false">IF(A487="","",IFERROR(INDEX(Recipes!$B:$B,MATCH(A487,Recipes!$A:$A,0)),"⚠ unknown recipe_id"))</f>
        <v/>
      </c>
      <c r="E487" s="12" t="str">
        <f aca="false">IF(C487="","",IFERROR(INDEX('Ingredient Catalog'!$C:$C,MATCH(C487,'Ingredient Catalog'!$A:$A,0)),"⚠ not in catalog"))</f>
        <v/>
      </c>
      <c r="G487" s="12" t="str">
        <f aca="false">IF(A487="","",COUNTIFS('Weekly Log'!$A:$A,'Grocery List'!$B$3,'Weekly Log'!$C:$C,A487,'Weekly Log'!$E:$E,"Yes"))</f>
        <v/>
      </c>
      <c r="H487" s="12" t="str">
        <f aca="false">IF(OR(A487="",D487=""),"",D487*G487)</f>
        <v/>
      </c>
    </row>
    <row r="488" customFormat="false" ht="15" hidden="false" customHeight="false" outlineLevel="0" collapsed="false">
      <c r="B488" s="12" t="str">
        <f aca="false">IF(A488="","",IFERROR(INDEX(Recipes!$B:$B,MATCH(A488,Recipes!$A:$A,0)),"⚠ unknown recipe_id"))</f>
        <v/>
      </c>
      <c r="E488" s="12" t="str">
        <f aca="false">IF(C488="","",IFERROR(INDEX('Ingredient Catalog'!$C:$C,MATCH(C488,'Ingredient Catalog'!$A:$A,0)),"⚠ not in catalog"))</f>
        <v/>
      </c>
      <c r="G488" s="12" t="str">
        <f aca="false">IF(A488="","",COUNTIFS('Weekly Log'!$A:$A,'Grocery List'!$B$3,'Weekly Log'!$C:$C,A488,'Weekly Log'!$E:$E,"Yes"))</f>
        <v/>
      </c>
      <c r="H488" s="12" t="str">
        <f aca="false">IF(OR(A488="",D488=""),"",D488*G488)</f>
        <v/>
      </c>
    </row>
    <row r="489" customFormat="false" ht="15" hidden="false" customHeight="false" outlineLevel="0" collapsed="false">
      <c r="B489" s="12" t="str">
        <f aca="false">IF(A489="","",IFERROR(INDEX(Recipes!$B:$B,MATCH(A489,Recipes!$A:$A,0)),"⚠ unknown recipe_id"))</f>
        <v/>
      </c>
      <c r="E489" s="12" t="str">
        <f aca="false">IF(C489="","",IFERROR(INDEX('Ingredient Catalog'!$C:$C,MATCH(C489,'Ingredient Catalog'!$A:$A,0)),"⚠ not in catalog"))</f>
        <v/>
      </c>
      <c r="G489" s="12" t="str">
        <f aca="false">IF(A489="","",COUNTIFS('Weekly Log'!$A:$A,'Grocery List'!$B$3,'Weekly Log'!$C:$C,A489,'Weekly Log'!$E:$E,"Yes"))</f>
        <v/>
      </c>
      <c r="H489" s="12" t="str">
        <f aca="false">IF(OR(A489="",D489=""),"",D489*G489)</f>
        <v/>
      </c>
    </row>
    <row r="490" customFormat="false" ht="15" hidden="false" customHeight="false" outlineLevel="0" collapsed="false">
      <c r="B490" s="12" t="str">
        <f aca="false">IF(A490="","",IFERROR(INDEX(Recipes!$B:$B,MATCH(A490,Recipes!$A:$A,0)),"⚠ unknown recipe_id"))</f>
        <v/>
      </c>
      <c r="E490" s="12" t="str">
        <f aca="false">IF(C490="","",IFERROR(INDEX('Ingredient Catalog'!$C:$C,MATCH(C490,'Ingredient Catalog'!$A:$A,0)),"⚠ not in catalog"))</f>
        <v/>
      </c>
      <c r="G490" s="12" t="str">
        <f aca="false">IF(A490="","",COUNTIFS('Weekly Log'!$A:$A,'Grocery List'!$B$3,'Weekly Log'!$C:$C,A490,'Weekly Log'!$E:$E,"Yes"))</f>
        <v/>
      </c>
      <c r="H490" s="12" t="str">
        <f aca="false">IF(OR(A490="",D490=""),"",D490*G490)</f>
        <v/>
      </c>
    </row>
    <row r="491" customFormat="false" ht="15" hidden="false" customHeight="false" outlineLevel="0" collapsed="false">
      <c r="B491" s="12" t="str">
        <f aca="false">IF(A491="","",IFERROR(INDEX(Recipes!$B:$B,MATCH(A491,Recipes!$A:$A,0)),"⚠ unknown recipe_id"))</f>
        <v/>
      </c>
      <c r="E491" s="12" t="str">
        <f aca="false">IF(C491="","",IFERROR(INDEX('Ingredient Catalog'!$C:$C,MATCH(C491,'Ingredient Catalog'!$A:$A,0)),"⚠ not in catalog"))</f>
        <v/>
      </c>
      <c r="G491" s="12" t="str">
        <f aca="false">IF(A491="","",COUNTIFS('Weekly Log'!$A:$A,'Grocery List'!$B$3,'Weekly Log'!$C:$C,A491,'Weekly Log'!$E:$E,"Yes"))</f>
        <v/>
      </c>
      <c r="H491" s="12" t="str">
        <f aca="false">IF(OR(A491="",D491=""),"",D491*G491)</f>
        <v/>
      </c>
    </row>
    <row r="492" customFormat="false" ht="15" hidden="false" customHeight="false" outlineLevel="0" collapsed="false">
      <c r="B492" s="12" t="str">
        <f aca="false">IF(A492="","",IFERROR(INDEX(Recipes!$B:$B,MATCH(A492,Recipes!$A:$A,0)),"⚠ unknown recipe_id"))</f>
        <v/>
      </c>
      <c r="E492" s="12" t="str">
        <f aca="false">IF(C492="","",IFERROR(INDEX('Ingredient Catalog'!$C:$C,MATCH(C492,'Ingredient Catalog'!$A:$A,0)),"⚠ not in catalog"))</f>
        <v/>
      </c>
      <c r="G492" s="12" t="str">
        <f aca="false">IF(A492="","",COUNTIFS('Weekly Log'!$A:$A,'Grocery List'!$B$3,'Weekly Log'!$C:$C,A492,'Weekly Log'!$E:$E,"Yes"))</f>
        <v/>
      </c>
      <c r="H492" s="12" t="str">
        <f aca="false">IF(OR(A492="",D492=""),"",D492*G492)</f>
        <v/>
      </c>
    </row>
    <row r="493" customFormat="false" ht="15" hidden="false" customHeight="false" outlineLevel="0" collapsed="false">
      <c r="B493" s="12" t="str">
        <f aca="false">IF(A493="","",IFERROR(INDEX(Recipes!$B:$B,MATCH(A493,Recipes!$A:$A,0)),"⚠ unknown recipe_id"))</f>
        <v/>
      </c>
      <c r="E493" s="12" t="str">
        <f aca="false">IF(C493="","",IFERROR(INDEX('Ingredient Catalog'!$C:$C,MATCH(C493,'Ingredient Catalog'!$A:$A,0)),"⚠ not in catalog"))</f>
        <v/>
      </c>
      <c r="G493" s="12" t="str">
        <f aca="false">IF(A493="","",COUNTIFS('Weekly Log'!$A:$A,'Grocery List'!$B$3,'Weekly Log'!$C:$C,A493,'Weekly Log'!$E:$E,"Yes"))</f>
        <v/>
      </c>
      <c r="H493" s="12" t="str">
        <f aca="false">IF(OR(A493="",D493=""),"",D493*G493)</f>
        <v/>
      </c>
    </row>
    <row r="494" customFormat="false" ht="15" hidden="false" customHeight="false" outlineLevel="0" collapsed="false">
      <c r="B494" s="12" t="str">
        <f aca="false">IF(A494="","",IFERROR(INDEX(Recipes!$B:$B,MATCH(A494,Recipes!$A:$A,0)),"⚠ unknown recipe_id"))</f>
        <v/>
      </c>
      <c r="E494" s="12" t="str">
        <f aca="false">IF(C494="","",IFERROR(INDEX('Ingredient Catalog'!$C:$C,MATCH(C494,'Ingredient Catalog'!$A:$A,0)),"⚠ not in catalog"))</f>
        <v/>
      </c>
      <c r="G494" s="12" t="str">
        <f aca="false">IF(A494="","",COUNTIFS('Weekly Log'!$A:$A,'Grocery List'!$B$3,'Weekly Log'!$C:$C,A494,'Weekly Log'!$E:$E,"Yes"))</f>
        <v/>
      </c>
      <c r="H494" s="12" t="str">
        <f aca="false">IF(OR(A494="",D494=""),"",D494*G494)</f>
        <v/>
      </c>
    </row>
    <row r="495" customFormat="false" ht="15" hidden="false" customHeight="false" outlineLevel="0" collapsed="false">
      <c r="B495" s="12" t="str">
        <f aca="false">IF(A495="","",IFERROR(INDEX(Recipes!$B:$B,MATCH(A495,Recipes!$A:$A,0)),"⚠ unknown recipe_id"))</f>
        <v/>
      </c>
      <c r="E495" s="12" t="str">
        <f aca="false">IF(C495="","",IFERROR(INDEX('Ingredient Catalog'!$C:$C,MATCH(C495,'Ingredient Catalog'!$A:$A,0)),"⚠ not in catalog"))</f>
        <v/>
      </c>
      <c r="G495" s="12" t="str">
        <f aca="false">IF(A495="","",COUNTIFS('Weekly Log'!$A:$A,'Grocery List'!$B$3,'Weekly Log'!$C:$C,A495,'Weekly Log'!$E:$E,"Yes"))</f>
        <v/>
      </c>
      <c r="H495" s="12" t="str">
        <f aca="false">IF(OR(A495="",D495=""),"",D495*G495)</f>
        <v/>
      </c>
    </row>
    <row r="496" customFormat="false" ht="15" hidden="false" customHeight="false" outlineLevel="0" collapsed="false">
      <c r="B496" s="12" t="str">
        <f aca="false">IF(A496="","",IFERROR(INDEX(Recipes!$B:$B,MATCH(A496,Recipes!$A:$A,0)),"⚠ unknown recipe_id"))</f>
        <v/>
      </c>
      <c r="E496" s="12" t="str">
        <f aca="false">IF(C496="","",IFERROR(INDEX('Ingredient Catalog'!$C:$C,MATCH(C496,'Ingredient Catalog'!$A:$A,0)),"⚠ not in catalog"))</f>
        <v/>
      </c>
      <c r="G496" s="12" t="str">
        <f aca="false">IF(A496="","",COUNTIFS('Weekly Log'!$A:$A,'Grocery List'!$B$3,'Weekly Log'!$C:$C,A496,'Weekly Log'!$E:$E,"Yes"))</f>
        <v/>
      </c>
      <c r="H496" s="12" t="str">
        <f aca="false">IF(OR(A496="",D496=""),"",D496*G496)</f>
        <v/>
      </c>
    </row>
    <row r="497" customFormat="false" ht="15" hidden="false" customHeight="false" outlineLevel="0" collapsed="false">
      <c r="B497" s="12" t="str">
        <f aca="false">IF(A497="","",IFERROR(INDEX(Recipes!$B:$B,MATCH(A497,Recipes!$A:$A,0)),"⚠ unknown recipe_id"))</f>
        <v/>
      </c>
      <c r="E497" s="12" t="str">
        <f aca="false">IF(C497="","",IFERROR(INDEX('Ingredient Catalog'!$C:$C,MATCH(C497,'Ingredient Catalog'!$A:$A,0)),"⚠ not in catalog"))</f>
        <v/>
      </c>
      <c r="G497" s="12" t="str">
        <f aca="false">IF(A497="","",COUNTIFS('Weekly Log'!$A:$A,'Grocery List'!$B$3,'Weekly Log'!$C:$C,A497,'Weekly Log'!$E:$E,"Yes"))</f>
        <v/>
      </c>
      <c r="H497" s="12" t="str">
        <f aca="false">IF(OR(A497="",D497=""),"",D497*G497)</f>
        <v/>
      </c>
    </row>
    <row r="498" customFormat="false" ht="15" hidden="false" customHeight="false" outlineLevel="0" collapsed="false">
      <c r="B498" s="12" t="str">
        <f aca="false">IF(A498="","",IFERROR(INDEX(Recipes!$B:$B,MATCH(A498,Recipes!$A:$A,0)),"⚠ unknown recipe_id"))</f>
        <v/>
      </c>
      <c r="E498" s="12" t="str">
        <f aca="false">IF(C498="","",IFERROR(INDEX('Ingredient Catalog'!$C:$C,MATCH(C498,'Ingredient Catalog'!$A:$A,0)),"⚠ not in catalog"))</f>
        <v/>
      </c>
      <c r="G498" s="12" t="str">
        <f aca="false">IF(A498="","",COUNTIFS('Weekly Log'!$A:$A,'Grocery List'!$B$3,'Weekly Log'!$C:$C,A498,'Weekly Log'!$E:$E,"Yes"))</f>
        <v/>
      </c>
      <c r="H498" s="12" t="str">
        <f aca="false">IF(OR(A498="",D498=""),"",D498*G498)</f>
        <v/>
      </c>
    </row>
    <row r="499" customFormat="false" ht="15" hidden="false" customHeight="false" outlineLevel="0" collapsed="false">
      <c r="B499" s="12" t="str">
        <f aca="false">IF(A499="","",IFERROR(INDEX(Recipes!$B:$B,MATCH(A499,Recipes!$A:$A,0)),"⚠ unknown recipe_id"))</f>
        <v/>
      </c>
      <c r="E499" s="12" t="str">
        <f aca="false">IF(C499="","",IFERROR(INDEX('Ingredient Catalog'!$C:$C,MATCH(C499,'Ingredient Catalog'!$A:$A,0)),"⚠ not in catalog"))</f>
        <v/>
      </c>
      <c r="G499" s="12" t="str">
        <f aca="false">IF(A499="","",COUNTIFS('Weekly Log'!$A:$A,'Grocery List'!$B$3,'Weekly Log'!$C:$C,A499,'Weekly Log'!$E:$E,"Yes"))</f>
        <v/>
      </c>
      <c r="H499" s="12" t="str">
        <f aca="false">IF(OR(A499="",D499=""),"",D499*G499)</f>
        <v/>
      </c>
    </row>
    <row r="500" customFormat="false" ht="15" hidden="false" customHeight="false" outlineLevel="0" collapsed="false">
      <c r="B500" s="12" t="str">
        <f aca="false">IF(A500="","",IFERROR(INDEX(Recipes!$B:$B,MATCH(A500,Recipes!$A:$A,0)),"⚠ unknown recipe_id"))</f>
        <v/>
      </c>
      <c r="E500" s="12" t="str">
        <f aca="false">IF(C500="","",IFERROR(INDEX('Ingredient Catalog'!$C:$C,MATCH(C500,'Ingredient Catalog'!$A:$A,0)),"⚠ not in catalog"))</f>
        <v/>
      </c>
      <c r="G500" s="12" t="str">
        <f aca="false">IF(A500="","",COUNTIFS('Weekly Log'!$A:$A,'Grocery List'!$B$3,'Weekly Log'!$C:$C,A500,'Weekly Log'!$E:$E,"Yes"))</f>
        <v/>
      </c>
      <c r="H500" s="12" t="str">
        <f aca="false">IF(OR(A500="",D500=""),"",D500*G500)</f>
        <v/>
      </c>
    </row>
    <row r="501" customFormat="false" ht="15" hidden="false" customHeight="false" outlineLevel="0" collapsed="false">
      <c r="B501" s="12" t="str">
        <f aca="false">IF(A501="","",IFERROR(INDEX(Recipes!$B:$B,MATCH(A501,Recipes!$A:$A,0)),"⚠ unknown recipe_id"))</f>
        <v/>
      </c>
      <c r="E501" s="12" t="str">
        <f aca="false">IF(C501="","",IFERROR(INDEX('Ingredient Catalog'!$C:$C,MATCH(C501,'Ingredient Catalog'!$A:$A,0)),"⚠ not in catalog"))</f>
        <v/>
      </c>
      <c r="G501" s="12" t="str">
        <f aca="false">IF(A501="","",COUNTIFS('Weekly Log'!$A:$A,'Grocery List'!$B$3,'Weekly Log'!$C:$C,A501,'Weekly Log'!$E:$E,"Yes"))</f>
        <v/>
      </c>
      <c r="H501" s="12" t="str">
        <f aca="false">IF(OR(A501="",D501=""),"",D501*G501)</f>
        <v/>
      </c>
    </row>
    <row r="502" customFormat="false" ht="15" hidden="false" customHeight="false" outlineLevel="0" collapsed="false">
      <c r="B502" s="12" t="str">
        <f aca="false">IF(A502="","",IFERROR(INDEX(Recipes!$B:$B,MATCH(A502,Recipes!$A:$A,0)),"⚠ unknown recipe_id"))</f>
        <v/>
      </c>
      <c r="E502" s="12" t="str">
        <f aca="false">IF(C502="","",IFERROR(INDEX('Ingredient Catalog'!$C:$C,MATCH(C502,'Ingredient Catalog'!$A:$A,0)),"⚠ not in catalog"))</f>
        <v/>
      </c>
      <c r="G502" s="12" t="str">
        <f aca="false">IF(A502="","",COUNTIFS('Weekly Log'!$A:$A,'Grocery List'!$B$3,'Weekly Log'!$C:$C,A502,'Weekly Log'!$E:$E,"Yes"))</f>
        <v/>
      </c>
      <c r="H502" s="12" t="str">
        <f aca="false">IF(OR(A502="",D502=""),"",D502*G502)</f>
        <v/>
      </c>
    </row>
    <row r="503" customFormat="false" ht="15" hidden="false" customHeight="false" outlineLevel="0" collapsed="false">
      <c r="B503" s="12" t="str">
        <f aca="false">IF(A503="","",IFERROR(INDEX(Recipes!$B:$B,MATCH(A503,Recipes!$A:$A,0)),"⚠ unknown recipe_id"))</f>
        <v/>
      </c>
      <c r="E503" s="12" t="str">
        <f aca="false">IF(C503="","",IFERROR(INDEX('Ingredient Catalog'!$C:$C,MATCH(C503,'Ingredient Catalog'!$A:$A,0)),"⚠ not in catalog"))</f>
        <v/>
      </c>
      <c r="G503" s="12" t="str">
        <f aca="false">IF(A503="","",COUNTIFS('Weekly Log'!$A:$A,'Grocery List'!$B$3,'Weekly Log'!$C:$C,A503,'Weekly Log'!$E:$E,"Yes"))</f>
        <v/>
      </c>
      <c r="H503" s="12" t="str">
        <f aca="false">IF(OR(A503="",D503=""),"",D503*G503)</f>
        <v/>
      </c>
    </row>
    <row r="504" customFormat="false" ht="15" hidden="false" customHeight="false" outlineLevel="0" collapsed="false">
      <c r="B504" s="12" t="str">
        <f aca="false">IF(A504="","",IFERROR(INDEX(Recipes!$B:$B,MATCH(A504,Recipes!$A:$A,0)),"⚠ unknown recipe_id"))</f>
        <v/>
      </c>
      <c r="E504" s="12" t="str">
        <f aca="false">IF(C504="","",IFERROR(INDEX('Ingredient Catalog'!$C:$C,MATCH(C504,'Ingredient Catalog'!$A:$A,0)),"⚠ not in catalog"))</f>
        <v/>
      </c>
      <c r="G504" s="12" t="str">
        <f aca="false">IF(A504="","",COUNTIFS('Weekly Log'!$A:$A,'Grocery List'!$B$3,'Weekly Log'!$C:$C,A504,'Weekly Log'!$E:$E,"Yes"))</f>
        <v/>
      </c>
      <c r="H504" s="12" t="str">
        <f aca="false">IF(OR(A504="",D504=""),"",D504*G504)</f>
        <v/>
      </c>
    </row>
    <row r="505" customFormat="false" ht="15" hidden="false" customHeight="false" outlineLevel="0" collapsed="false">
      <c r="B505" s="12" t="str">
        <f aca="false">IF(A505="","",IFERROR(INDEX(Recipes!$B:$B,MATCH(A505,Recipes!$A:$A,0)),"⚠ unknown recipe_id"))</f>
        <v/>
      </c>
      <c r="E505" s="12" t="str">
        <f aca="false">IF(C505="","",IFERROR(INDEX('Ingredient Catalog'!$C:$C,MATCH(C505,'Ingredient Catalog'!$A:$A,0)),"⚠ not in catalog"))</f>
        <v/>
      </c>
      <c r="G505" s="12" t="str">
        <f aca="false">IF(A505="","",COUNTIFS('Weekly Log'!$A:$A,'Grocery List'!$B$3,'Weekly Log'!$C:$C,A505,'Weekly Log'!$E:$E,"Yes"))</f>
        <v/>
      </c>
      <c r="H505" s="12" t="str">
        <f aca="false">IF(OR(A505="",D505=""),"",D505*G505)</f>
        <v/>
      </c>
    </row>
    <row r="506" customFormat="false" ht="15" hidden="false" customHeight="false" outlineLevel="0" collapsed="false">
      <c r="B506" s="12" t="str">
        <f aca="false">IF(A506="","",IFERROR(INDEX(Recipes!$B:$B,MATCH(A506,Recipes!$A:$A,0)),"⚠ unknown recipe_id"))</f>
        <v/>
      </c>
      <c r="E506" s="12" t="str">
        <f aca="false">IF(C506="","",IFERROR(INDEX('Ingredient Catalog'!$C:$C,MATCH(C506,'Ingredient Catalog'!$A:$A,0)),"⚠ not in catalog"))</f>
        <v/>
      </c>
      <c r="G506" s="12" t="str">
        <f aca="false">IF(A506="","",COUNTIFS('Weekly Log'!$A:$A,'Grocery List'!$B$3,'Weekly Log'!$C:$C,A506,'Weekly Log'!$E:$E,"Yes"))</f>
        <v/>
      </c>
      <c r="H506" s="12" t="str">
        <f aca="false">IF(OR(A506="",D506=""),"",D506*G506)</f>
        <v/>
      </c>
    </row>
    <row r="507" customFormat="false" ht="15" hidden="false" customHeight="false" outlineLevel="0" collapsed="false">
      <c r="B507" s="12" t="str">
        <f aca="false">IF(A507="","",IFERROR(INDEX(Recipes!$B:$B,MATCH(A507,Recipes!$A:$A,0)),"⚠ unknown recipe_id"))</f>
        <v/>
      </c>
      <c r="E507" s="12" t="str">
        <f aca="false">IF(C507="","",IFERROR(INDEX('Ingredient Catalog'!$C:$C,MATCH(C507,'Ingredient Catalog'!$A:$A,0)),"⚠ not in catalog"))</f>
        <v/>
      </c>
      <c r="G507" s="12" t="str">
        <f aca="false">IF(A507="","",COUNTIFS('Weekly Log'!$A:$A,'Grocery List'!$B$3,'Weekly Log'!$C:$C,A507,'Weekly Log'!$E:$E,"Yes"))</f>
        <v/>
      </c>
      <c r="H507" s="12" t="str">
        <f aca="false">IF(OR(A507="",D507=""),"",D507*G507)</f>
        <v/>
      </c>
    </row>
    <row r="508" customFormat="false" ht="15" hidden="false" customHeight="false" outlineLevel="0" collapsed="false">
      <c r="B508" s="12" t="str">
        <f aca="false">IF(A508="","",IFERROR(INDEX(Recipes!$B:$B,MATCH(A508,Recipes!$A:$A,0)),"⚠ unknown recipe_id"))</f>
        <v/>
      </c>
      <c r="E508" s="12" t="str">
        <f aca="false">IF(C508="","",IFERROR(INDEX('Ingredient Catalog'!$C:$C,MATCH(C508,'Ingredient Catalog'!$A:$A,0)),"⚠ not in catalog"))</f>
        <v/>
      </c>
      <c r="G508" s="12" t="str">
        <f aca="false">IF(A508="","",COUNTIFS('Weekly Log'!$A:$A,'Grocery List'!$B$3,'Weekly Log'!$C:$C,A508,'Weekly Log'!$E:$E,"Yes"))</f>
        <v/>
      </c>
      <c r="H508" s="12" t="str">
        <f aca="false">IF(OR(A508="",D508=""),"",D508*G508)</f>
        <v/>
      </c>
    </row>
    <row r="509" customFormat="false" ht="15" hidden="false" customHeight="false" outlineLevel="0" collapsed="false">
      <c r="B509" s="12" t="str">
        <f aca="false">IF(A509="","",IFERROR(INDEX(Recipes!$B:$B,MATCH(A509,Recipes!$A:$A,0)),"⚠ unknown recipe_id"))</f>
        <v/>
      </c>
      <c r="E509" s="12" t="str">
        <f aca="false">IF(C509="","",IFERROR(INDEX('Ingredient Catalog'!$C:$C,MATCH(C509,'Ingredient Catalog'!$A:$A,0)),"⚠ not in catalog"))</f>
        <v/>
      </c>
      <c r="G509" s="12" t="str">
        <f aca="false">IF(A509="","",COUNTIFS('Weekly Log'!$A:$A,'Grocery List'!$B$3,'Weekly Log'!$C:$C,A509,'Weekly Log'!$E:$E,"Yes"))</f>
        <v/>
      </c>
      <c r="H509" s="12" t="str">
        <f aca="false">IF(OR(A509="",D509=""),"",D509*G509)</f>
        <v/>
      </c>
    </row>
    <row r="510" customFormat="false" ht="15" hidden="false" customHeight="false" outlineLevel="0" collapsed="false">
      <c r="B510" s="12" t="str">
        <f aca="false">IF(A510="","",IFERROR(INDEX(Recipes!$B:$B,MATCH(A510,Recipes!$A:$A,0)),"⚠ unknown recipe_id"))</f>
        <v/>
      </c>
      <c r="E510" s="12" t="str">
        <f aca="false">IF(C510="","",IFERROR(INDEX('Ingredient Catalog'!$C:$C,MATCH(C510,'Ingredient Catalog'!$A:$A,0)),"⚠ not in catalog"))</f>
        <v/>
      </c>
      <c r="G510" s="12" t="str">
        <f aca="false">IF(A510="","",COUNTIFS('Weekly Log'!$A:$A,'Grocery List'!$B$3,'Weekly Log'!$C:$C,A510,'Weekly Log'!$E:$E,"Yes"))</f>
        <v/>
      </c>
      <c r="H510" s="12" t="str">
        <f aca="false">IF(OR(A510="",D510=""),"",D510*G510)</f>
        <v/>
      </c>
    </row>
    <row r="511" customFormat="false" ht="15" hidden="false" customHeight="false" outlineLevel="0" collapsed="false">
      <c r="B511" s="12" t="str">
        <f aca="false">IF(A511="","",IFERROR(INDEX(Recipes!$B:$B,MATCH(A511,Recipes!$A:$A,0)),"⚠ unknown recipe_id"))</f>
        <v/>
      </c>
      <c r="E511" s="12" t="str">
        <f aca="false">IF(C511="","",IFERROR(INDEX('Ingredient Catalog'!$C:$C,MATCH(C511,'Ingredient Catalog'!$A:$A,0)),"⚠ not in catalog"))</f>
        <v/>
      </c>
      <c r="G511" s="12" t="str">
        <f aca="false">IF(A511="","",COUNTIFS('Weekly Log'!$A:$A,'Grocery List'!$B$3,'Weekly Log'!$C:$C,A511,'Weekly Log'!$E:$E,"Yes"))</f>
        <v/>
      </c>
      <c r="H511" s="12" t="str">
        <f aca="false">IF(OR(A511="",D511=""),"",D511*G511)</f>
        <v/>
      </c>
    </row>
    <row r="512" customFormat="false" ht="15" hidden="false" customHeight="false" outlineLevel="0" collapsed="false">
      <c r="B512" s="12" t="str">
        <f aca="false">IF(A512="","",IFERROR(INDEX(Recipes!$B:$B,MATCH(A512,Recipes!$A:$A,0)),"⚠ unknown recipe_id"))</f>
        <v/>
      </c>
      <c r="E512" s="12" t="str">
        <f aca="false">IF(C512="","",IFERROR(INDEX('Ingredient Catalog'!$C:$C,MATCH(C512,'Ingredient Catalog'!$A:$A,0)),"⚠ not in catalog"))</f>
        <v/>
      </c>
      <c r="G512" s="12" t="str">
        <f aca="false">IF(A512="","",COUNTIFS('Weekly Log'!$A:$A,'Grocery List'!$B$3,'Weekly Log'!$C:$C,A512,'Weekly Log'!$E:$E,"Yes"))</f>
        <v/>
      </c>
      <c r="H512" s="12" t="str">
        <f aca="false">IF(OR(A512="",D512=""),"",D512*G512)</f>
        <v/>
      </c>
    </row>
    <row r="513" customFormat="false" ht="15" hidden="false" customHeight="false" outlineLevel="0" collapsed="false">
      <c r="B513" s="12" t="str">
        <f aca="false">IF(A513="","",IFERROR(INDEX(Recipes!$B:$B,MATCH(A513,Recipes!$A:$A,0)),"⚠ unknown recipe_id"))</f>
        <v/>
      </c>
      <c r="E513" s="12" t="str">
        <f aca="false">IF(C513="","",IFERROR(INDEX('Ingredient Catalog'!$C:$C,MATCH(C513,'Ingredient Catalog'!$A:$A,0)),"⚠ not in catalog"))</f>
        <v/>
      </c>
      <c r="G513" s="12" t="str">
        <f aca="false">IF(A513="","",COUNTIFS('Weekly Log'!$A:$A,'Grocery List'!$B$3,'Weekly Log'!$C:$C,A513,'Weekly Log'!$E:$E,"Yes"))</f>
        <v/>
      </c>
      <c r="H513" s="12" t="str">
        <f aca="false">IF(OR(A513="",D513=""),"",D513*G513)</f>
        <v/>
      </c>
    </row>
    <row r="514" customFormat="false" ht="15" hidden="false" customHeight="false" outlineLevel="0" collapsed="false">
      <c r="B514" s="12" t="str">
        <f aca="false">IF(A514="","",IFERROR(INDEX(Recipes!$B:$B,MATCH(A514,Recipes!$A:$A,0)),"⚠ unknown recipe_id"))</f>
        <v/>
      </c>
      <c r="E514" s="12" t="str">
        <f aca="false">IF(C514="","",IFERROR(INDEX('Ingredient Catalog'!$C:$C,MATCH(C514,'Ingredient Catalog'!$A:$A,0)),"⚠ not in catalog"))</f>
        <v/>
      </c>
      <c r="G514" s="12" t="str">
        <f aca="false">IF(A514="","",COUNTIFS('Weekly Log'!$A:$A,'Grocery List'!$B$3,'Weekly Log'!$C:$C,A514,'Weekly Log'!$E:$E,"Yes"))</f>
        <v/>
      </c>
      <c r="H514" s="12" t="str">
        <f aca="false">IF(OR(A514="",D514=""),"",D514*G514)</f>
        <v/>
      </c>
    </row>
    <row r="515" customFormat="false" ht="15" hidden="false" customHeight="false" outlineLevel="0" collapsed="false">
      <c r="B515" s="12" t="str">
        <f aca="false">IF(A515="","",IFERROR(INDEX(Recipes!$B:$B,MATCH(A515,Recipes!$A:$A,0)),"⚠ unknown recipe_id"))</f>
        <v/>
      </c>
      <c r="E515" s="12" t="str">
        <f aca="false">IF(C515="","",IFERROR(INDEX('Ingredient Catalog'!$C:$C,MATCH(C515,'Ingredient Catalog'!$A:$A,0)),"⚠ not in catalog"))</f>
        <v/>
      </c>
      <c r="G515" s="12" t="str">
        <f aca="false">IF(A515="","",COUNTIFS('Weekly Log'!$A:$A,'Grocery List'!$B$3,'Weekly Log'!$C:$C,A515,'Weekly Log'!$E:$E,"Yes"))</f>
        <v/>
      </c>
      <c r="H515" s="12" t="str">
        <f aca="false">IF(OR(A515="",D515=""),"",D515*G515)</f>
        <v/>
      </c>
    </row>
    <row r="516" customFormat="false" ht="15" hidden="false" customHeight="false" outlineLevel="0" collapsed="false">
      <c r="B516" s="12" t="str">
        <f aca="false">IF(A516="","",IFERROR(INDEX(Recipes!$B:$B,MATCH(A516,Recipes!$A:$A,0)),"⚠ unknown recipe_id"))</f>
        <v/>
      </c>
      <c r="E516" s="12" t="str">
        <f aca="false">IF(C516="","",IFERROR(INDEX('Ingredient Catalog'!$C:$C,MATCH(C516,'Ingredient Catalog'!$A:$A,0)),"⚠ not in catalog"))</f>
        <v/>
      </c>
      <c r="G516" s="12" t="str">
        <f aca="false">IF(A516="","",COUNTIFS('Weekly Log'!$A:$A,'Grocery List'!$B$3,'Weekly Log'!$C:$C,A516,'Weekly Log'!$E:$E,"Yes"))</f>
        <v/>
      </c>
      <c r="H516" s="12" t="str">
        <f aca="false">IF(OR(A516="",D516=""),"",D516*G516)</f>
        <v/>
      </c>
    </row>
    <row r="517" customFormat="false" ht="15" hidden="false" customHeight="false" outlineLevel="0" collapsed="false">
      <c r="B517" s="12" t="str">
        <f aca="false">IF(A517="","",IFERROR(INDEX(Recipes!$B:$B,MATCH(A517,Recipes!$A:$A,0)),"⚠ unknown recipe_id"))</f>
        <v/>
      </c>
      <c r="E517" s="12" t="str">
        <f aca="false">IF(C517="","",IFERROR(INDEX('Ingredient Catalog'!$C:$C,MATCH(C517,'Ingredient Catalog'!$A:$A,0)),"⚠ not in catalog"))</f>
        <v/>
      </c>
      <c r="G517" s="12" t="str">
        <f aca="false">IF(A517="","",COUNTIFS('Weekly Log'!$A:$A,'Grocery List'!$B$3,'Weekly Log'!$C:$C,A517,'Weekly Log'!$E:$E,"Yes"))</f>
        <v/>
      </c>
      <c r="H517" s="12" t="str">
        <f aca="false">IF(OR(A517="",D517=""),"",D517*G517)</f>
        <v/>
      </c>
    </row>
    <row r="518" customFormat="false" ht="15" hidden="false" customHeight="false" outlineLevel="0" collapsed="false">
      <c r="B518" s="12" t="str">
        <f aca="false">IF(A518="","",IFERROR(INDEX(Recipes!$B:$B,MATCH(A518,Recipes!$A:$A,0)),"⚠ unknown recipe_id"))</f>
        <v/>
      </c>
      <c r="E518" s="12" t="str">
        <f aca="false">IF(C518="","",IFERROR(INDEX('Ingredient Catalog'!$C:$C,MATCH(C518,'Ingredient Catalog'!$A:$A,0)),"⚠ not in catalog"))</f>
        <v/>
      </c>
      <c r="G518" s="12" t="str">
        <f aca="false">IF(A518="","",COUNTIFS('Weekly Log'!$A:$A,'Grocery List'!$B$3,'Weekly Log'!$C:$C,A518,'Weekly Log'!$E:$E,"Yes"))</f>
        <v/>
      </c>
      <c r="H518" s="12" t="str">
        <f aca="false">IF(OR(A518="",D518=""),"",D518*G518)</f>
        <v/>
      </c>
    </row>
    <row r="519" customFormat="false" ht="15" hidden="false" customHeight="false" outlineLevel="0" collapsed="false">
      <c r="B519" s="12" t="str">
        <f aca="false">IF(A519="","",IFERROR(INDEX(Recipes!$B:$B,MATCH(A519,Recipes!$A:$A,0)),"⚠ unknown recipe_id"))</f>
        <v/>
      </c>
      <c r="E519" s="12" t="str">
        <f aca="false">IF(C519="","",IFERROR(INDEX('Ingredient Catalog'!$C:$C,MATCH(C519,'Ingredient Catalog'!$A:$A,0)),"⚠ not in catalog"))</f>
        <v/>
      </c>
      <c r="G519" s="12" t="str">
        <f aca="false">IF(A519="","",COUNTIFS('Weekly Log'!$A:$A,'Grocery List'!$B$3,'Weekly Log'!$C:$C,A519,'Weekly Log'!$E:$E,"Yes"))</f>
        <v/>
      </c>
      <c r="H519" s="12" t="str">
        <f aca="false">IF(OR(A519="",D519=""),"",D519*G519)</f>
        <v/>
      </c>
    </row>
    <row r="520" customFormat="false" ht="15" hidden="false" customHeight="false" outlineLevel="0" collapsed="false">
      <c r="B520" s="12" t="str">
        <f aca="false">IF(A520="","",IFERROR(INDEX(Recipes!$B:$B,MATCH(A520,Recipes!$A:$A,0)),"⚠ unknown recipe_id"))</f>
        <v/>
      </c>
      <c r="E520" s="12" t="str">
        <f aca="false">IF(C520="","",IFERROR(INDEX('Ingredient Catalog'!$C:$C,MATCH(C520,'Ingredient Catalog'!$A:$A,0)),"⚠ not in catalog"))</f>
        <v/>
      </c>
      <c r="G520" s="12" t="str">
        <f aca="false">IF(A520="","",COUNTIFS('Weekly Log'!$A:$A,'Grocery List'!$B$3,'Weekly Log'!$C:$C,A520,'Weekly Log'!$E:$E,"Yes"))</f>
        <v/>
      </c>
      <c r="H520" s="12" t="str">
        <f aca="false">IF(OR(A520="",D520=""),"",D520*G520)</f>
        <v/>
      </c>
    </row>
    <row r="521" customFormat="false" ht="15" hidden="false" customHeight="false" outlineLevel="0" collapsed="false">
      <c r="B521" s="12" t="str">
        <f aca="false">IF(A521="","",IFERROR(INDEX(Recipes!$B:$B,MATCH(A521,Recipes!$A:$A,0)),"⚠ unknown recipe_id"))</f>
        <v/>
      </c>
      <c r="E521" s="12" t="str">
        <f aca="false">IF(C521="","",IFERROR(INDEX('Ingredient Catalog'!$C:$C,MATCH(C521,'Ingredient Catalog'!$A:$A,0)),"⚠ not in catalog"))</f>
        <v/>
      </c>
      <c r="G521" s="12" t="str">
        <f aca="false">IF(A521="","",COUNTIFS('Weekly Log'!$A:$A,'Grocery List'!$B$3,'Weekly Log'!$C:$C,A521,'Weekly Log'!$E:$E,"Yes"))</f>
        <v/>
      </c>
      <c r="H521" s="12" t="str">
        <f aca="false">IF(OR(A521="",D521=""),"",D521*G521)</f>
        <v/>
      </c>
    </row>
    <row r="522" customFormat="false" ht="15" hidden="false" customHeight="false" outlineLevel="0" collapsed="false">
      <c r="B522" s="12" t="str">
        <f aca="false">IF(A522="","",IFERROR(INDEX(Recipes!$B:$B,MATCH(A522,Recipes!$A:$A,0)),"⚠ unknown recipe_id"))</f>
        <v/>
      </c>
      <c r="E522" s="12" t="str">
        <f aca="false">IF(C522="","",IFERROR(INDEX('Ingredient Catalog'!$C:$C,MATCH(C522,'Ingredient Catalog'!$A:$A,0)),"⚠ not in catalog"))</f>
        <v/>
      </c>
      <c r="G522" s="12" t="str">
        <f aca="false">IF(A522="","",COUNTIFS('Weekly Log'!$A:$A,'Grocery List'!$B$3,'Weekly Log'!$C:$C,A522,'Weekly Log'!$E:$E,"Yes"))</f>
        <v/>
      </c>
      <c r="H522" s="12" t="str">
        <f aca="false">IF(OR(A522="",D522=""),"",D522*G522)</f>
        <v/>
      </c>
    </row>
    <row r="523" customFormat="false" ht="15" hidden="false" customHeight="false" outlineLevel="0" collapsed="false">
      <c r="B523" s="12" t="str">
        <f aca="false">IF(A523="","",IFERROR(INDEX(Recipes!$B:$B,MATCH(A523,Recipes!$A:$A,0)),"⚠ unknown recipe_id"))</f>
        <v/>
      </c>
      <c r="E523" s="12" t="str">
        <f aca="false">IF(C523="","",IFERROR(INDEX('Ingredient Catalog'!$C:$C,MATCH(C523,'Ingredient Catalog'!$A:$A,0)),"⚠ not in catalog"))</f>
        <v/>
      </c>
      <c r="G523" s="12" t="str">
        <f aca="false">IF(A523="","",COUNTIFS('Weekly Log'!$A:$A,'Grocery List'!$B$3,'Weekly Log'!$C:$C,A523,'Weekly Log'!$E:$E,"Yes"))</f>
        <v/>
      </c>
      <c r="H523" s="12" t="str">
        <f aca="false">IF(OR(A523="",D523=""),"",D523*G523)</f>
        <v/>
      </c>
    </row>
    <row r="524" customFormat="false" ht="15" hidden="false" customHeight="false" outlineLevel="0" collapsed="false">
      <c r="B524" s="12" t="str">
        <f aca="false">IF(A524="","",IFERROR(INDEX(Recipes!$B:$B,MATCH(A524,Recipes!$A:$A,0)),"⚠ unknown recipe_id"))</f>
        <v/>
      </c>
      <c r="E524" s="12" t="str">
        <f aca="false">IF(C524="","",IFERROR(INDEX('Ingredient Catalog'!$C:$C,MATCH(C524,'Ingredient Catalog'!$A:$A,0)),"⚠ not in catalog"))</f>
        <v/>
      </c>
      <c r="G524" s="12" t="str">
        <f aca="false">IF(A524="","",COUNTIFS('Weekly Log'!$A:$A,'Grocery List'!$B$3,'Weekly Log'!$C:$C,A524,'Weekly Log'!$E:$E,"Yes"))</f>
        <v/>
      </c>
      <c r="H524" s="12" t="str">
        <f aca="false">IF(OR(A524="",D524=""),"",D524*G524)</f>
        <v/>
      </c>
    </row>
    <row r="525" customFormat="false" ht="15" hidden="false" customHeight="false" outlineLevel="0" collapsed="false">
      <c r="B525" s="12" t="str">
        <f aca="false">IF(A525="","",IFERROR(INDEX(Recipes!$B:$B,MATCH(A525,Recipes!$A:$A,0)),"⚠ unknown recipe_id"))</f>
        <v/>
      </c>
      <c r="E525" s="12" t="str">
        <f aca="false">IF(C525="","",IFERROR(INDEX('Ingredient Catalog'!$C:$C,MATCH(C525,'Ingredient Catalog'!$A:$A,0)),"⚠ not in catalog"))</f>
        <v/>
      </c>
      <c r="G525" s="12" t="str">
        <f aca="false">IF(A525="","",COUNTIFS('Weekly Log'!$A:$A,'Grocery List'!$B$3,'Weekly Log'!$C:$C,A525,'Weekly Log'!$E:$E,"Yes"))</f>
        <v/>
      </c>
      <c r="H525" s="12" t="str">
        <f aca="false">IF(OR(A525="",D525=""),"",D525*G525)</f>
        <v/>
      </c>
    </row>
    <row r="526" customFormat="false" ht="15" hidden="false" customHeight="false" outlineLevel="0" collapsed="false">
      <c r="B526" s="12" t="str">
        <f aca="false">IF(A526="","",IFERROR(INDEX(Recipes!$B:$B,MATCH(A526,Recipes!$A:$A,0)),"⚠ unknown recipe_id"))</f>
        <v/>
      </c>
      <c r="E526" s="12" t="str">
        <f aca="false">IF(C526="","",IFERROR(INDEX('Ingredient Catalog'!$C:$C,MATCH(C526,'Ingredient Catalog'!$A:$A,0)),"⚠ not in catalog"))</f>
        <v/>
      </c>
      <c r="G526" s="12" t="str">
        <f aca="false">IF(A526="","",COUNTIFS('Weekly Log'!$A:$A,'Grocery List'!$B$3,'Weekly Log'!$C:$C,A526,'Weekly Log'!$E:$E,"Yes"))</f>
        <v/>
      </c>
      <c r="H526" s="12" t="str">
        <f aca="false">IF(OR(A526="",D526=""),"",D526*G526)</f>
        <v/>
      </c>
    </row>
    <row r="527" customFormat="false" ht="15" hidden="false" customHeight="false" outlineLevel="0" collapsed="false">
      <c r="B527" s="12" t="str">
        <f aca="false">IF(A527="","",IFERROR(INDEX(Recipes!$B:$B,MATCH(A527,Recipes!$A:$A,0)),"⚠ unknown recipe_id"))</f>
        <v/>
      </c>
      <c r="E527" s="12" t="str">
        <f aca="false">IF(C527="","",IFERROR(INDEX('Ingredient Catalog'!$C:$C,MATCH(C527,'Ingredient Catalog'!$A:$A,0)),"⚠ not in catalog"))</f>
        <v/>
      </c>
      <c r="G527" s="12" t="str">
        <f aca="false">IF(A527="","",COUNTIFS('Weekly Log'!$A:$A,'Grocery List'!$B$3,'Weekly Log'!$C:$C,A527,'Weekly Log'!$E:$E,"Yes"))</f>
        <v/>
      </c>
      <c r="H527" s="12" t="str">
        <f aca="false">IF(OR(A527="",D527=""),"",D527*G527)</f>
        <v/>
      </c>
    </row>
    <row r="528" customFormat="false" ht="15" hidden="false" customHeight="false" outlineLevel="0" collapsed="false">
      <c r="B528" s="12" t="str">
        <f aca="false">IF(A528="","",IFERROR(INDEX(Recipes!$B:$B,MATCH(A528,Recipes!$A:$A,0)),"⚠ unknown recipe_id"))</f>
        <v/>
      </c>
      <c r="E528" s="12" t="str">
        <f aca="false">IF(C528="","",IFERROR(INDEX('Ingredient Catalog'!$C:$C,MATCH(C528,'Ingredient Catalog'!$A:$A,0)),"⚠ not in catalog"))</f>
        <v/>
      </c>
      <c r="G528" s="12" t="str">
        <f aca="false">IF(A528="","",COUNTIFS('Weekly Log'!$A:$A,'Grocery List'!$B$3,'Weekly Log'!$C:$C,A528,'Weekly Log'!$E:$E,"Yes"))</f>
        <v/>
      </c>
      <c r="H528" s="12" t="str">
        <f aca="false">IF(OR(A528="",D528=""),"",D528*G528)</f>
        <v/>
      </c>
    </row>
    <row r="529" customFormat="false" ht="15" hidden="false" customHeight="false" outlineLevel="0" collapsed="false">
      <c r="B529" s="12" t="str">
        <f aca="false">IF(A529="","",IFERROR(INDEX(Recipes!$B:$B,MATCH(A529,Recipes!$A:$A,0)),"⚠ unknown recipe_id"))</f>
        <v/>
      </c>
      <c r="E529" s="12" t="str">
        <f aca="false">IF(C529="","",IFERROR(INDEX('Ingredient Catalog'!$C:$C,MATCH(C529,'Ingredient Catalog'!$A:$A,0)),"⚠ not in catalog"))</f>
        <v/>
      </c>
      <c r="G529" s="12" t="str">
        <f aca="false">IF(A529="","",COUNTIFS('Weekly Log'!$A:$A,'Grocery List'!$B$3,'Weekly Log'!$C:$C,A529,'Weekly Log'!$E:$E,"Yes"))</f>
        <v/>
      </c>
      <c r="H529" s="12" t="str">
        <f aca="false">IF(OR(A529="",D529=""),"",D529*G529)</f>
        <v/>
      </c>
    </row>
    <row r="530" customFormat="false" ht="15" hidden="false" customHeight="false" outlineLevel="0" collapsed="false">
      <c r="B530" s="12" t="str">
        <f aca="false">IF(A530="","",IFERROR(INDEX(Recipes!$B:$B,MATCH(A530,Recipes!$A:$A,0)),"⚠ unknown recipe_id"))</f>
        <v/>
      </c>
      <c r="E530" s="12" t="str">
        <f aca="false">IF(C530="","",IFERROR(INDEX('Ingredient Catalog'!$C:$C,MATCH(C530,'Ingredient Catalog'!$A:$A,0)),"⚠ not in catalog"))</f>
        <v/>
      </c>
      <c r="G530" s="12" t="str">
        <f aca="false">IF(A530="","",COUNTIFS('Weekly Log'!$A:$A,'Grocery List'!$B$3,'Weekly Log'!$C:$C,A530,'Weekly Log'!$E:$E,"Yes"))</f>
        <v/>
      </c>
      <c r="H530" s="12" t="str">
        <f aca="false">IF(OR(A530="",D530=""),"",D530*G530)</f>
        <v/>
      </c>
    </row>
    <row r="531" customFormat="false" ht="15" hidden="false" customHeight="false" outlineLevel="0" collapsed="false">
      <c r="B531" s="12" t="str">
        <f aca="false">IF(A531="","",IFERROR(INDEX(Recipes!$B:$B,MATCH(A531,Recipes!$A:$A,0)),"⚠ unknown recipe_id"))</f>
        <v/>
      </c>
      <c r="E531" s="12" t="str">
        <f aca="false">IF(C531="","",IFERROR(INDEX('Ingredient Catalog'!$C:$C,MATCH(C531,'Ingredient Catalog'!$A:$A,0)),"⚠ not in catalog"))</f>
        <v/>
      </c>
      <c r="G531" s="12" t="str">
        <f aca="false">IF(A531="","",COUNTIFS('Weekly Log'!$A:$A,'Grocery List'!$B$3,'Weekly Log'!$C:$C,A531,'Weekly Log'!$E:$E,"Yes"))</f>
        <v/>
      </c>
      <c r="H531" s="12" t="str">
        <f aca="false">IF(OR(A531="",D531=""),"",D531*G531)</f>
        <v/>
      </c>
    </row>
    <row r="532" customFormat="false" ht="15" hidden="false" customHeight="false" outlineLevel="0" collapsed="false">
      <c r="B532" s="12" t="str">
        <f aca="false">IF(A532="","",IFERROR(INDEX(Recipes!$B:$B,MATCH(A532,Recipes!$A:$A,0)),"⚠ unknown recipe_id"))</f>
        <v/>
      </c>
      <c r="E532" s="12" t="str">
        <f aca="false">IF(C532="","",IFERROR(INDEX('Ingredient Catalog'!$C:$C,MATCH(C532,'Ingredient Catalog'!$A:$A,0)),"⚠ not in catalog"))</f>
        <v/>
      </c>
      <c r="G532" s="12" t="str">
        <f aca="false">IF(A532="","",COUNTIFS('Weekly Log'!$A:$A,'Grocery List'!$B$3,'Weekly Log'!$C:$C,A532,'Weekly Log'!$E:$E,"Yes"))</f>
        <v/>
      </c>
      <c r="H532" s="12" t="str">
        <f aca="false">IF(OR(A532="",D532=""),"",D532*G532)</f>
        <v/>
      </c>
    </row>
    <row r="533" customFormat="false" ht="15" hidden="false" customHeight="false" outlineLevel="0" collapsed="false">
      <c r="B533" s="12" t="str">
        <f aca="false">IF(A533="","",IFERROR(INDEX(Recipes!$B:$B,MATCH(A533,Recipes!$A:$A,0)),"⚠ unknown recipe_id"))</f>
        <v/>
      </c>
      <c r="E533" s="12" t="str">
        <f aca="false">IF(C533="","",IFERROR(INDEX('Ingredient Catalog'!$C:$C,MATCH(C533,'Ingredient Catalog'!$A:$A,0)),"⚠ not in catalog"))</f>
        <v/>
      </c>
      <c r="G533" s="12" t="str">
        <f aca="false">IF(A533="","",COUNTIFS('Weekly Log'!$A:$A,'Grocery List'!$B$3,'Weekly Log'!$C:$C,A533,'Weekly Log'!$E:$E,"Yes"))</f>
        <v/>
      </c>
      <c r="H533" s="12" t="str">
        <f aca="false">IF(OR(A533="",D533=""),"",D533*G533)</f>
        <v/>
      </c>
    </row>
    <row r="534" customFormat="false" ht="15" hidden="false" customHeight="false" outlineLevel="0" collapsed="false">
      <c r="B534" s="12" t="str">
        <f aca="false">IF(A534="","",IFERROR(INDEX(Recipes!$B:$B,MATCH(A534,Recipes!$A:$A,0)),"⚠ unknown recipe_id"))</f>
        <v/>
      </c>
      <c r="E534" s="12" t="str">
        <f aca="false">IF(C534="","",IFERROR(INDEX('Ingredient Catalog'!$C:$C,MATCH(C534,'Ingredient Catalog'!$A:$A,0)),"⚠ not in catalog"))</f>
        <v/>
      </c>
      <c r="G534" s="12" t="str">
        <f aca="false">IF(A534="","",COUNTIFS('Weekly Log'!$A:$A,'Grocery List'!$B$3,'Weekly Log'!$C:$C,A534,'Weekly Log'!$E:$E,"Yes"))</f>
        <v/>
      </c>
      <c r="H534" s="12" t="str">
        <f aca="false">IF(OR(A534="",D534=""),"",D534*G534)</f>
        <v/>
      </c>
    </row>
    <row r="535" customFormat="false" ht="15" hidden="false" customHeight="false" outlineLevel="0" collapsed="false">
      <c r="B535" s="12" t="str">
        <f aca="false">IF(A535="","",IFERROR(INDEX(Recipes!$B:$B,MATCH(A535,Recipes!$A:$A,0)),"⚠ unknown recipe_id"))</f>
        <v/>
      </c>
      <c r="E535" s="12" t="str">
        <f aca="false">IF(C535="","",IFERROR(INDEX('Ingredient Catalog'!$C:$C,MATCH(C535,'Ingredient Catalog'!$A:$A,0)),"⚠ not in catalog"))</f>
        <v/>
      </c>
      <c r="G535" s="12" t="str">
        <f aca="false">IF(A535="","",COUNTIFS('Weekly Log'!$A:$A,'Grocery List'!$B$3,'Weekly Log'!$C:$C,A535,'Weekly Log'!$E:$E,"Yes"))</f>
        <v/>
      </c>
      <c r="H535" s="12" t="str">
        <f aca="false">IF(OR(A535="",D535=""),"",D535*G535)</f>
        <v/>
      </c>
    </row>
    <row r="536" customFormat="false" ht="15" hidden="false" customHeight="false" outlineLevel="0" collapsed="false">
      <c r="B536" s="12" t="str">
        <f aca="false">IF(A536="","",IFERROR(INDEX(Recipes!$B:$B,MATCH(A536,Recipes!$A:$A,0)),"⚠ unknown recipe_id"))</f>
        <v/>
      </c>
      <c r="E536" s="12" t="str">
        <f aca="false">IF(C536="","",IFERROR(INDEX('Ingredient Catalog'!$C:$C,MATCH(C536,'Ingredient Catalog'!$A:$A,0)),"⚠ not in catalog"))</f>
        <v/>
      </c>
      <c r="G536" s="12" t="str">
        <f aca="false">IF(A536="","",COUNTIFS('Weekly Log'!$A:$A,'Grocery List'!$B$3,'Weekly Log'!$C:$C,A536,'Weekly Log'!$E:$E,"Yes"))</f>
        <v/>
      </c>
      <c r="H536" s="12" t="str">
        <f aca="false">IF(OR(A536="",D536=""),"",D536*G536)</f>
        <v/>
      </c>
    </row>
    <row r="537" customFormat="false" ht="15" hidden="false" customHeight="false" outlineLevel="0" collapsed="false">
      <c r="B537" s="12" t="str">
        <f aca="false">IF(A537="","",IFERROR(INDEX(Recipes!$B:$B,MATCH(A537,Recipes!$A:$A,0)),"⚠ unknown recipe_id"))</f>
        <v/>
      </c>
      <c r="E537" s="12" t="str">
        <f aca="false">IF(C537="","",IFERROR(INDEX('Ingredient Catalog'!$C:$C,MATCH(C537,'Ingredient Catalog'!$A:$A,0)),"⚠ not in catalog"))</f>
        <v/>
      </c>
      <c r="G537" s="12" t="str">
        <f aca="false">IF(A537="","",COUNTIFS('Weekly Log'!$A:$A,'Grocery List'!$B$3,'Weekly Log'!$C:$C,A537,'Weekly Log'!$E:$E,"Yes"))</f>
        <v/>
      </c>
      <c r="H537" s="12" t="str">
        <f aca="false">IF(OR(A537="",D537=""),"",D537*G537)</f>
        <v/>
      </c>
    </row>
    <row r="538" customFormat="false" ht="15" hidden="false" customHeight="false" outlineLevel="0" collapsed="false">
      <c r="B538" s="12" t="str">
        <f aca="false">IF(A538="","",IFERROR(INDEX(Recipes!$B:$B,MATCH(A538,Recipes!$A:$A,0)),"⚠ unknown recipe_id"))</f>
        <v/>
      </c>
      <c r="E538" s="12" t="str">
        <f aca="false">IF(C538="","",IFERROR(INDEX('Ingredient Catalog'!$C:$C,MATCH(C538,'Ingredient Catalog'!$A:$A,0)),"⚠ not in catalog"))</f>
        <v/>
      </c>
      <c r="G538" s="12" t="str">
        <f aca="false">IF(A538="","",COUNTIFS('Weekly Log'!$A:$A,'Grocery List'!$B$3,'Weekly Log'!$C:$C,A538,'Weekly Log'!$E:$E,"Yes"))</f>
        <v/>
      </c>
      <c r="H538" s="12" t="str">
        <f aca="false">IF(OR(A538="",D538=""),"",D538*G538)</f>
        <v/>
      </c>
    </row>
    <row r="539" customFormat="false" ht="15" hidden="false" customHeight="false" outlineLevel="0" collapsed="false">
      <c r="B539" s="12" t="str">
        <f aca="false">IF(A539="","",IFERROR(INDEX(Recipes!$B:$B,MATCH(A539,Recipes!$A:$A,0)),"⚠ unknown recipe_id"))</f>
        <v/>
      </c>
      <c r="E539" s="12" t="str">
        <f aca="false">IF(C539="","",IFERROR(INDEX('Ingredient Catalog'!$C:$C,MATCH(C539,'Ingredient Catalog'!$A:$A,0)),"⚠ not in catalog"))</f>
        <v/>
      </c>
      <c r="G539" s="12" t="str">
        <f aca="false">IF(A539="","",COUNTIFS('Weekly Log'!$A:$A,'Grocery List'!$B$3,'Weekly Log'!$C:$C,A539,'Weekly Log'!$E:$E,"Yes"))</f>
        <v/>
      </c>
      <c r="H539" s="12" t="str">
        <f aca="false">IF(OR(A539="",D539=""),"",D539*G539)</f>
        <v/>
      </c>
    </row>
    <row r="540" customFormat="false" ht="15" hidden="false" customHeight="false" outlineLevel="0" collapsed="false">
      <c r="B540" s="12" t="str">
        <f aca="false">IF(A540="","",IFERROR(INDEX(Recipes!$B:$B,MATCH(A540,Recipes!$A:$A,0)),"⚠ unknown recipe_id"))</f>
        <v/>
      </c>
      <c r="E540" s="12" t="str">
        <f aca="false">IF(C540="","",IFERROR(INDEX('Ingredient Catalog'!$C:$C,MATCH(C540,'Ingredient Catalog'!$A:$A,0)),"⚠ not in catalog"))</f>
        <v/>
      </c>
      <c r="G540" s="12" t="str">
        <f aca="false">IF(A540="","",COUNTIFS('Weekly Log'!$A:$A,'Grocery List'!$B$3,'Weekly Log'!$C:$C,A540,'Weekly Log'!$E:$E,"Yes"))</f>
        <v/>
      </c>
      <c r="H540" s="12" t="str">
        <f aca="false">IF(OR(A540="",D540=""),"",D540*G540)</f>
        <v/>
      </c>
    </row>
    <row r="541" customFormat="false" ht="15" hidden="false" customHeight="false" outlineLevel="0" collapsed="false">
      <c r="B541" s="12" t="str">
        <f aca="false">IF(A541="","",IFERROR(INDEX(Recipes!$B:$B,MATCH(A541,Recipes!$A:$A,0)),"⚠ unknown recipe_id"))</f>
        <v/>
      </c>
      <c r="E541" s="12" t="str">
        <f aca="false">IF(C541="","",IFERROR(INDEX('Ingredient Catalog'!$C:$C,MATCH(C541,'Ingredient Catalog'!$A:$A,0)),"⚠ not in catalog"))</f>
        <v/>
      </c>
      <c r="G541" s="12" t="str">
        <f aca="false">IF(A541="","",COUNTIFS('Weekly Log'!$A:$A,'Grocery List'!$B$3,'Weekly Log'!$C:$C,A541,'Weekly Log'!$E:$E,"Yes"))</f>
        <v/>
      </c>
      <c r="H541" s="12" t="str">
        <f aca="false">IF(OR(A541="",D541=""),"",D541*G541)</f>
        <v/>
      </c>
    </row>
    <row r="542" customFormat="false" ht="15" hidden="false" customHeight="false" outlineLevel="0" collapsed="false">
      <c r="B542" s="12" t="str">
        <f aca="false">IF(A542="","",IFERROR(INDEX(Recipes!$B:$B,MATCH(A542,Recipes!$A:$A,0)),"⚠ unknown recipe_id"))</f>
        <v/>
      </c>
      <c r="E542" s="12" t="str">
        <f aca="false">IF(C542="","",IFERROR(INDEX('Ingredient Catalog'!$C:$C,MATCH(C542,'Ingredient Catalog'!$A:$A,0)),"⚠ not in catalog"))</f>
        <v/>
      </c>
      <c r="G542" s="12" t="str">
        <f aca="false">IF(A542="","",COUNTIFS('Weekly Log'!$A:$A,'Grocery List'!$B$3,'Weekly Log'!$C:$C,A542,'Weekly Log'!$E:$E,"Yes"))</f>
        <v/>
      </c>
      <c r="H542" s="12" t="str">
        <f aca="false">IF(OR(A542="",D542=""),"",D542*G542)</f>
        <v/>
      </c>
    </row>
    <row r="543" customFormat="false" ht="15" hidden="false" customHeight="false" outlineLevel="0" collapsed="false">
      <c r="B543" s="12" t="str">
        <f aca="false">IF(A543="","",IFERROR(INDEX(Recipes!$B:$B,MATCH(A543,Recipes!$A:$A,0)),"⚠ unknown recipe_id"))</f>
        <v/>
      </c>
      <c r="E543" s="12" t="str">
        <f aca="false">IF(C543="","",IFERROR(INDEX('Ingredient Catalog'!$C:$C,MATCH(C543,'Ingredient Catalog'!$A:$A,0)),"⚠ not in catalog"))</f>
        <v/>
      </c>
      <c r="G543" s="12" t="str">
        <f aca="false">IF(A543="","",COUNTIFS('Weekly Log'!$A:$A,'Grocery List'!$B$3,'Weekly Log'!$C:$C,A543,'Weekly Log'!$E:$E,"Yes"))</f>
        <v/>
      </c>
      <c r="H543" s="12" t="str">
        <f aca="false">IF(OR(A543="",D543=""),"",D543*G543)</f>
        <v/>
      </c>
    </row>
    <row r="544" customFormat="false" ht="15" hidden="false" customHeight="false" outlineLevel="0" collapsed="false">
      <c r="B544" s="12" t="str">
        <f aca="false">IF(A544="","",IFERROR(INDEX(Recipes!$B:$B,MATCH(A544,Recipes!$A:$A,0)),"⚠ unknown recipe_id"))</f>
        <v/>
      </c>
      <c r="E544" s="12" t="str">
        <f aca="false">IF(C544="","",IFERROR(INDEX('Ingredient Catalog'!$C:$C,MATCH(C544,'Ingredient Catalog'!$A:$A,0)),"⚠ not in catalog"))</f>
        <v/>
      </c>
      <c r="G544" s="12" t="str">
        <f aca="false">IF(A544="","",COUNTIFS('Weekly Log'!$A:$A,'Grocery List'!$B$3,'Weekly Log'!$C:$C,A544,'Weekly Log'!$E:$E,"Yes"))</f>
        <v/>
      </c>
      <c r="H544" s="12" t="str">
        <f aca="false">IF(OR(A544="",D544=""),"",D544*G544)</f>
        <v/>
      </c>
    </row>
    <row r="545" customFormat="false" ht="15" hidden="false" customHeight="false" outlineLevel="0" collapsed="false">
      <c r="B545" s="12" t="str">
        <f aca="false">IF(A545="","",IFERROR(INDEX(Recipes!$B:$B,MATCH(A545,Recipes!$A:$A,0)),"⚠ unknown recipe_id"))</f>
        <v/>
      </c>
      <c r="E545" s="12" t="str">
        <f aca="false">IF(C545="","",IFERROR(INDEX('Ingredient Catalog'!$C:$C,MATCH(C545,'Ingredient Catalog'!$A:$A,0)),"⚠ not in catalog"))</f>
        <v/>
      </c>
      <c r="G545" s="12" t="str">
        <f aca="false">IF(A545="","",COUNTIFS('Weekly Log'!$A:$A,'Grocery List'!$B$3,'Weekly Log'!$C:$C,A545,'Weekly Log'!$E:$E,"Yes"))</f>
        <v/>
      </c>
      <c r="H545" s="12" t="str">
        <f aca="false">IF(OR(A545="",D545=""),"",D545*G545)</f>
        <v/>
      </c>
    </row>
    <row r="546" customFormat="false" ht="15" hidden="false" customHeight="false" outlineLevel="0" collapsed="false">
      <c r="B546" s="12" t="str">
        <f aca="false">IF(A546="","",IFERROR(INDEX(Recipes!$B:$B,MATCH(A546,Recipes!$A:$A,0)),"⚠ unknown recipe_id"))</f>
        <v/>
      </c>
      <c r="E546" s="12" t="str">
        <f aca="false">IF(C546="","",IFERROR(INDEX('Ingredient Catalog'!$C:$C,MATCH(C546,'Ingredient Catalog'!$A:$A,0)),"⚠ not in catalog"))</f>
        <v/>
      </c>
      <c r="G546" s="12" t="str">
        <f aca="false">IF(A546="","",COUNTIFS('Weekly Log'!$A:$A,'Grocery List'!$B$3,'Weekly Log'!$C:$C,A546,'Weekly Log'!$E:$E,"Yes"))</f>
        <v/>
      </c>
      <c r="H546" s="12" t="str">
        <f aca="false">IF(OR(A546="",D546=""),"",D546*G546)</f>
        <v/>
      </c>
    </row>
    <row r="547" customFormat="false" ht="15" hidden="false" customHeight="false" outlineLevel="0" collapsed="false">
      <c r="B547" s="12" t="str">
        <f aca="false">IF(A547="","",IFERROR(INDEX(Recipes!$B:$B,MATCH(A547,Recipes!$A:$A,0)),"⚠ unknown recipe_id"))</f>
        <v/>
      </c>
      <c r="E547" s="12" t="str">
        <f aca="false">IF(C547="","",IFERROR(INDEX('Ingredient Catalog'!$C:$C,MATCH(C547,'Ingredient Catalog'!$A:$A,0)),"⚠ not in catalog"))</f>
        <v/>
      </c>
      <c r="G547" s="12" t="str">
        <f aca="false">IF(A547="","",COUNTIFS('Weekly Log'!$A:$A,'Grocery List'!$B$3,'Weekly Log'!$C:$C,A547,'Weekly Log'!$E:$E,"Yes"))</f>
        <v/>
      </c>
      <c r="H547" s="12" t="str">
        <f aca="false">IF(OR(A547="",D547=""),"",D547*G547)</f>
        <v/>
      </c>
    </row>
    <row r="548" customFormat="false" ht="15" hidden="false" customHeight="false" outlineLevel="0" collapsed="false">
      <c r="B548" s="12" t="str">
        <f aca="false">IF(A548="","",IFERROR(INDEX(Recipes!$B:$B,MATCH(A548,Recipes!$A:$A,0)),"⚠ unknown recipe_id"))</f>
        <v/>
      </c>
      <c r="E548" s="12" t="str">
        <f aca="false">IF(C548="","",IFERROR(INDEX('Ingredient Catalog'!$C:$C,MATCH(C548,'Ingredient Catalog'!$A:$A,0)),"⚠ not in catalog"))</f>
        <v/>
      </c>
      <c r="G548" s="12" t="str">
        <f aca="false">IF(A548="","",COUNTIFS('Weekly Log'!$A:$A,'Grocery List'!$B$3,'Weekly Log'!$C:$C,A548,'Weekly Log'!$E:$E,"Yes"))</f>
        <v/>
      </c>
      <c r="H548" s="12" t="str">
        <f aca="false">IF(OR(A548="",D548=""),"",D548*G548)</f>
        <v/>
      </c>
    </row>
    <row r="549" customFormat="false" ht="15" hidden="false" customHeight="false" outlineLevel="0" collapsed="false">
      <c r="B549" s="12" t="str">
        <f aca="false">IF(A549="","",IFERROR(INDEX(Recipes!$B:$B,MATCH(A549,Recipes!$A:$A,0)),"⚠ unknown recipe_id"))</f>
        <v/>
      </c>
      <c r="E549" s="12" t="str">
        <f aca="false">IF(C549="","",IFERROR(INDEX('Ingredient Catalog'!$C:$C,MATCH(C549,'Ingredient Catalog'!$A:$A,0)),"⚠ not in catalog"))</f>
        <v/>
      </c>
      <c r="G549" s="12" t="str">
        <f aca="false">IF(A549="","",COUNTIFS('Weekly Log'!$A:$A,'Grocery List'!$B$3,'Weekly Log'!$C:$C,A549,'Weekly Log'!$E:$E,"Yes"))</f>
        <v/>
      </c>
      <c r="H549" s="12" t="str">
        <f aca="false">IF(OR(A549="",D549=""),"",D549*G549)</f>
        <v/>
      </c>
    </row>
    <row r="550" customFormat="false" ht="15" hidden="false" customHeight="false" outlineLevel="0" collapsed="false">
      <c r="B550" s="12" t="str">
        <f aca="false">IF(A550="","",IFERROR(INDEX(Recipes!$B:$B,MATCH(A550,Recipes!$A:$A,0)),"⚠ unknown recipe_id"))</f>
        <v/>
      </c>
      <c r="E550" s="12" t="str">
        <f aca="false">IF(C550="","",IFERROR(INDEX('Ingredient Catalog'!$C:$C,MATCH(C550,'Ingredient Catalog'!$A:$A,0)),"⚠ not in catalog"))</f>
        <v/>
      </c>
      <c r="G550" s="12" t="str">
        <f aca="false">IF(A550="","",COUNTIFS('Weekly Log'!$A:$A,'Grocery List'!$B$3,'Weekly Log'!$C:$C,A550,'Weekly Log'!$E:$E,"Yes"))</f>
        <v/>
      </c>
      <c r="H550" s="12" t="str">
        <f aca="false">IF(OR(A550="",D550=""),"",D550*G550)</f>
        <v/>
      </c>
    </row>
    <row r="551" customFormat="false" ht="15" hidden="false" customHeight="false" outlineLevel="0" collapsed="false">
      <c r="B551" s="12" t="str">
        <f aca="false">IF(A551="","",IFERROR(INDEX(Recipes!$B:$B,MATCH(A551,Recipes!$A:$A,0)),"⚠ unknown recipe_id"))</f>
        <v/>
      </c>
      <c r="E551" s="12" t="str">
        <f aca="false">IF(C551="","",IFERROR(INDEX('Ingredient Catalog'!$C:$C,MATCH(C551,'Ingredient Catalog'!$A:$A,0)),"⚠ not in catalog"))</f>
        <v/>
      </c>
      <c r="G551" s="12" t="str">
        <f aca="false">IF(A551="","",COUNTIFS('Weekly Log'!$A:$A,'Grocery List'!$B$3,'Weekly Log'!$C:$C,A551,'Weekly Log'!$E:$E,"Yes"))</f>
        <v/>
      </c>
      <c r="H551" s="12" t="str">
        <f aca="false">IF(OR(A551="",D551=""),"",D551*G551)</f>
        <v/>
      </c>
    </row>
    <row r="552" customFormat="false" ht="15" hidden="false" customHeight="false" outlineLevel="0" collapsed="false">
      <c r="B552" s="12" t="str">
        <f aca="false">IF(A552="","",IFERROR(INDEX(Recipes!$B:$B,MATCH(A552,Recipes!$A:$A,0)),"⚠ unknown recipe_id"))</f>
        <v/>
      </c>
      <c r="E552" s="12" t="str">
        <f aca="false">IF(C552="","",IFERROR(INDEX('Ingredient Catalog'!$C:$C,MATCH(C552,'Ingredient Catalog'!$A:$A,0)),"⚠ not in catalog"))</f>
        <v/>
      </c>
      <c r="G552" s="12" t="str">
        <f aca="false">IF(A552="","",COUNTIFS('Weekly Log'!$A:$A,'Grocery List'!$B$3,'Weekly Log'!$C:$C,A552,'Weekly Log'!$E:$E,"Yes"))</f>
        <v/>
      </c>
      <c r="H552" s="12" t="str">
        <f aca="false">IF(OR(A552="",D552=""),"",D552*G552)</f>
        <v/>
      </c>
    </row>
    <row r="553" customFormat="false" ht="15" hidden="false" customHeight="false" outlineLevel="0" collapsed="false">
      <c r="B553" s="12" t="str">
        <f aca="false">IF(A553="","",IFERROR(INDEX(Recipes!$B:$B,MATCH(A553,Recipes!$A:$A,0)),"⚠ unknown recipe_id"))</f>
        <v/>
      </c>
      <c r="E553" s="12" t="str">
        <f aca="false">IF(C553="","",IFERROR(INDEX('Ingredient Catalog'!$C:$C,MATCH(C553,'Ingredient Catalog'!$A:$A,0)),"⚠ not in catalog"))</f>
        <v/>
      </c>
      <c r="G553" s="12" t="str">
        <f aca="false">IF(A553="","",COUNTIFS('Weekly Log'!$A:$A,'Grocery List'!$B$3,'Weekly Log'!$C:$C,A553,'Weekly Log'!$E:$E,"Yes"))</f>
        <v/>
      </c>
      <c r="H553" s="12" t="str">
        <f aca="false">IF(OR(A553="",D553=""),"",D553*G553)</f>
        <v/>
      </c>
    </row>
    <row r="554" customFormat="false" ht="15" hidden="false" customHeight="false" outlineLevel="0" collapsed="false">
      <c r="B554" s="12" t="str">
        <f aca="false">IF(A554="","",IFERROR(INDEX(Recipes!$B:$B,MATCH(A554,Recipes!$A:$A,0)),"⚠ unknown recipe_id"))</f>
        <v/>
      </c>
      <c r="E554" s="12" t="str">
        <f aca="false">IF(C554="","",IFERROR(INDEX('Ingredient Catalog'!$C:$C,MATCH(C554,'Ingredient Catalog'!$A:$A,0)),"⚠ not in catalog"))</f>
        <v/>
      </c>
      <c r="G554" s="12" t="str">
        <f aca="false">IF(A554="","",COUNTIFS('Weekly Log'!$A:$A,'Grocery List'!$B$3,'Weekly Log'!$C:$C,A554,'Weekly Log'!$E:$E,"Yes"))</f>
        <v/>
      </c>
      <c r="H554" s="12" t="str">
        <f aca="false">IF(OR(A554="",D554=""),"",D554*G554)</f>
        <v/>
      </c>
    </row>
    <row r="555" customFormat="false" ht="15" hidden="false" customHeight="false" outlineLevel="0" collapsed="false">
      <c r="B555" s="12" t="str">
        <f aca="false">IF(A555="","",IFERROR(INDEX(Recipes!$B:$B,MATCH(A555,Recipes!$A:$A,0)),"⚠ unknown recipe_id"))</f>
        <v/>
      </c>
      <c r="E555" s="12" t="str">
        <f aca="false">IF(C555="","",IFERROR(INDEX('Ingredient Catalog'!$C:$C,MATCH(C555,'Ingredient Catalog'!$A:$A,0)),"⚠ not in catalog"))</f>
        <v/>
      </c>
      <c r="G555" s="12" t="str">
        <f aca="false">IF(A555="","",COUNTIFS('Weekly Log'!$A:$A,'Grocery List'!$B$3,'Weekly Log'!$C:$C,A555,'Weekly Log'!$E:$E,"Yes"))</f>
        <v/>
      </c>
      <c r="H555" s="12" t="str">
        <f aca="false">IF(OR(A555="",D555=""),"",D555*G555)</f>
        <v/>
      </c>
    </row>
    <row r="556" customFormat="false" ht="15" hidden="false" customHeight="false" outlineLevel="0" collapsed="false">
      <c r="B556" s="12" t="str">
        <f aca="false">IF(A556="","",IFERROR(INDEX(Recipes!$B:$B,MATCH(A556,Recipes!$A:$A,0)),"⚠ unknown recipe_id"))</f>
        <v/>
      </c>
      <c r="E556" s="12" t="str">
        <f aca="false">IF(C556="","",IFERROR(INDEX('Ingredient Catalog'!$C:$C,MATCH(C556,'Ingredient Catalog'!$A:$A,0)),"⚠ not in catalog"))</f>
        <v/>
      </c>
      <c r="G556" s="12" t="str">
        <f aca="false">IF(A556="","",COUNTIFS('Weekly Log'!$A:$A,'Grocery List'!$B$3,'Weekly Log'!$C:$C,A556,'Weekly Log'!$E:$E,"Yes"))</f>
        <v/>
      </c>
      <c r="H556" s="12" t="str">
        <f aca="false">IF(OR(A556="",D556=""),"",D556*G556)</f>
        <v/>
      </c>
    </row>
    <row r="557" customFormat="false" ht="15" hidden="false" customHeight="false" outlineLevel="0" collapsed="false">
      <c r="B557" s="12" t="str">
        <f aca="false">IF(A557="","",IFERROR(INDEX(Recipes!$B:$B,MATCH(A557,Recipes!$A:$A,0)),"⚠ unknown recipe_id"))</f>
        <v/>
      </c>
      <c r="E557" s="12" t="str">
        <f aca="false">IF(C557="","",IFERROR(INDEX('Ingredient Catalog'!$C:$C,MATCH(C557,'Ingredient Catalog'!$A:$A,0)),"⚠ not in catalog"))</f>
        <v/>
      </c>
      <c r="G557" s="12" t="str">
        <f aca="false">IF(A557="","",COUNTIFS('Weekly Log'!$A:$A,'Grocery List'!$B$3,'Weekly Log'!$C:$C,A557,'Weekly Log'!$E:$E,"Yes"))</f>
        <v/>
      </c>
      <c r="H557" s="12" t="str">
        <f aca="false">IF(OR(A557="",D557=""),"",D557*G557)</f>
        <v/>
      </c>
    </row>
    <row r="558" customFormat="false" ht="15" hidden="false" customHeight="false" outlineLevel="0" collapsed="false">
      <c r="B558" s="12" t="str">
        <f aca="false">IF(A558="","",IFERROR(INDEX(Recipes!$B:$B,MATCH(A558,Recipes!$A:$A,0)),"⚠ unknown recipe_id"))</f>
        <v/>
      </c>
      <c r="E558" s="12" t="str">
        <f aca="false">IF(C558="","",IFERROR(INDEX('Ingredient Catalog'!$C:$C,MATCH(C558,'Ingredient Catalog'!$A:$A,0)),"⚠ not in catalog"))</f>
        <v/>
      </c>
      <c r="G558" s="12" t="str">
        <f aca="false">IF(A558="","",COUNTIFS('Weekly Log'!$A:$A,'Grocery List'!$B$3,'Weekly Log'!$C:$C,A558,'Weekly Log'!$E:$E,"Yes"))</f>
        <v/>
      </c>
      <c r="H558" s="12" t="str">
        <f aca="false">IF(OR(A558="",D558=""),"",D558*G558)</f>
        <v/>
      </c>
    </row>
    <row r="559" customFormat="false" ht="15" hidden="false" customHeight="false" outlineLevel="0" collapsed="false">
      <c r="B559" s="12" t="str">
        <f aca="false">IF(A559="","",IFERROR(INDEX(Recipes!$B:$B,MATCH(A559,Recipes!$A:$A,0)),"⚠ unknown recipe_id"))</f>
        <v/>
      </c>
      <c r="E559" s="12" t="str">
        <f aca="false">IF(C559="","",IFERROR(INDEX('Ingredient Catalog'!$C:$C,MATCH(C559,'Ingredient Catalog'!$A:$A,0)),"⚠ not in catalog"))</f>
        <v/>
      </c>
      <c r="G559" s="12" t="str">
        <f aca="false">IF(A559="","",COUNTIFS('Weekly Log'!$A:$A,'Grocery List'!$B$3,'Weekly Log'!$C:$C,A559,'Weekly Log'!$E:$E,"Yes"))</f>
        <v/>
      </c>
      <c r="H559" s="12" t="str">
        <f aca="false">IF(OR(A559="",D559=""),"",D559*G559)</f>
        <v/>
      </c>
    </row>
    <row r="560" customFormat="false" ht="15" hidden="false" customHeight="false" outlineLevel="0" collapsed="false">
      <c r="B560" s="12" t="str">
        <f aca="false">IF(A560="","",IFERROR(INDEX(Recipes!$B:$B,MATCH(A560,Recipes!$A:$A,0)),"⚠ unknown recipe_id"))</f>
        <v/>
      </c>
      <c r="E560" s="12" t="str">
        <f aca="false">IF(C560="","",IFERROR(INDEX('Ingredient Catalog'!$C:$C,MATCH(C560,'Ingredient Catalog'!$A:$A,0)),"⚠ not in catalog"))</f>
        <v/>
      </c>
      <c r="G560" s="12" t="str">
        <f aca="false">IF(A560="","",COUNTIFS('Weekly Log'!$A:$A,'Grocery List'!$B$3,'Weekly Log'!$C:$C,A560,'Weekly Log'!$E:$E,"Yes"))</f>
        <v/>
      </c>
      <c r="H560" s="12" t="str">
        <f aca="false">IF(OR(A560="",D560=""),"",D560*G560)</f>
        <v/>
      </c>
    </row>
    <row r="561" customFormat="false" ht="15" hidden="false" customHeight="false" outlineLevel="0" collapsed="false">
      <c r="B561" s="12" t="str">
        <f aca="false">IF(A561="","",IFERROR(INDEX(Recipes!$B:$B,MATCH(A561,Recipes!$A:$A,0)),"⚠ unknown recipe_id"))</f>
        <v/>
      </c>
      <c r="E561" s="12" t="str">
        <f aca="false">IF(C561="","",IFERROR(INDEX('Ingredient Catalog'!$C:$C,MATCH(C561,'Ingredient Catalog'!$A:$A,0)),"⚠ not in catalog"))</f>
        <v/>
      </c>
      <c r="G561" s="12" t="str">
        <f aca="false">IF(A561="","",COUNTIFS('Weekly Log'!$A:$A,'Grocery List'!$B$3,'Weekly Log'!$C:$C,A561,'Weekly Log'!$E:$E,"Yes"))</f>
        <v/>
      </c>
      <c r="H561" s="12" t="str">
        <f aca="false">IF(OR(A561="",D561=""),"",D561*G561)</f>
        <v/>
      </c>
    </row>
    <row r="562" customFormat="false" ht="15" hidden="false" customHeight="false" outlineLevel="0" collapsed="false">
      <c r="B562" s="12" t="str">
        <f aca="false">IF(A562="","",IFERROR(INDEX(Recipes!$B:$B,MATCH(A562,Recipes!$A:$A,0)),"⚠ unknown recipe_id"))</f>
        <v/>
      </c>
      <c r="E562" s="12" t="str">
        <f aca="false">IF(C562="","",IFERROR(INDEX('Ingredient Catalog'!$C:$C,MATCH(C562,'Ingredient Catalog'!$A:$A,0)),"⚠ not in catalog"))</f>
        <v/>
      </c>
      <c r="G562" s="12" t="str">
        <f aca="false">IF(A562="","",COUNTIFS('Weekly Log'!$A:$A,'Grocery List'!$B$3,'Weekly Log'!$C:$C,A562,'Weekly Log'!$E:$E,"Yes"))</f>
        <v/>
      </c>
      <c r="H562" s="12" t="str">
        <f aca="false">IF(OR(A562="",D562=""),"",D562*G562)</f>
        <v/>
      </c>
    </row>
    <row r="563" customFormat="false" ht="15" hidden="false" customHeight="false" outlineLevel="0" collapsed="false">
      <c r="B563" s="12" t="str">
        <f aca="false">IF(A563="","",IFERROR(INDEX(Recipes!$B:$B,MATCH(A563,Recipes!$A:$A,0)),"⚠ unknown recipe_id"))</f>
        <v/>
      </c>
      <c r="E563" s="12" t="str">
        <f aca="false">IF(C563="","",IFERROR(INDEX('Ingredient Catalog'!$C:$C,MATCH(C563,'Ingredient Catalog'!$A:$A,0)),"⚠ not in catalog"))</f>
        <v/>
      </c>
      <c r="G563" s="12" t="str">
        <f aca="false">IF(A563="","",COUNTIFS('Weekly Log'!$A:$A,'Grocery List'!$B$3,'Weekly Log'!$C:$C,A563,'Weekly Log'!$E:$E,"Yes"))</f>
        <v/>
      </c>
      <c r="H563" s="12" t="str">
        <f aca="false">IF(OR(A563="",D563=""),"",D563*G563)</f>
        <v/>
      </c>
    </row>
    <row r="564" customFormat="false" ht="15" hidden="false" customHeight="false" outlineLevel="0" collapsed="false">
      <c r="B564" s="12" t="str">
        <f aca="false">IF(A564="","",IFERROR(INDEX(Recipes!$B:$B,MATCH(A564,Recipes!$A:$A,0)),"⚠ unknown recipe_id"))</f>
        <v/>
      </c>
      <c r="E564" s="12" t="str">
        <f aca="false">IF(C564="","",IFERROR(INDEX('Ingredient Catalog'!$C:$C,MATCH(C564,'Ingredient Catalog'!$A:$A,0)),"⚠ not in catalog"))</f>
        <v/>
      </c>
      <c r="G564" s="12" t="str">
        <f aca="false">IF(A564="","",COUNTIFS('Weekly Log'!$A:$A,'Grocery List'!$B$3,'Weekly Log'!$C:$C,A564,'Weekly Log'!$E:$E,"Yes"))</f>
        <v/>
      </c>
      <c r="H564" s="12" t="str">
        <f aca="false">IF(OR(A564="",D564=""),"",D564*G564)</f>
        <v/>
      </c>
    </row>
    <row r="565" customFormat="false" ht="15" hidden="false" customHeight="false" outlineLevel="0" collapsed="false">
      <c r="B565" s="12" t="str">
        <f aca="false">IF(A565="","",IFERROR(INDEX(Recipes!$B:$B,MATCH(A565,Recipes!$A:$A,0)),"⚠ unknown recipe_id"))</f>
        <v/>
      </c>
      <c r="E565" s="12" t="str">
        <f aca="false">IF(C565="","",IFERROR(INDEX('Ingredient Catalog'!$C:$C,MATCH(C565,'Ingredient Catalog'!$A:$A,0)),"⚠ not in catalog"))</f>
        <v/>
      </c>
      <c r="G565" s="12" t="str">
        <f aca="false">IF(A565="","",COUNTIFS('Weekly Log'!$A:$A,'Grocery List'!$B$3,'Weekly Log'!$C:$C,A565,'Weekly Log'!$E:$E,"Yes"))</f>
        <v/>
      </c>
      <c r="H565" s="12" t="str">
        <f aca="false">IF(OR(A565="",D565=""),"",D565*G565)</f>
        <v/>
      </c>
    </row>
    <row r="566" customFormat="false" ht="15" hidden="false" customHeight="false" outlineLevel="0" collapsed="false">
      <c r="B566" s="12" t="str">
        <f aca="false">IF(A566="","",IFERROR(INDEX(Recipes!$B:$B,MATCH(A566,Recipes!$A:$A,0)),"⚠ unknown recipe_id"))</f>
        <v/>
      </c>
      <c r="E566" s="12" t="str">
        <f aca="false">IF(C566="","",IFERROR(INDEX('Ingredient Catalog'!$C:$C,MATCH(C566,'Ingredient Catalog'!$A:$A,0)),"⚠ not in catalog"))</f>
        <v/>
      </c>
      <c r="G566" s="12" t="str">
        <f aca="false">IF(A566="","",COUNTIFS('Weekly Log'!$A:$A,'Grocery List'!$B$3,'Weekly Log'!$C:$C,A566,'Weekly Log'!$E:$E,"Yes"))</f>
        <v/>
      </c>
      <c r="H566" s="12" t="str">
        <f aca="false">IF(OR(A566="",D566=""),"",D566*G566)</f>
        <v/>
      </c>
    </row>
    <row r="567" customFormat="false" ht="15" hidden="false" customHeight="false" outlineLevel="0" collapsed="false">
      <c r="B567" s="12" t="str">
        <f aca="false">IF(A567="","",IFERROR(INDEX(Recipes!$B:$B,MATCH(A567,Recipes!$A:$A,0)),"⚠ unknown recipe_id"))</f>
        <v/>
      </c>
      <c r="E567" s="12" t="str">
        <f aca="false">IF(C567="","",IFERROR(INDEX('Ingredient Catalog'!$C:$C,MATCH(C567,'Ingredient Catalog'!$A:$A,0)),"⚠ not in catalog"))</f>
        <v/>
      </c>
      <c r="G567" s="12" t="str">
        <f aca="false">IF(A567="","",COUNTIFS('Weekly Log'!$A:$A,'Grocery List'!$B$3,'Weekly Log'!$C:$C,A567,'Weekly Log'!$E:$E,"Yes"))</f>
        <v/>
      </c>
      <c r="H567" s="12" t="str">
        <f aca="false">IF(OR(A567="",D567=""),"",D567*G567)</f>
        <v/>
      </c>
    </row>
    <row r="568" customFormat="false" ht="15" hidden="false" customHeight="false" outlineLevel="0" collapsed="false">
      <c r="B568" s="12" t="str">
        <f aca="false">IF(A568="","",IFERROR(INDEX(Recipes!$B:$B,MATCH(A568,Recipes!$A:$A,0)),"⚠ unknown recipe_id"))</f>
        <v/>
      </c>
      <c r="E568" s="12" t="str">
        <f aca="false">IF(C568="","",IFERROR(INDEX('Ingredient Catalog'!$C:$C,MATCH(C568,'Ingredient Catalog'!$A:$A,0)),"⚠ not in catalog"))</f>
        <v/>
      </c>
      <c r="G568" s="12" t="str">
        <f aca="false">IF(A568="","",COUNTIFS('Weekly Log'!$A:$A,'Grocery List'!$B$3,'Weekly Log'!$C:$C,A568,'Weekly Log'!$E:$E,"Yes"))</f>
        <v/>
      </c>
      <c r="H568" s="12" t="str">
        <f aca="false">IF(OR(A568="",D568=""),"",D568*G568)</f>
        <v/>
      </c>
    </row>
    <row r="569" customFormat="false" ht="15" hidden="false" customHeight="false" outlineLevel="0" collapsed="false">
      <c r="B569" s="12" t="str">
        <f aca="false">IF(A569="","",IFERROR(INDEX(Recipes!$B:$B,MATCH(A569,Recipes!$A:$A,0)),"⚠ unknown recipe_id"))</f>
        <v/>
      </c>
      <c r="E569" s="12" t="str">
        <f aca="false">IF(C569="","",IFERROR(INDEX('Ingredient Catalog'!$C:$C,MATCH(C569,'Ingredient Catalog'!$A:$A,0)),"⚠ not in catalog"))</f>
        <v/>
      </c>
      <c r="G569" s="12" t="str">
        <f aca="false">IF(A569="","",COUNTIFS('Weekly Log'!$A:$A,'Grocery List'!$B$3,'Weekly Log'!$C:$C,A569,'Weekly Log'!$E:$E,"Yes"))</f>
        <v/>
      </c>
      <c r="H569" s="12" t="str">
        <f aca="false">IF(OR(A569="",D569=""),"",D569*G569)</f>
        <v/>
      </c>
    </row>
    <row r="570" customFormat="false" ht="15" hidden="false" customHeight="false" outlineLevel="0" collapsed="false">
      <c r="B570" s="12" t="str">
        <f aca="false">IF(A570="","",IFERROR(INDEX(Recipes!$B:$B,MATCH(A570,Recipes!$A:$A,0)),"⚠ unknown recipe_id"))</f>
        <v/>
      </c>
      <c r="E570" s="12" t="str">
        <f aca="false">IF(C570="","",IFERROR(INDEX('Ingredient Catalog'!$C:$C,MATCH(C570,'Ingredient Catalog'!$A:$A,0)),"⚠ not in catalog"))</f>
        <v/>
      </c>
      <c r="G570" s="12" t="str">
        <f aca="false">IF(A570="","",COUNTIFS('Weekly Log'!$A:$A,'Grocery List'!$B$3,'Weekly Log'!$C:$C,A570,'Weekly Log'!$E:$E,"Yes"))</f>
        <v/>
      </c>
      <c r="H570" s="12" t="str">
        <f aca="false">IF(OR(A570="",D570=""),"",D570*G570)</f>
        <v/>
      </c>
    </row>
    <row r="571" customFormat="false" ht="15" hidden="false" customHeight="false" outlineLevel="0" collapsed="false">
      <c r="B571" s="12" t="str">
        <f aca="false">IF(A571="","",IFERROR(INDEX(Recipes!$B:$B,MATCH(A571,Recipes!$A:$A,0)),"⚠ unknown recipe_id"))</f>
        <v/>
      </c>
      <c r="E571" s="12" t="str">
        <f aca="false">IF(C571="","",IFERROR(INDEX('Ingredient Catalog'!$C:$C,MATCH(C571,'Ingredient Catalog'!$A:$A,0)),"⚠ not in catalog"))</f>
        <v/>
      </c>
      <c r="G571" s="12" t="str">
        <f aca="false">IF(A571="","",COUNTIFS('Weekly Log'!$A:$A,'Grocery List'!$B$3,'Weekly Log'!$C:$C,A571,'Weekly Log'!$E:$E,"Yes"))</f>
        <v/>
      </c>
      <c r="H571" s="12" t="str">
        <f aca="false">IF(OR(A571="",D571=""),"",D571*G571)</f>
        <v/>
      </c>
    </row>
    <row r="572" customFormat="false" ht="15" hidden="false" customHeight="false" outlineLevel="0" collapsed="false">
      <c r="B572" s="12" t="str">
        <f aca="false">IF(A572="","",IFERROR(INDEX(Recipes!$B:$B,MATCH(A572,Recipes!$A:$A,0)),"⚠ unknown recipe_id"))</f>
        <v/>
      </c>
      <c r="E572" s="12" t="str">
        <f aca="false">IF(C572="","",IFERROR(INDEX('Ingredient Catalog'!$C:$C,MATCH(C572,'Ingredient Catalog'!$A:$A,0)),"⚠ not in catalog"))</f>
        <v/>
      </c>
      <c r="G572" s="12" t="str">
        <f aca="false">IF(A572="","",COUNTIFS('Weekly Log'!$A:$A,'Grocery List'!$B$3,'Weekly Log'!$C:$C,A572,'Weekly Log'!$E:$E,"Yes"))</f>
        <v/>
      </c>
      <c r="H572" s="12" t="str">
        <f aca="false">IF(OR(A572="",D572=""),"",D572*G572)</f>
        <v/>
      </c>
    </row>
    <row r="573" customFormat="false" ht="15" hidden="false" customHeight="false" outlineLevel="0" collapsed="false">
      <c r="B573" s="12" t="str">
        <f aca="false">IF(A573="","",IFERROR(INDEX(Recipes!$B:$B,MATCH(A573,Recipes!$A:$A,0)),"⚠ unknown recipe_id"))</f>
        <v/>
      </c>
      <c r="E573" s="12" t="str">
        <f aca="false">IF(C573="","",IFERROR(INDEX('Ingredient Catalog'!$C:$C,MATCH(C573,'Ingredient Catalog'!$A:$A,0)),"⚠ not in catalog"))</f>
        <v/>
      </c>
      <c r="G573" s="12" t="str">
        <f aca="false">IF(A573="","",COUNTIFS('Weekly Log'!$A:$A,'Grocery List'!$B$3,'Weekly Log'!$C:$C,A573,'Weekly Log'!$E:$E,"Yes"))</f>
        <v/>
      </c>
      <c r="H573" s="12" t="str">
        <f aca="false">IF(OR(A573="",D573=""),"",D573*G573)</f>
        <v/>
      </c>
    </row>
    <row r="574" customFormat="false" ht="15" hidden="false" customHeight="false" outlineLevel="0" collapsed="false">
      <c r="B574" s="12" t="str">
        <f aca="false">IF(A574="","",IFERROR(INDEX(Recipes!$B:$B,MATCH(A574,Recipes!$A:$A,0)),"⚠ unknown recipe_id"))</f>
        <v/>
      </c>
      <c r="E574" s="12" t="str">
        <f aca="false">IF(C574="","",IFERROR(INDEX('Ingredient Catalog'!$C:$C,MATCH(C574,'Ingredient Catalog'!$A:$A,0)),"⚠ not in catalog"))</f>
        <v/>
      </c>
      <c r="G574" s="12" t="str">
        <f aca="false">IF(A574="","",COUNTIFS('Weekly Log'!$A:$A,'Grocery List'!$B$3,'Weekly Log'!$C:$C,A574,'Weekly Log'!$E:$E,"Yes"))</f>
        <v/>
      </c>
      <c r="H574" s="12" t="str">
        <f aca="false">IF(OR(A574="",D574=""),"",D574*G574)</f>
        <v/>
      </c>
    </row>
    <row r="575" customFormat="false" ht="15" hidden="false" customHeight="false" outlineLevel="0" collapsed="false">
      <c r="B575" s="12" t="str">
        <f aca="false">IF(A575="","",IFERROR(INDEX(Recipes!$B:$B,MATCH(A575,Recipes!$A:$A,0)),"⚠ unknown recipe_id"))</f>
        <v/>
      </c>
      <c r="E575" s="12" t="str">
        <f aca="false">IF(C575="","",IFERROR(INDEX('Ingredient Catalog'!$C:$C,MATCH(C575,'Ingredient Catalog'!$A:$A,0)),"⚠ not in catalog"))</f>
        <v/>
      </c>
      <c r="G575" s="12" t="str">
        <f aca="false">IF(A575="","",COUNTIFS('Weekly Log'!$A:$A,'Grocery List'!$B$3,'Weekly Log'!$C:$C,A575,'Weekly Log'!$E:$E,"Yes"))</f>
        <v/>
      </c>
      <c r="H575" s="12" t="str">
        <f aca="false">IF(OR(A575="",D575=""),"",D575*G575)</f>
        <v/>
      </c>
    </row>
    <row r="576" customFormat="false" ht="15" hidden="false" customHeight="false" outlineLevel="0" collapsed="false">
      <c r="B576" s="12" t="str">
        <f aca="false">IF(A576="","",IFERROR(INDEX(Recipes!$B:$B,MATCH(A576,Recipes!$A:$A,0)),"⚠ unknown recipe_id"))</f>
        <v/>
      </c>
      <c r="E576" s="12" t="str">
        <f aca="false">IF(C576="","",IFERROR(INDEX('Ingredient Catalog'!$C:$C,MATCH(C576,'Ingredient Catalog'!$A:$A,0)),"⚠ not in catalog"))</f>
        <v/>
      </c>
      <c r="G576" s="12" t="str">
        <f aca="false">IF(A576="","",COUNTIFS('Weekly Log'!$A:$A,'Grocery List'!$B$3,'Weekly Log'!$C:$C,A576,'Weekly Log'!$E:$E,"Yes"))</f>
        <v/>
      </c>
      <c r="H576" s="12" t="str">
        <f aca="false">IF(OR(A576="",D576=""),"",D576*G576)</f>
        <v/>
      </c>
    </row>
    <row r="577" customFormat="false" ht="15" hidden="false" customHeight="false" outlineLevel="0" collapsed="false">
      <c r="B577" s="12" t="str">
        <f aca="false">IF(A577="","",IFERROR(INDEX(Recipes!$B:$B,MATCH(A577,Recipes!$A:$A,0)),"⚠ unknown recipe_id"))</f>
        <v/>
      </c>
      <c r="E577" s="12" t="str">
        <f aca="false">IF(C577="","",IFERROR(INDEX('Ingredient Catalog'!$C:$C,MATCH(C577,'Ingredient Catalog'!$A:$A,0)),"⚠ not in catalog"))</f>
        <v/>
      </c>
      <c r="G577" s="12" t="str">
        <f aca="false">IF(A577="","",COUNTIFS('Weekly Log'!$A:$A,'Grocery List'!$B$3,'Weekly Log'!$C:$C,A577,'Weekly Log'!$E:$E,"Yes"))</f>
        <v/>
      </c>
      <c r="H577" s="12" t="str">
        <f aca="false">IF(OR(A577="",D577=""),"",D577*G577)</f>
        <v/>
      </c>
    </row>
    <row r="578" customFormat="false" ht="15" hidden="false" customHeight="false" outlineLevel="0" collapsed="false">
      <c r="B578" s="12" t="str">
        <f aca="false">IF(A578="","",IFERROR(INDEX(Recipes!$B:$B,MATCH(A578,Recipes!$A:$A,0)),"⚠ unknown recipe_id"))</f>
        <v/>
      </c>
      <c r="E578" s="12" t="str">
        <f aca="false">IF(C578="","",IFERROR(INDEX('Ingredient Catalog'!$C:$C,MATCH(C578,'Ingredient Catalog'!$A:$A,0)),"⚠ not in catalog"))</f>
        <v/>
      </c>
      <c r="G578" s="12" t="str">
        <f aca="false">IF(A578="","",COUNTIFS('Weekly Log'!$A:$A,'Grocery List'!$B$3,'Weekly Log'!$C:$C,A578,'Weekly Log'!$E:$E,"Yes"))</f>
        <v/>
      </c>
      <c r="H578" s="12" t="str">
        <f aca="false">IF(OR(A578="",D578=""),"",D578*G578)</f>
        <v/>
      </c>
    </row>
    <row r="579" customFormat="false" ht="15" hidden="false" customHeight="false" outlineLevel="0" collapsed="false">
      <c r="B579" s="12" t="str">
        <f aca="false">IF(A579="","",IFERROR(INDEX(Recipes!$B:$B,MATCH(A579,Recipes!$A:$A,0)),"⚠ unknown recipe_id"))</f>
        <v/>
      </c>
      <c r="E579" s="12" t="str">
        <f aca="false">IF(C579="","",IFERROR(INDEX('Ingredient Catalog'!$C:$C,MATCH(C579,'Ingredient Catalog'!$A:$A,0)),"⚠ not in catalog"))</f>
        <v/>
      </c>
      <c r="G579" s="12" t="str">
        <f aca="false">IF(A579="","",COUNTIFS('Weekly Log'!$A:$A,'Grocery List'!$B$3,'Weekly Log'!$C:$C,A579,'Weekly Log'!$E:$E,"Yes"))</f>
        <v/>
      </c>
      <c r="H579" s="12" t="str">
        <f aca="false">IF(OR(A579="",D579=""),"",D579*G579)</f>
        <v/>
      </c>
    </row>
    <row r="580" customFormat="false" ht="15" hidden="false" customHeight="false" outlineLevel="0" collapsed="false">
      <c r="B580" s="12" t="str">
        <f aca="false">IF(A580="","",IFERROR(INDEX(Recipes!$B:$B,MATCH(A580,Recipes!$A:$A,0)),"⚠ unknown recipe_id"))</f>
        <v/>
      </c>
      <c r="E580" s="12" t="str">
        <f aca="false">IF(C580="","",IFERROR(INDEX('Ingredient Catalog'!$C:$C,MATCH(C580,'Ingredient Catalog'!$A:$A,0)),"⚠ not in catalog"))</f>
        <v/>
      </c>
      <c r="G580" s="12" t="str">
        <f aca="false">IF(A580="","",COUNTIFS('Weekly Log'!$A:$A,'Grocery List'!$B$3,'Weekly Log'!$C:$C,A580,'Weekly Log'!$E:$E,"Yes"))</f>
        <v/>
      </c>
      <c r="H580" s="12" t="str">
        <f aca="false">IF(OR(A580="",D580=""),"",D580*G580)</f>
        <v/>
      </c>
    </row>
    <row r="581" customFormat="false" ht="15" hidden="false" customHeight="false" outlineLevel="0" collapsed="false">
      <c r="B581" s="12" t="str">
        <f aca="false">IF(A581="","",IFERROR(INDEX(Recipes!$B:$B,MATCH(A581,Recipes!$A:$A,0)),"⚠ unknown recipe_id"))</f>
        <v/>
      </c>
      <c r="E581" s="12" t="str">
        <f aca="false">IF(C581="","",IFERROR(INDEX('Ingredient Catalog'!$C:$C,MATCH(C581,'Ingredient Catalog'!$A:$A,0)),"⚠ not in catalog"))</f>
        <v/>
      </c>
      <c r="G581" s="12" t="str">
        <f aca="false">IF(A581="","",COUNTIFS('Weekly Log'!$A:$A,'Grocery List'!$B$3,'Weekly Log'!$C:$C,A581,'Weekly Log'!$E:$E,"Yes"))</f>
        <v/>
      </c>
      <c r="H581" s="12" t="str">
        <f aca="false">IF(OR(A581="",D581=""),"",D581*G581)</f>
        <v/>
      </c>
    </row>
    <row r="582" customFormat="false" ht="15" hidden="false" customHeight="false" outlineLevel="0" collapsed="false">
      <c r="B582" s="12" t="str">
        <f aca="false">IF(A582="","",IFERROR(INDEX(Recipes!$B:$B,MATCH(A582,Recipes!$A:$A,0)),"⚠ unknown recipe_id"))</f>
        <v/>
      </c>
      <c r="E582" s="12" t="str">
        <f aca="false">IF(C582="","",IFERROR(INDEX('Ingredient Catalog'!$C:$C,MATCH(C582,'Ingredient Catalog'!$A:$A,0)),"⚠ not in catalog"))</f>
        <v/>
      </c>
      <c r="G582" s="12" t="str">
        <f aca="false">IF(A582="","",COUNTIFS('Weekly Log'!$A:$A,'Grocery List'!$B$3,'Weekly Log'!$C:$C,A582,'Weekly Log'!$E:$E,"Yes"))</f>
        <v/>
      </c>
      <c r="H582" s="12" t="str">
        <f aca="false">IF(OR(A582="",D582=""),"",D582*G582)</f>
        <v/>
      </c>
    </row>
    <row r="583" customFormat="false" ht="15" hidden="false" customHeight="false" outlineLevel="0" collapsed="false">
      <c r="B583" s="12" t="str">
        <f aca="false">IF(A583="","",IFERROR(INDEX(Recipes!$B:$B,MATCH(A583,Recipes!$A:$A,0)),"⚠ unknown recipe_id"))</f>
        <v/>
      </c>
      <c r="E583" s="12" t="str">
        <f aca="false">IF(C583="","",IFERROR(INDEX('Ingredient Catalog'!$C:$C,MATCH(C583,'Ingredient Catalog'!$A:$A,0)),"⚠ not in catalog"))</f>
        <v/>
      </c>
      <c r="G583" s="12" t="str">
        <f aca="false">IF(A583="","",COUNTIFS('Weekly Log'!$A:$A,'Grocery List'!$B$3,'Weekly Log'!$C:$C,A583,'Weekly Log'!$E:$E,"Yes"))</f>
        <v/>
      </c>
      <c r="H583" s="12" t="str">
        <f aca="false">IF(OR(A583="",D583=""),"",D583*G583)</f>
        <v/>
      </c>
    </row>
    <row r="584" customFormat="false" ht="15" hidden="false" customHeight="false" outlineLevel="0" collapsed="false">
      <c r="B584" s="12" t="str">
        <f aca="false">IF(A584="","",IFERROR(INDEX(Recipes!$B:$B,MATCH(A584,Recipes!$A:$A,0)),"⚠ unknown recipe_id"))</f>
        <v/>
      </c>
      <c r="E584" s="12" t="str">
        <f aca="false">IF(C584="","",IFERROR(INDEX('Ingredient Catalog'!$C:$C,MATCH(C584,'Ingredient Catalog'!$A:$A,0)),"⚠ not in catalog"))</f>
        <v/>
      </c>
      <c r="G584" s="12" t="str">
        <f aca="false">IF(A584="","",COUNTIFS('Weekly Log'!$A:$A,'Grocery List'!$B$3,'Weekly Log'!$C:$C,A584,'Weekly Log'!$E:$E,"Yes"))</f>
        <v/>
      </c>
      <c r="H584" s="12" t="str">
        <f aca="false">IF(OR(A584="",D584=""),"",D584*G584)</f>
        <v/>
      </c>
    </row>
    <row r="585" customFormat="false" ht="15" hidden="false" customHeight="false" outlineLevel="0" collapsed="false">
      <c r="B585" s="12" t="str">
        <f aca="false">IF(A585="","",IFERROR(INDEX(Recipes!$B:$B,MATCH(A585,Recipes!$A:$A,0)),"⚠ unknown recipe_id"))</f>
        <v/>
      </c>
      <c r="E585" s="12" t="str">
        <f aca="false">IF(C585="","",IFERROR(INDEX('Ingredient Catalog'!$C:$C,MATCH(C585,'Ingredient Catalog'!$A:$A,0)),"⚠ not in catalog"))</f>
        <v/>
      </c>
      <c r="G585" s="12" t="str">
        <f aca="false">IF(A585="","",COUNTIFS('Weekly Log'!$A:$A,'Grocery List'!$B$3,'Weekly Log'!$C:$C,A585,'Weekly Log'!$E:$E,"Yes"))</f>
        <v/>
      </c>
      <c r="H585" s="12" t="str">
        <f aca="false">IF(OR(A585="",D585=""),"",D585*G585)</f>
        <v/>
      </c>
    </row>
    <row r="586" customFormat="false" ht="15" hidden="false" customHeight="false" outlineLevel="0" collapsed="false">
      <c r="B586" s="12" t="str">
        <f aca="false">IF(A586="","",IFERROR(INDEX(Recipes!$B:$B,MATCH(A586,Recipes!$A:$A,0)),"⚠ unknown recipe_id"))</f>
        <v/>
      </c>
      <c r="E586" s="12" t="str">
        <f aca="false">IF(C586="","",IFERROR(INDEX('Ingredient Catalog'!$C:$C,MATCH(C586,'Ingredient Catalog'!$A:$A,0)),"⚠ not in catalog"))</f>
        <v/>
      </c>
      <c r="G586" s="12" t="str">
        <f aca="false">IF(A586="","",COUNTIFS('Weekly Log'!$A:$A,'Grocery List'!$B$3,'Weekly Log'!$C:$C,A586,'Weekly Log'!$E:$E,"Yes"))</f>
        <v/>
      </c>
      <c r="H586" s="12" t="str">
        <f aca="false">IF(OR(A586="",D586=""),"",D586*G586)</f>
        <v/>
      </c>
    </row>
    <row r="587" customFormat="false" ht="15" hidden="false" customHeight="false" outlineLevel="0" collapsed="false">
      <c r="B587" s="12" t="str">
        <f aca="false">IF(A587="","",IFERROR(INDEX(Recipes!$B:$B,MATCH(A587,Recipes!$A:$A,0)),"⚠ unknown recipe_id"))</f>
        <v/>
      </c>
      <c r="E587" s="12" t="str">
        <f aca="false">IF(C587="","",IFERROR(INDEX('Ingredient Catalog'!$C:$C,MATCH(C587,'Ingredient Catalog'!$A:$A,0)),"⚠ not in catalog"))</f>
        <v/>
      </c>
      <c r="G587" s="12" t="str">
        <f aca="false">IF(A587="","",COUNTIFS('Weekly Log'!$A:$A,'Grocery List'!$B$3,'Weekly Log'!$C:$C,A587,'Weekly Log'!$E:$E,"Yes"))</f>
        <v/>
      </c>
      <c r="H587" s="12" t="str">
        <f aca="false">IF(OR(A587="",D587=""),"",D587*G587)</f>
        <v/>
      </c>
    </row>
    <row r="588" customFormat="false" ht="15" hidden="false" customHeight="false" outlineLevel="0" collapsed="false">
      <c r="B588" s="12" t="str">
        <f aca="false">IF(A588="","",IFERROR(INDEX(Recipes!$B:$B,MATCH(A588,Recipes!$A:$A,0)),"⚠ unknown recipe_id"))</f>
        <v/>
      </c>
      <c r="E588" s="12" t="str">
        <f aca="false">IF(C588="","",IFERROR(INDEX('Ingredient Catalog'!$C:$C,MATCH(C588,'Ingredient Catalog'!$A:$A,0)),"⚠ not in catalog"))</f>
        <v/>
      </c>
      <c r="G588" s="12" t="str">
        <f aca="false">IF(A588="","",COUNTIFS('Weekly Log'!$A:$A,'Grocery List'!$B$3,'Weekly Log'!$C:$C,A588,'Weekly Log'!$E:$E,"Yes"))</f>
        <v/>
      </c>
      <c r="H588" s="12" t="str">
        <f aca="false">IF(OR(A588="",D588=""),"",D588*G588)</f>
        <v/>
      </c>
    </row>
    <row r="589" customFormat="false" ht="15" hidden="false" customHeight="false" outlineLevel="0" collapsed="false">
      <c r="B589" s="12" t="str">
        <f aca="false">IF(A589="","",IFERROR(INDEX(Recipes!$B:$B,MATCH(A589,Recipes!$A:$A,0)),"⚠ unknown recipe_id"))</f>
        <v/>
      </c>
      <c r="E589" s="12" t="str">
        <f aca="false">IF(C589="","",IFERROR(INDEX('Ingredient Catalog'!$C:$C,MATCH(C589,'Ingredient Catalog'!$A:$A,0)),"⚠ not in catalog"))</f>
        <v/>
      </c>
      <c r="G589" s="12" t="str">
        <f aca="false">IF(A589="","",COUNTIFS('Weekly Log'!$A:$A,'Grocery List'!$B$3,'Weekly Log'!$C:$C,A589,'Weekly Log'!$E:$E,"Yes"))</f>
        <v/>
      </c>
      <c r="H589" s="12" t="str">
        <f aca="false">IF(OR(A589="",D589=""),"",D589*G589)</f>
        <v/>
      </c>
    </row>
    <row r="590" customFormat="false" ht="15" hidden="false" customHeight="false" outlineLevel="0" collapsed="false">
      <c r="B590" s="12" t="str">
        <f aca="false">IF(A590="","",IFERROR(INDEX(Recipes!$B:$B,MATCH(A590,Recipes!$A:$A,0)),"⚠ unknown recipe_id"))</f>
        <v/>
      </c>
      <c r="E590" s="12" t="str">
        <f aca="false">IF(C590="","",IFERROR(INDEX('Ingredient Catalog'!$C:$C,MATCH(C590,'Ingredient Catalog'!$A:$A,0)),"⚠ not in catalog"))</f>
        <v/>
      </c>
      <c r="G590" s="12" t="str">
        <f aca="false">IF(A590="","",COUNTIFS('Weekly Log'!$A:$A,'Grocery List'!$B$3,'Weekly Log'!$C:$C,A590,'Weekly Log'!$E:$E,"Yes"))</f>
        <v/>
      </c>
      <c r="H590" s="12" t="str">
        <f aca="false">IF(OR(A590="",D590=""),"",D590*G590)</f>
        <v/>
      </c>
    </row>
    <row r="591" customFormat="false" ht="15" hidden="false" customHeight="false" outlineLevel="0" collapsed="false">
      <c r="B591" s="12" t="str">
        <f aca="false">IF(A591="","",IFERROR(INDEX(Recipes!$B:$B,MATCH(A591,Recipes!$A:$A,0)),"⚠ unknown recipe_id"))</f>
        <v/>
      </c>
      <c r="E591" s="12" t="str">
        <f aca="false">IF(C591="","",IFERROR(INDEX('Ingredient Catalog'!$C:$C,MATCH(C591,'Ingredient Catalog'!$A:$A,0)),"⚠ not in catalog"))</f>
        <v/>
      </c>
      <c r="G591" s="12" t="str">
        <f aca="false">IF(A591="","",COUNTIFS('Weekly Log'!$A:$A,'Grocery List'!$B$3,'Weekly Log'!$C:$C,A591,'Weekly Log'!$E:$E,"Yes"))</f>
        <v/>
      </c>
      <c r="H591" s="12" t="str">
        <f aca="false">IF(OR(A591="",D591=""),"",D591*G591)</f>
        <v/>
      </c>
    </row>
    <row r="592" customFormat="false" ht="15" hidden="false" customHeight="false" outlineLevel="0" collapsed="false">
      <c r="B592" s="12" t="str">
        <f aca="false">IF(A592="","",IFERROR(INDEX(Recipes!$B:$B,MATCH(A592,Recipes!$A:$A,0)),"⚠ unknown recipe_id"))</f>
        <v/>
      </c>
      <c r="E592" s="12" t="str">
        <f aca="false">IF(C592="","",IFERROR(INDEX('Ingredient Catalog'!$C:$C,MATCH(C592,'Ingredient Catalog'!$A:$A,0)),"⚠ not in catalog"))</f>
        <v/>
      </c>
      <c r="G592" s="12" t="str">
        <f aca="false">IF(A592="","",COUNTIFS('Weekly Log'!$A:$A,'Grocery List'!$B$3,'Weekly Log'!$C:$C,A592,'Weekly Log'!$E:$E,"Yes"))</f>
        <v/>
      </c>
      <c r="H592" s="12" t="str">
        <f aca="false">IF(OR(A592="",D592=""),"",D592*G592)</f>
        <v/>
      </c>
    </row>
    <row r="593" customFormat="false" ht="15" hidden="false" customHeight="false" outlineLevel="0" collapsed="false">
      <c r="B593" s="12" t="str">
        <f aca="false">IF(A593="","",IFERROR(INDEX(Recipes!$B:$B,MATCH(A593,Recipes!$A:$A,0)),"⚠ unknown recipe_id"))</f>
        <v/>
      </c>
      <c r="E593" s="12" t="str">
        <f aca="false">IF(C593="","",IFERROR(INDEX('Ingredient Catalog'!$C:$C,MATCH(C593,'Ingredient Catalog'!$A:$A,0)),"⚠ not in catalog"))</f>
        <v/>
      </c>
      <c r="G593" s="12" t="str">
        <f aca="false">IF(A593="","",COUNTIFS('Weekly Log'!$A:$A,'Grocery List'!$B$3,'Weekly Log'!$C:$C,A593,'Weekly Log'!$E:$E,"Yes"))</f>
        <v/>
      </c>
      <c r="H593" s="12" t="str">
        <f aca="false">IF(OR(A593="",D593=""),"",D593*G593)</f>
        <v/>
      </c>
    </row>
    <row r="594" customFormat="false" ht="15" hidden="false" customHeight="false" outlineLevel="0" collapsed="false">
      <c r="B594" s="12" t="str">
        <f aca="false">IF(A594="","",IFERROR(INDEX(Recipes!$B:$B,MATCH(A594,Recipes!$A:$A,0)),"⚠ unknown recipe_id"))</f>
        <v/>
      </c>
      <c r="E594" s="12" t="str">
        <f aca="false">IF(C594="","",IFERROR(INDEX('Ingredient Catalog'!$C:$C,MATCH(C594,'Ingredient Catalog'!$A:$A,0)),"⚠ not in catalog"))</f>
        <v/>
      </c>
      <c r="G594" s="12" t="str">
        <f aca="false">IF(A594="","",COUNTIFS('Weekly Log'!$A:$A,'Grocery List'!$B$3,'Weekly Log'!$C:$C,A594,'Weekly Log'!$E:$E,"Yes"))</f>
        <v/>
      </c>
      <c r="H594" s="12" t="str">
        <f aca="false">IF(OR(A594="",D594=""),"",D594*G594)</f>
        <v/>
      </c>
    </row>
    <row r="595" customFormat="false" ht="15" hidden="false" customHeight="false" outlineLevel="0" collapsed="false">
      <c r="B595" s="12" t="str">
        <f aca="false">IF(A595="","",IFERROR(INDEX(Recipes!$B:$B,MATCH(A595,Recipes!$A:$A,0)),"⚠ unknown recipe_id"))</f>
        <v/>
      </c>
      <c r="E595" s="12" t="str">
        <f aca="false">IF(C595="","",IFERROR(INDEX('Ingredient Catalog'!$C:$C,MATCH(C595,'Ingredient Catalog'!$A:$A,0)),"⚠ not in catalog"))</f>
        <v/>
      </c>
      <c r="G595" s="12" t="str">
        <f aca="false">IF(A595="","",COUNTIFS('Weekly Log'!$A:$A,'Grocery List'!$B$3,'Weekly Log'!$C:$C,A595,'Weekly Log'!$E:$E,"Yes"))</f>
        <v/>
      </c>
      <c r="H595" s="12" t="str">
        <f aca="false">IF(OR(A595="",D595=""),"",D595*G595)</f>
        <v/>
      </c>
    </row>
    <row r="596" customFormat="false" ht="15" hidden="false" customHeight="false" outlineLevel="0" collapsed="false">
      <c r="B596" s="12" t="str">
        <f aca="false">IF(A596="","",IFERROR(INDEX(Recipes!$B:$B,MATCH(A596,Recipes!$A:$A,0)),"⚠ unknown recipe_id"))</f>
        <v/>
      </c>
      <c r="E596" s="12" t="str">
        <f aca="false">IF(C596="","",IFERROR(INDEX('Ingredient Catalog'!$C:$C,MATCH(C596,'Ingredient Catalog'!$A:$A,0)),"⚠ not in catalog"))</f>
        <v/>
      </c>
      <c r="G596" s="12" t="str">
        <f aca="false">IF(A596="","",COUNTIFS('Weekly Log'!$A:$A,'Grocery List'!$B$3,'Weekly Log'!$C:$C,A596,'Weekly Log'!$E:$E,"Yes"))</f>
        <v/>
      </c>
      <c r="H596" s="12" t="str">
        <f aca="false">IF(OR(A596="",D596=""),"",D596*G596)</f>
        <v/>
      </c>
    </row>
    <row r="597" customFormat="false" ht="15" hidden="false" customHeight="false" outlineLevel="0" collapsed="false">
      <c r="B597" s="12" t="str">
        <f aca="false">IF(A597="","",IFERROR(INDEX(Recipes!$B:$B,MATCH(A597,Recipes!$A:$A,0)),"⚠ unknown recipe_id"))</f>
        <v/>
      </c>
      <c r="E597" s="12" t="str">
        <f aca="false">IF(C597="","",IFERROR(INDEX('Ingredient Catalog'!$C:$C,MATCH(C597,'Ingredient Catalog'!$A:$A,0)),"⚠ not in catalog"))</f>
        <v/>
      </c>
      <c r="G597" s="12" t="str">
        <f aca="false">IF(A597="","",COUNTIFS('Weekly Log'!$A:$A,'Grocery List'!$B$3,'Weekly Log'!$C:$C,A597,'Weekly Log'!$E:$E,"Yes"))</f>
        <v/>
      </c>
      <c r="H597" s="12" t="str">
        <f aca="false">IF(OR(A597="",D597=""),"",D597*G597)</f>
        <v/>
      </c>
    </row>
    <row r="598" customFormat="false" ht="15" hidden="false" customHeight="false" outlineLevel="0" collapsed="false">
      <c r="B598" s="12" t="str">
        <f aca="false">IF(A598="","",IFERROR(INDEX(Recipes!$B:$B,MATCH(A598,Recipes!$A:$A,0)),"⚠ unknown recipe_id"))</f>
        <v/>
      </c>
      <c r="E598" s="12" t="str">
        <f aca="false">IF(C598="","",IFERROR(INDEX('Ingredient Catalog'!$C:$C,MATCH(C598,'Ingredient Catalog'!$A:$A,0)),"⚠ not in catalog"))</f>
        <v/>
      </c>
      <c r="G598" s="12" t="str">
        <f aca="false">IF(A598="","",COUNTIFS('Weekly Log'!$A:$A,'Grocery List'!$B$3,'Weekly Log'!$C:$C,A598,'Weekly Log'!$E:$E,"Yes"))</f>
        <v/>
      </c>
      <c r="H598" s="12" t="str">
        <f aca="false">IF(OR(A598="",D598=""),"",D598*G598)</f>
        <v/>
      </c>
    </row>
    <row r="599" customFormat="false" ht="15" hidden="false" customHeight="false" outlineLevel="0" collapsed="false">
      <c r="B599" s="12" t="str">
        <f aca="false">IF(A599="","",IFERROR(INDEX(Recipes!$B:$B,MATCH(A599,Recipes!$A:$A,0)),"⚠ unknown recipe_id"))</f>
        <v/>
      </c>
      <c r="E599" s="12" t="str">
        <f aca="false">IF(C599="","",IFERROR(INDEX('Ingredient Catalog'!$C:$C,MATCH(C599,'Ingredient Catalog'!$A:$A,0)),"⚠ not in catalog"))</f>
        <v/>
      </c>
      <c r="G599" s="12" t="str">
        <f aca="false">IF(A599="","",COUNTIFS('Weekly Log'!$A:$A,'Grocery List'!$B$3,'Weekly Log'!$C:$C,A599,'Weekly Log'!$E:$E,"Yes"))</f>
        <v/>
      </c>
      <c r="H599" s="12" t="str">
        <f aca="false">IF(OR(A599="",D599=""),"",D599*G599)</f>
        <v/>
      </c>
    </row>
    <row r="600" customFormat="false" ht="15" hidden="false" customHeight="false" outlineLevel="0" collapsed="false">
      <c r="B600" s="12" t="str">
        <f aca="false">IF(A600="","",IFERROR(INDEX(Recipes!$B:$B,MATCH(A600,Recipes!$A:$A,0)),"⚠ unknown recipe_id"))</f>
        <v/>
      </c>
      <c r="E600" s="12" t="str">
        <f aca="false">IF(C600="","",IFERROR(INDEX('Ingredient Catalog'!$C:$C,MATCH(C600,'Ingredient Catalog'!$A:$A,0)),"⚠ not in catalog"))</f>
        <v/>
      </c>
      <c r="G600" s="12" t="str">
        <f aca="false">IF(A600="","",COUNTIFS('Weekly Log'!$A:$A,'Grocery List'!$B$3,'Weekly Log'!$C:$C,A600,'Weekly Log'!$E:$E,"Yes"))</f>
        <v/>
      </c>
      <c r="H600" s="12" t="str">
        <f aca="false">IF(OR(A600="",D600=""),"",D600*G600)</f>
        <v/>
      </c>
    </row>
    <row r="601" customFormat="false" ht="15" hidden="false" customHeight="false" outlineLevel="0" collapsed="false">
      <c r="B601" s="12" t="str">
        <f aca="false">IF(A601="","",IFERROR(INDEX(Recipes!$B:$B,MATCH(A601,Recipes!$A:$A,0)),"⚠ unknown recipe_id"))</f>
        <v/>
      </c>
      <c r="E601" s="12" t="str">
        <f aca="false">IF(C601="","",IFERROR(INDEX('Ingredient Catalog'!$C:$C,MATCH(C601,'Ingredient Catalog'!$A:$A,0)),"⚠ not in catalog"))</f>
        <v/>
      </c>
      <c r="G601" s="12" t="str">
        <f aca="false">IF(A601="","",COUNTIFS('Weekly Log'!$A:$A,'Grocery List'!$B$3,'Weekly Log'!$C:$C,A601,'Weekly Log'!$E:$E,"Yes"))</f>
        <v/>
      </c>
      <c r="H601" s="12" t="str">
        <f aca="false">IF(OR(A601="",D601=""),"",D601*G601)</f>
        <v/>
      </c>
    </row>
    <row r="602" customFormat="false" ht="15" hidden="false" customHeight="false" outlineLevel="0" collapsed="false">
      <c r="B602" s="12" t="str">
        <f aca="false">IF(A602="","",IFERROR(INDEX(Recipes!$B:$B,MATCH(A602,Recipes!$A:$A,0)),"⚠ unknown recipe_id"))</f>
        <v/>
      </c>
      <c r="E602" s="12" t="str">
        <f aca="false">IF(C602="","",IFERROR(INDEX('Ingredient Catalog'!$C:$C,MATCH(C602,'Ingredient Catalog'!$A:$A,0)),"⚠ not in catalog"))</f>
        <v/>
      </c>
      <c r="G602" s="12" t="str">
        <f aca="false">IF(A602="","",COUNTIFS('Weekly Log'!$A:$A,'Grocery List'!$B$3,'Weekly Log'!$C:$C,A602,'Weekly Log'!$E:$E,"Yes"))</f>
        <v/>
      </c>
      <c r="H602" s="12" t="str">
        <f aca="false">IF(OR(A602="",D602=""),"",D602*G602)</f>
        <v/>
      </c>
    </row>
    <row r="603" customFormat="false" ht="15" hidden="false" customHeight="false" outlineLevel="0" collapsed="false">
      <c r="B603" s="12" t="str">
        <f aca="false">IF(A603="","",IFERROR(INDEX(Recipes!$B:$B,MATCH(A603,Recipes!$A:$A,0)),"⚠ unknown recipe_id"))</f>
        <v/>
      </c>
      <c r="E603" s="12" t="str">
        <f aca="false">IF(C603="","",IFERROR(INDEX('Ingredient Catalog'!$C:$C,MATCH(C603,'Ingredient Catalog'!$A:$A,0)),"⚠ not in catalog"))</f>
        <v/>
      </c>
      <c r="G603" s="12" t="str">
        <f aca="false">IF(A603="","",COUNTIFS('Weekly Log'!$A:$A,'Grocery List'!$B$3,'Weekly Log'!$C:$C,A603,'Weekly Log'!$E:$E,"Yes"))</f>
        <v/>
      </c>
      <c r="H603" s="12" t="str">
        <f aca="false">IF(OR(A603="",D603=""),"",D603*G603)</f>
        <v/>
      </c>
    </row>
    <row r="604" customFormat="false" ht="15" hidden="false" customHeight="false" outlineLevel="0" collapsed="false">
      <c r="B604" s="12" t="str">
        <f aca="false">IF(A604="","",IFERROR(INDEX(Recipes!$B:$B,MATCH(A604,Recipes!$A:$A,0)),"⚠ unknown recipe_id"))</f>
        <v/>
      </c>
      <c r="E604" s="12" t="str">
        <f aca="false">IF(C604="","",IFERROR(INDEX('Ingredient Catalog'!$C:$C,MATCH(C604,'Ingredient Catalog'!$A:$A,0)),"⚠ not in catalog"))</f>
        <v/>
      </c>
      <c r="G604" s="12" t="str">
        <f aca="false">IF(A604="","",COUNTIFS('Weekly Log'!$A:$A,'Grocery List'!$B$3,'Weekly Log'!$C:$C,A604,'Weekly Log'!$E:$E,"Yes"))</f>
        <v/>
      </c>
      <c r="H604" s="12" t="str">
        <f aca="false">IF(OR(A604="",D604=""),"",D604*G604)</f>
        <v/>
      </c>
    </row>
    <row r="605" customFormat="false" ht="15" hidden="false" customHeight="false" outlineLevel="0" collapsed="false">
      <c r="B605" s="12" t="str">
        <f aca="false">IF(A605="","",IFERROR(INDEX(Recipes!$B:$B,MATCH(A605,Recipes!$A:$A,0)),"⚠ unknown recipe_id"))</f>
        <v/>
      </c>
      <c r="E605" s="12" t="str">
        <f aca="false">IF(C605="","",IFERROR(INDEX('Ingredient Catalog'!$C:$C,MATCH(C605,'Ingredient Catalog'!$A:$A,0)),"⚠ not in catalog"))</f>
        <v/>
      </c>
      <c r="G605" s="12" t="str">
        <f aca="false">IF(A605="","",COUNTIFS('Weekly Log'!$A:$A,'Grocery List'!$B$3,'Weekly Log'!$C:$C,A605,'Weekly Log'!$E:$E,"Yes"))</f>
        <v/>
      </c>
      <c r="H605" s="12" t="str">
        <f aca="false">IF(OR(A605="",D605=""),"",D605*G605)</f>
        <v/>
      </c>
    </row>
    <row r="606" customFormat="false" ht="15" hidden="false" customHeight="false" outlineLevel="0" collapsed="false">
      <c r="B606" s="12" t="str">
        <f aca="false">IF(A606="","",IFERROR(INDEX(Recipes!$B:$B,MATCH(A606,Recipes!$A:$A,0)),"⚠ unknown recipe_id"))</f>
        <v/>
      </c>
      <c r="E606" s="12" t="str">
        <f aca="false">IF(C606="","",IFERROR(INDEX('Ingredient Catalog'!$C:$C,MATCH(C606,'Ingredient Catalog'!$A:$A,0)),"⚠ not in catalog"))</f>
        <v/>
      </c>
      <c r="G606" s="12" t="str">
        <f aca="false">IF(A606="","",COUNTIFS('Weekly Log'!$A:$A,'Grocery List'!$B$3,'Weekly Log'!$C:$C,A606,'Weekly Log'!$E:$E,"Yes"))</f>
        <v/>
      </c>
      <c r="H606" s="12" t="str">
        <f aca="false">IF(OR(A606="",D606=""),"",D606*G606)</f>
        <v/>
      </c>
    </row>
    <row r="607" customFormat="false" ht="15" hidden="false" customHeight="false" outlineLevel="0" collapsed="false">
      <c r="B607" s="12" t="str">
        <f aca="false">IF(A607="","",IFERROR(INDEX(Recipes!$B:$B,MATCH(A607,Recipes!$A:$A,0)),"⚠ unknown recipe_id"))</f>
        <v/>
      </c>
      <c r="E607" s="12" t="str">
        <f aca="false">IF(C607="","",IFERROR(INDEX('Ingredient Catalog'!$C:$C,MATCH(C607,'Ingredient Catalog'!$A:$A,0)),"⚠ not in catalog"))</f>
        <v/>
      </c>
      <c r="G607" s="12" t="str">
        <f aca="false">IF(A607="","",COUNTIFS('Weekly Log'!$A:$A,'Grocery List'!$B$3,'Weekly Log'!$C:$C,A607,'Weekly Log'!$E:$E,"Yes"))</f>
        <v/>
      </c>
      <c r="H607" s="12" t="str">
        <f aca="false">IF(OR(A607="",D607=""),"",D607*G607)</f>
        <v/>
      </c>
    </row>
    <row r="608" customFormat="false" ht="15" hidden="false" customHeight="false" outlineLevel="0" collapsed="false">
      <c r="B608" s="12" t="str">
        <f aca="false">IF(A608="","",IFERROR(INDEX(Recipes!$B:$B,MATCH(A608,Recipes!$A:$A,0)),"⚠ unknown recipe_id"))</f>
        <v/>
      </c>
      <c r="E608" s="12" t="str">
        <f aca="false">IF(C608="","",IFERROR(INDEX('Ingredient Catalog'!$C:$C,MATCH(C608,'Ingredient Catalog'!$A:$A,0)),"⚠ not in catalog"))</f>
        <v/>
      </c>
      <c r="G608" s="12" t="str">
        <f aca="false">IF(A608="","",COUNTIFS('Weekly Log'!$A:$A,'Grocery List'!$B$3,'Weekly Log'!$C:$C,A608,'Weekly Log'!$E:$E,"Yes"))</f>
        <v/>
      </c>
      <c r="H608" s="12" t="str">
        <f aca="false">IF(OR(A608="",D608=""),"",D608*G608)</f>
        <v/>
      </c>
    </row>
    <row r="609" customFormat="false" ht="15" hidden="false" customHeight="false" outlineLevel="0" collapsed="false">
      <c r="B609" s="12" t="str">
        <f aca="false">IF(A609="","",IFERROR(INDEX(Recipes!$B:$B,MATCH(A609,Recipes!$A:$A,0)),"⚠ unknown recipe_id"))</f>
        <v/>
      </c>
      <c r="E609" s="12" t="str">
        <f aca="false">IF(C609="","",IFERROR(INDEX('Ingredient Catalog'!$C:$C,MATCH(C609,'Ingredient Catalog'!$A:$A,0)),"⚠ not in catalog"))</f>
        <v/>
      </c>
      <c r="G609" s="12" t="str">
        <f aca="false">IF(A609="","",COUNTIFS('Weekly Log'!$A:$A,'Grocery List'!$B$3,'Weekly Log'!$C:$C,A609,'Weekly Log'!$E:$E,"Yes"))</f>
        <v/>
      </c>
      <c r="H609" s="12" t="str">
        <f aca="false">IF(OR(A609="",D609=""),"",D609*G609)</f>
        <v/>
      </c>
    </row>
    <row r="610" customFormat="false" ht="15" hidden="false" customHeight="false" outlineLevel="0" collapsed="false">
      <c r="B610" s="12" t="str">
        <f aca="false">IF(A610="","",IFERROR(INDEX(Recipes!$B:$B,MATCH(A610,Recipes!$A:$A,0)),"⚠ unknown recipe_id"))</f>
        <v/>
      </c>
      <c r="E610" s="12" t="str">
        <f aca="false">IF(C610="","",IFERROR(INDEX('Ingredient Catalog'!$C:$C,MATCH(C610,'Ingredient Catalog'!$A:$A,0)),"⚠ not in catalog"))</f>
        <v/>
      </c>
      <c r="G610" s="12" t="str">
        <f aca="false">IF(A610="","",COUNTIFS('Weekly Log'!$A:$A,'Grocery List'!$B$3,'Weekly Log'!$C:$C,A610,'Weekly Log'!$E:$E,"Yes"))</f>
        <v/>
      </c>
      <c r="H610" s="12" t="str">
        <f aca="false">IF(OR(A610="",D610=""),"",D610*G610)</f>
        <v/>
      </c>
    </row>
    <row r="611" customFormat="false" ht="15" hidden="false" customHeight="false" outlineLevel="0" collapsed="false">
      <c r="B611" s="12" t="str">
        <f aca="false">IF(A611="","",IFERROR(INDEX(Recipes!$B:$B,MATCH(A611,Recipes!$A:$A,0)),"⚠ unknown recipe_id"))</f>
        <v/>
      </c>
      <c r="E611" s="12" t="str">
        <f aca="false">IF(C611="","",IFERROR(INDEX('Ingredient Catalog'!$C:$C,MATCH(C611,'Ingredient Catalog'!$A:$A,0)),"⚠ not in catalog"))</f>
        <v/>
      </c>
      <c r="G611" s="12" t="str">
        <f aca="false">IF(A611="","",COUNTIFS('Weekly Log'!$A:$A,'Grocery List'!$B$3,'Weekly Log'!$C:$C,A611,'Weekly Log'!$E:$E,"Yes"))</f>
        <v/>
      </c>
      <c r="H611" s="12" t="str">
        <f aca="false">IF(OR(A611="",D611=""),"",D611*G611)</f>
        <v/>
      </c>
    </row>
    <row r="612" customFormat="false" ht="15" hidden="false" customHeight="false" outlineLevel="0" collapsed="false">
      <c r="B612" s="12" t="str">
        <f aca="false">IF(A612="","",IFERROR(INDEX(Recipes!$B:$B,MATCH(A612,Recipes!$A:$A,0)),"⚠ unknown recipe_id"))</f>
        <v/>
      </c>
      <c r="E612" s="12" t="str">
        <f aca="false">IF(C612="","",IFERROR(INDEX('Ingredient Catalog'!$C:$C,MATCH(C612,'Ingredient Catalog'!$A:$A,0)),"⚠ not in catalog"))</f>
        <v/>
      </c>
      <c r="G612" s="12" t="str">
        <f aca="false">IF(A612="","",COUNTIFS('Weekly Log'!$A:$A,'Grocery List'!$B$3,'Weekly Log'!$C:$C,A612,'Weekly Log'!$E:$E,"Yes"))</f>
        <v/>
      </c>
      <c r="H612" s="12" t="str">
        <f aca="false">IF(OR(A612="",D612=""),"",D612*G612)</f>
        <v/>
      </c>
    </row>
    <row r="613" customFormat="false" ht="15" hidden="false" customHeight="false" outlineLevel="0" collapsed="false">
      <c r="B613" s="12" t="str">
        <f aca="false">IF(A613="","",IFERROR(INDEX(Recipes!$B:$B,MATCH(A613,Recipes!$A:$A,0)),"⚠ unknown recipe_id"))</f>
        <v/>
      </c>
      <c r="E613" s="12" t="str">
        <f aca="false">IF(C613="","",IFERROR(INDEX('Ingredient Catalog'!$C:$C,MATCH(C613,'Ingredient Catalog'!$A:$A,0)),"⚠ not in catalog"))</f>
        <v/>
      </c>
      <c r="G613" s="12" t="str">
        <f aca="false">IF(A613="","",COUNTIFS('Weekly Log'!$A:$A,'Grocery List'!$B$3,'Weekly Log'!$C:$C,A613,'Weekly Log'!$E:$E,"Yes"))</f>
        <v/>
      </c>
      <c r="H613" s="12" t="str">
        <f aca="false">IF(OR(A613="",D613=""),"",D613*G613)</f>
        <v/>
      </c>
    </row>
    <row r="614" customFormat="false" ht="15" hidden="false" customHeight="false" outlineLevel="0" collapsed="false">
      <c r="B614" s="12" t="str">
        <f aca="false">IF(A614="","",IFERROR(INDEX(Recipes!$B:$B,MATCH(A614,Recipes!$A:$A,0)),"⚠ unknown recipe_id"))</f>
        <v/>
      </c>
      <c r="E614" s="12" t="str">
        <f aca="false">IF(C614="","",IFERROR(INDEX('Ingredient Catalog'!$C:$C,MATCH(C614,'Ingredient Catalog'!$A:$A,0)),"⚠ not in catalog"))</f>
        <v/>
      </c>
      <c r="G614" s="12" t="str">
        <f aca="false">IF(A614="","",COUNTIFS('Weekly Log'!$A:$A,'Grocery List'!$B$3,'Weekly Log'!$C:$C,A614,'Weekly Log'!$E:$E,"Yes"))</f>
        <v/>
      </c>
      <c r="H614" s="12" t="str">
        <f aca="false">IF(OR(A614="",D614=""),"",D614*G614)</f>
        <v/>
      </c>
    </row>
    <row r="615" customFormat="false" ht="15" hidden="false" customHeight="false" outlineLevel="0" collapsed="false">
      <c r="B615" s="12" t="str">
        <f aca="false">IF(A615="","",IFERROR(INDEX(Recipes!$B:$B,MATCH(A615,Recipes!$A:$A,0)),"⚠ unknown recipe_id"))</f>
        <v/>
      </c>
      <c r="E615" s="12" t="str">
        <f aca="false">IF(C615="","",IFERROR(INDEX('Ingredient Catalog'!$C:$C,MATCH(C615,'Ingredient Catalog'!$A:$A,0)),"⚠ not in catalog"))</f>
        <v/>
      </c>
      <c r="G615" s="12" t="str">
        <f aca="false">IF(A615="","",COUNTIFS('Weekly Log'!$A:$A,'Grocery List'!$B$3,'Weekly Log'!$C:$C,A615,'Weekly Log'!$E:$E,"Yes"))</f>
        <v/>
      </c>
      <c r="H615" s="12" t="str">
        <f aca="false">IF(OR(A615="",D615=""),"",D615*G615)</f>
        <v/>
      </c>
    </row>
    <row r="616" customFormat="false" ht="15" hidden="false" customHeight="false" outlineLevel="0" collapsed="false">
      <c r="B616" s="12" t="str">
        <f aca="false">IF(A616="","",IFERROR(INDEX(Recipes!$B:$B,MATCH(A616,Recipes!$A:$A,0)),"⚠ unknown recipe_id"))</f>
        <v/>
      </c>
      <c r="E616" s="12" t="str">
        <f aca="false">IF(C616="","",IFERROR(INDEX('Ingredient Catalog'!$C:$C,MATCH(C616,'Ingredient Catalog'!$A:$A,0)),"⚠ not in catalog"))</f>
        <v/>
      </c>
      <c r="G616" s="12" t="str">
        <f aca="false">IF(A616="","",COUNTIFS('Weekly Log'!$A:$A,'Grocery List'!$B$3,'Weekly Log'!$C:$C,A616,'Weekly Log'!$E:$E,"Yes"))</f>
        <v/>
      </c>
      <c r="H616" s="12" t="str">
        <f aca="false">IF(OR(A616="",D616=""),"",D616*G616)</f>
        <v/>
      </c>
    </row>
    <row r="617" customFormat="false" ht="15" hidden="false" customHeight="false" outlineLevel="0" collapsed="false">
      <c r="B617" s="12" t="str">
        <f aca="false">IF(A617="","",IFERROR(INDEX(Recipes!$B:$B,MATCH(A617,Recipes!$A:$A,0)),"⚠ unknown recipe_id"))</f>
        <v/>
      </c>
      <c r="E617" s="12" t="str">
        <f aca="false">IF(C617="","",IFERROR(INDEX('Ingredient Catalog'!$C:$C,MATCH(C617,'Ingredient Catalog'!$A:$A,0)),"⚠ not in catalog"))</f>
        <v/>
      </c>
      <c r="G617" s="12" t="str">
        <f aca="false">IF(A617="","",COUNTIFS('Weekly Log'!$A:$A,'Grocery List'!$B$3,'Weekly Log'!$C:$C,A617,'Weekly Log'!$E:$E,"Yes"))</f>
        <v/>
      </c>
      <c r="H617" s="12" t="str">
        <f aca="false">IF(OR(A617="",D617=""),"",D617*G617)</f>
        <v/>
      </c>
    </row>
    <row r="618" customFormat="false" ht="15" hidden="false" customHeight="false" outlineLevel="0" collapsed="false">
      <c r="B618" s="12" t="str">
        <f aca="false">IF(A618="","",IFERROR(INDEX(Recipes!$B:$B,MATCH(A618,Recipes!$A:$A,0)),"⚠ unknown recipe_id"))</f>
        <v/>
      </c>
      <c r="E618" s="12" t="str">
        <f aca="false">IF(C618="","",IFERROR(INDEX('Ingredient Catalog'!$C:$C,MATCH(C618,'Ingredient Catalog'!$A:$A,0)),"⚠ not in catalog"))</f>
        <v/>
      </c>
      <c r="G618" s="12" t="str">
        <f aca="false">IF(A618="","",COUNTIFS('Weekly Log'!$A:$A,'Grocery List'!$B$3,'Weekly Log'!$C:$C,A618,'Weekly Log'!$E:$E,"Yes"))</f>
        <v/>
      </c>
      <c r="H618" s="12" t="str">
        <f aca="false">IF(OR(A618="",D618=""),"",D618*G618)</f>
        <v/>
      </c>
    </row>
    <row r="619" customFormat="false" ht="15" hidden="false" customHeight="false" outlineLevel="0" collapsed="false">
      <c r="B619" s="12" t="str">
        <f aca="false">IF(A619="","",IFERROR(INDEX(Recipes!$B:$B,MATCH(A619,Recipes!$A:$A,0)),"⚠ unknown recipe_id"))</f>
        <v/>
      </c>
      <c r="E619" s="12" t="str">
        <f aca="false">IF(C619="","",IFERROR(INDEX('Ingredient Catalog'!$C:$C,MATCH(C619,'Ingredient Catalog'!$A:$A,0)),"⚠ not in catalog"))</f>
        <v/>
      </c>
      <c r="G619" s="12" t="str">
        <f aca="false">IF(A619="","",COUNTIFS('Weekly Log'!$A:$A,'Grocery List'!$B$3,'Weekly Log'!$C:$C,A619,'Weekly Log'!$E:$E,"Yes"))</f>
        <v/>
      </c>
      <c r="H619" s="12" t="str">
        <f aca="false">IF(OR(A619="",D619=""),"",D619*G619)</f>
        <v/>
      </c>
    </row>
    <row r="620" customFormat="false" ht="15" hidden="false" customHeight="false" outlineLevel="0" collapsed="false">
      <c r="B620" s="12" t="str">
        <f aca="false">IF(A620="","",IFERROR(INDEX(Recipes!$B:$B,MATCH(A620,Recipes!$A:$A,0)),"⚠ unknown recipe_id"))</f>
        <v/>
      </c>
      <c r="E620" s="12" t="str">
        <f aca="false">IF(C620="","",IFERROR(INDEX('Ingredient Catalog'!$C:$C,MATCH(C620,'Ingredient Catalog'!$A:$A,0)),"⚠ not in catalog"))</f>
        <v/>
      </c>
      <c r="G620" s="12" t="str">
        <f aca="false">IF(A620="","",COUNTIFS('Weekly Log'!$A:$A,'Grocery List'!$B$3,'Weekly Log'!$C:$C,A620,'Weekly Log'!$E:$E,"Yes"))</f>
        <v/>
      </c>
      <c r="H620" s="12" t="str">
        <f aca="false">IF(OR(A620="",D620=""),"",D620*G620)</f>
        <v/>
      </c>
    </row>
    <row r="621" customFormat="false" ht="15" hidden="false" customHeight="false" outlineLevel="0" collapsed="false">
      <c r="B621" s="12" t="str">
        <f aca="false">IF(A621="","",IFERROR(INDEX(Recipes!$B:$B,MATCH(A621,Recipes!$A:$A,0)),"⚠ unknown recipe_id"))</f>
        <v/>
      </c>
      <c r="E621" s="12" t="str">
        <f aca="false">IF(C621="","",IFERROR(INDEX('Ingredient Catalog'!$C:$C,MATCH(C621,'Ingredient Catalog'!$A:$A,0)),"⚠ not in catalog"))</f>
        <v/>
      </c>
      <c r="G621" s="12" t="str">
        <f aca="false">IF(A621="","",COUNTIFS('Weekly Log'!$A:$A,'Grocery List'!$B$3,'Weekly Log'!$C:$C,A621,'Weekly Log'!$E:$E,"Yes"))</f>
        <v/>
      </c>
      <c r="H621" s="12" t="str">
        <f aca="false">IF(OR(A621="",D621=""),"",D621*G621)</f>
        <v/>
      </c>
    </row>
    <row r="622" customFormat="false" ht="15" hidden="false" customHeight="false" outlineLevel="0" collapsed="false">
      <c r="B622" s="12" t="str">
        <f aca="false">IF(A622="","",IFERROR(INDEX(Recipes!$B:$B,MATCH(A622,Recipes!$A:$A,0)),"⚠ unknown recipe_id"))</f>
        <v/>
      </c>
      <c r="E622" s="12" t="str">
        <f aca="false">IF(C622="","",IFERROR(INDEX('Ingredient Catalog'!$C:$C,MATCH(C622,'Ingredient Catalog'!$A:$A,0)),"⚠ not in catalog"))</f>
        <v/>
      </c>
      <c r="G622" s="12" t="str">
        <f aca="false">IF(A622="","",COUNTIFS('Weekly Log'!$A:$A,'Grocery List'!$B$3,'Weekly Log'!$C:$C,A622,'Weekly Log'!$E:$E,"Yes"))</f>
        <v/>
      </c>
      <c r="H622" s="12" t="str">
        <f aca="false">IF(OR(A622="",D622=""),"",D622*G622)</f>
        <v/>
      </c>
    </row>
    <row r="623" customFormat="false" ht="15" hidden="false" customHeight="false" outlineLevel="0" collapsed="false">
      <c r="B623" s="12" t="str">
        <f aca="false">IF(A623="","",IFERROR(INDEX(Recipes!$B:$B,MATCH(A623,Recipes!$A:$A,0)),"⚠ unknown recipe_id"))</f>
        <v/>
      </c>
      <c r="E623" s="12" t="str">
        <f aca="false">IF(C623="","",IFERROR(INDEX('Ingredient Catalog'!$C:$C,MATCH(C623,'Ingredient Catalog'!$A:$A,0)),"⚠ not in catalog"))</f>
        <v/>
      </c>
      <c r="G623" s="12" t="str">
        <f aca="false">IF(A623="","",COUNTIFS('Weekly Log'!$A:$A,'Grocery List'!$B$3,'Weekly Log'!$C:$C,A623,'Weekly Log'!$E:$E,"Yes"))</f>
        <v/>
      </c>
      <c r="H623" s="12" t="str">
        <f aca="false">IF(OR(A623="",D623=""),"",D623*G623)</f>
        <v/>
      </c>
    </row>
    <row r="624" customFormat="false" ht="15" hidden="false" customHeight="false" outlineLevel="0" collapsed="false">
      <c r="B624" s="12" t="str">
        <f aca="false">IF(A624="","",IFERROR(INDEX(Recipes!$B:$B,MATCH(A624,Recipes!$A:$A,0)),"⚠ unknown recipe_id"))</f>
        <v/>
      </c>
      <c r="E624" s="12" t="str">
        <f aca="false">IF(C624="","",IFERROR(INDEX('Ingredient Catalog'!$C:$C,MATCH(C624,'Ingredient Catalog'!$A:$A,0)),"⚠ not in catalog"))</f>
        <v/>
      </c>
      <c r="G624" s="12" t="str">
        <f aca="false">IF(A624="","",COUNTIFS('Weekly Log'!$A:$A,'Grocery List'!$B$3,'Weekly Log'!$C:$C,A624,'Weekly Log'!$E:$E,"Yes"))</f>
        <v/>
      </c>
      <c r="H624" s="12" t="str">
        <f aca="false">IF(OR(A624="",D624=""),"",D624*G624)</f>
        <v/>
      </c>
    </row>
    <row r="625" customFormat="false" ht="15" hidden="false" customHeight="false" outlineLevel="0" collapsed="false">
      <c r="B625" s="12" t="str">
        <f aca="false">IF(A625="","",IFERROR(INDEX(Recipes!$B:$B,MATCH(A625,Recipes!$A:$A,0)),"⚠ unknown recipe_id"))</f>
        <v/>
      </c>
      <c r="E625" s="12" t="str">
        <f aca="false">IF(C625="","",IFERROR(INDEX('Ingredient Catalog'!$C:$C,MATCH(C625,'Ingredient Catalog'!$A:$A,0)),"⚠ not in catalog"))</f>
        <v/>
      </c>
      <c r="G625" s="12" t="str">
        <f aca="false">IF(A625="","",COUNTIFS('Weekly Log'!$A:$A,'Grocery List'!$B$3,'Weekly Log'!$C:$C,A625,'Weekly Log'!$E:$E,"Yes"))</f>
        <v/>
      </c>
      <c r="H625" s="12" t="str">
        <f aca="false">IF(OR(A625="",D625=""),"",D625*G625)</f>
        <v/>
      </c>
    </row>
    <row r="626" customFormat="false" ht="15" hidden="false" customHeight="false" outlineLevel="0" collapsed="false">
      <c r="B626" s="12" t="str">
        <f aca="false">IF(A626="","",IFERROR(INDEX(Recipes!$B:$B,MATCH(A626,Recipes!$A:$A,0)),"⚠ unknown recipe_id"))</f>
        <v/>
      </c>
      <c r="E626" s="12" t="str">
        <f aca="false">IF(C626="","",IFERROR(INDEX('Ingredient Catalog'!$C:$C,MATCH(C626,'Ingredient Catalog'!$A:$A,0)),"⚠ not in catalog"))</f>
        <v/>
      </c>
      <c r="G626" s="12" t="str">
        <f aca="false">IF(A626="","",COUNTIFS('Weekly Log'!$A:$A,'Grocery List'!$B$3,'Weekly Log'!$C:$C,A626,'Weekly Log'!$E:$E,"Yes"))</f>
        <v/>
      </c>
      <c r="H626" s="12" t="str">
        <f aca="false">IF(OR(A626="",D626=""),"",D626*G626)</f>
        <v/>
      </c>
    </row>
    <row r="627" customFormat="false" ht="15" hidden="false" customHeight="false" outlineLevel="0" collapsed="false">
      <c r="B627" s="12" t="str">
        <f aca="false">IF(A627="","",IFERROR(INDEX(Recipes!$B:$B,MATCH(A627,Recipes!$A:$A,0)),"⚠ unknown recipe_id"))</f>
        <v/>
      </c>
      <c r="E627" s="12" t="str">
        <f aca="false">IF(C627="","",IFERROR(INDEX('Ingredient Catalog'!$C:$C,MATCH(C627,'Ingredient Catalog'!$A:$A,0)),"⚠ not in catalog"))</f>
        <v/>
      </c>
      <c r="G627" s="12" t="str">
        <f aca="false">IF(A627="","",COUNTIFS('Weekly Log'!$A:$A,'Grocery List'!$B$3,'Weekly Log'!$C:$C,A627,'Weekly Log'!$E:$E,"Yes"))</f>
        <v/>
      </c>
      <c r="H627" s="12" t="str">
        <f aca="false">IF(OR(A627="",D627=""),"",D627*G627)</f>
        <v/>
      </c>
    </row>
    <row r="628" customFormat="false" ht="15" hidden="false" customHeight="false" outlineLevel="0" collapsed="false">
      <c r="B628" s="12" t="str">
        <f aca="false">IF(A628="","",IFERROR(INDEX(Recipes!$B:$B,MATCH(A628,Recipes!$A:$A,0)),"⚠ unknown recipe_id"))</f>
        <v/>
      </c>
      <c r="E628" s="12" t="str">
        <f aca="false">IF(C628="","",IFERROR(INDEX('Ingredient Catalog'!$C:$C,MATCH(C628,'Ingredient Catalog'!$A:$A,0)),"⚠ not in catalog"))</f>
        <v/>
      </c>
      <c r="G628" s="12" t="str">
        <f aca="false">IF(A628="","",COUNTIFS('Weekly Log'!$A:$A,'Grocery List'!$B$3,'Weekly Log'!$C:$C,A628,'Weekly Log'!$E:$E,"Yes"))</f>
        <v/>
      </c>
      <c r="H628" s="12" t="str">
        <f aca="false">IF(OR(A628="",D628=""),"",D628*G628)</f>
        <v/>
      </c>
    </row>
    <row r="629" customFormat="false" ht="15" hidden="false" customHeight="false" outlineLevel="0" collapsed="false">
      <c r="B629" s="12" t="str">
        <f aca="false">IF(A629="","",IFERROR(INDEX(Recipes!$B:$B,MATCH(A629,Recipes!$A:$A,0)),"⚠ unknown recipe_id"))</f>
        <v/>
      </c>
      <c r="E629" s="12" t="str">
        <f aca="false">IF(C629="","",IFERROR(INDEX('Ingredient Catalog'!$C:$C,MATCH(C629,'Ingredient Catalog'!$A:$A,0)),"⚠ not in catalog"))</f>
        <v/>
      </c>
      <c r="G629" s="12" t="str">
        <f aca="false">IF(A629="","",COUNTIFS('Weekly Log'!$A:$A,'Grocery List'!$B$3,'Weekly Log'!$C:$C,A629,'Weekly Log'!$E:$E,"Yes"))</f>
        <v/>
      </c>
      <c r="H629" s="12" t="str">
        <f aca="false">IF(OR(A629="",D629=""),"",D629*G629)</f>
        <v/>
      </c>
    </row>
    <row r="630" customFormat="false" ht="15" hidden="false" customHeight="false" outlineLevel="0" collapsed="false">
      <c r="B630" s="12" t="str">
        <f aca="false">IF(A630="","",IFERROR(INDEX(Recipes!$B:$B,MATCH(A630,Recipes!$A:$A,0)),"⚠ unknown recipe_id"))</f>
        <v/>
      </c>
      <c r="E630" s="12" t="str">
        <f aca="false">IF(C630="","",IFERROR(INDEX('Ingredient Catalog'!$C:$C,MATCH(C630,'Ingredient Catalog'!$A:$A,0)),"⚠ not in catalog"))</f>
        <v/>
      </c>
      <c r="G630" s="12" t="str">
        <f aca="false">IF(A630="","",COUNTIFS('Weekly Log'!$A:$A,'Grocery List'!$B$3,'Weekly Log'!$C:$C,A630,'Weekly Log'!$E:$E,"Yes"))</f>
        <v/>
      </c>
      <c r="H630" s="12" t="str">
        <f aca="false">IF(OR(A630="",D630=""),"",D630*G630)</f>
        <v/>
      </c>
    </row>
    <row r="631" customFormat="false" ht="15" hidden="false" customHeight="false" outlineLevel="0" collapsed="false">
      <c r="B631" s="12" t="str">
        <f aca="false">IF(A631="","",IFERROR(INDEX(Recipes!$B:$B,MATCH(A631,Recipes!$A:$A,0)),"⚠ unknown recipe_id"))</f>
        <v/>
      </c>
      <c r="E631" s="12" t="str">
        <f aca="false">IF(C631="","",IFERROR(INDEX('Ingredient Catalog'!$C:$C,MATCH(C631,'Ingredient Catalog'!$A:$A,0)),"⚠ not in catalog"))</f>
        <v/>
      </c>
      <c r="G631" s="12" t="str">
        <f aca="false">IF(A631="","",COUNTIFS('Weekly Log'!$A:$A,'Grocery List'!$B$3,'Weekly Log'!$C:$C,A631,'Weekly Log'!$E:$E,"Yes"))</f>
        <v/>
      </c>
      <c r="H631" s="12" t="str">
        <f aca="false">IF(OR(A631="",D631=""),"",D631*G631)</f>
        <v/>
      </c>
    </row>
    <row r="632" customFormat="false" ht="15" hidden="false" customHeight="false" outlineLevel="0" collapsed="false">
      <c r="B632" s="12" t="str">
        <f aca="false">IF(A632="","",IFERROR(INDEX(Recipes!$B:$B,MATCH(A632,Recipes!$A:$A,0)),"⚠ unknown recipe_id"))</f>
        <v/>
      </c>
      <c r="E632" s="12" t="str">
        <f aca="false">IF(C632="","",IFERROR(INDEX('Ingredient Catalog'!$C:$C,MATCH(C632,'Ingredient Catalog'!$A:$A,0)),"⚠ not in catalog"))</f>
        <v/>
      </c>
      <c r="G632" s="12" t="str">
        <f aca="false">IF(A632="","",COUNTIFS('Weekly Log'!$A:$A,'Grocery List'!$B$3,'Weekly Log'!$C:$C,A632,'Weekly Log'!$E:$E,"Yes"))</f>
        <v/>
      </c>
      <c r="H632" s="12" t="str">
        <f aca="false">IF(OR(A632="",D632=""),"",D632*G632)</f>
        <v/>
      </c>
    </row>
    <row r="633" customFormat="false" ht="15" hidden="false" customHeight="false" outlineLevel="0" collapsed="false">
      <c r="B633" s="12" t="str">
        <f aca="false">IF(A633="","",IFERROR(INDEX(Recipes!$B:$B,MATCH(A633,Recipes!$A:$A,0)),"⚠ unknown recipe_id"))</f>
        <v/>
      </c>
      <c r="E633" s="12" t="str">
        <f aca="false">IF(C633="","",IFERROR(INDEX('Ingredient Catalog'!$C:$C,MATCH(C633,'Ingredient Catalog'!$A:$A,0)),"⚠ not in catalog"))</f>
        <v/>
      </c>
      <c r="G633" s="12" t="str">
        <f aca="false">IF(A633="","",COUNTIFS('Weekly Log'!$A:$A,'Grocery List'!$B$3,'Weekly Log'!$C:$C,A633,'Weekly Log'!$E:$E,"Yes"))</f>
        <v/>
      </c>
      <c r="H633" s="12" t="str">
        <f aca="false">IF(OR(A633="",D633=""),"",D633*G633)</f>
        <v/>
      </c>
    </row>
    <row r="634" customFormat="false" ht="15" hidden="false" customHeight="false" outlineLevel="0" collapsed="false">
      <c r="B634" s="12" t="str">
        <f aca="false">IF(A634="","",IFERROR(INDEX(Recipes!$B:$B,MATCH(A634,Recipes!$A:$A,0)),"⚠ unknown recipe_id"))</f>
        <v/>
      </c>
      <c r="E634" s="12" t="str">
        <f aca="false">IF(C634="","",IFERROR(INDEX('Ingredient Catalog'!$C:$C,MATCH(C634,'Ingredient Catalog'!$A:$A,0)),"⚠ not in catalog"))</f>
        <v/>
      </c>
      <c r="G634" s="12" t="str">
        <f aca="false">IF(A634="","",COUNTIFS('Weekly Log'!$A:$A,'Grocery List'!$B$3,'Weekly Log'!$C:$C,A634,'Weekly Log'!$E:$E,"Yes"))</f>
        <v/>
      </c>
      <c r="H634" s="12" t="str">
        <f aca="false">IF(OR(A634="",D634=""),"",D634*G634)</f>
        <v/>
      </c>
    </row>
    <row r="635" customFormat="false" ht="15" hidden="false" customHeight="false" outlineLevel="0" collapsed="false">
      <c r="B635" s="12" t="str">
        <f aca="false">IF(A635="","",IFERROR(INDEX(Recipes!$B:$B,MATCH(A635,Recipes!$A:$A,0)),"⚠ unknown recipe_id"))</f>
        <v/>
      </c>
      <c r="E635" s="12" t="str">
        <f aca="false">IF(C635="","",IFERROR(INDEX('Ingredient Catalog'!$C:$C,MATCH(C635,'Ingredient Catalog'!$A:$A,0)),"⚠ not in catalog"))</f>
        <v/>
      </c>
      <c r="G635" s="12" t="str">
        <f aca="false">IF(A635="","",COUNTIFS('Weekly Log'!$A:$A,'Grocery List'!$B$3,'Weekly Log'!$C:$C,A635,'Weekly Log'!$E:$E,"Yes"))</f>
        <v/>
      </c>
      <c r="H635" s="12" t="str">
        <f aca="false">IF(OR(A635="",D635=""),"",D635*G635)</f>
        <v/>
      </c>
    </row>
    <row r="636" customFormat="false" ht="15" hidden="false" customHeight="false" outlineLevel="0" collapsed="false">
      <c r="B636" s="12" t="str">
        <f aca="false">IF(A636="","",IFERROR(INDEX(Recipes!$B:$B,MATCH(A636,Recipes!$A:$A,0)),"⚠ unknown recipe_id"))</f>
        <v/>
      </c>
      <c r="E636" s="12" t="str">
        <f aca="false">IF(C636="","",IFERROR(INDEX('Ingredient Catalog'!$C:$C,MATCH(C636,'Ingredient Catalog'!$A:$A,0)),"⚠ not in catalog"))</f>
        <v/>
      </c>
      <c r="G636" s="12" t="str">
        <f aca="false">IF(A636="","",COUNTIFS('Weekly Log'!$A:$A,'Grocery List'!$B$3,'Weekly Log'!$C:$C,A636,'Weekly Log'!$E:$E,"Yes"))</f>
        <v/>
      </c>
      <c r="H636" s="12" t="str">
        <f aca="false">IF(OR(A636="",D636=""),"",D636*G636)</f>
        <v/>
      </c>
    </row>
    <row r="637" customFormat="false" ht="15" hidden="false" customHeight="false" outlineLevel="0" collapsed="false">
      <c r="B637" s="12" t="str">
        <f aca="false">IF(A637="","",IFERROR(INDEX(Recipes!$B:$B,MATCH(A637,Recipes!$A:$A,0)),"⚠ unknown recipe_id"))</f>
        <v/>
      </c>
      <c r="E637" s="12" t="str">
        <f aca="false">IF(C637="","",IFERROR(INDEX('Ingredient Catalog'!$C:$C,MATCH(C637,'Ingredient Catalog'!$A:$A,0)),"⚠ not in catalog"))</f>
        <v/>
      </c>
      <c r="G637" s="12" t="str">
        <f aca="false">IF(A637="","",COUNTIFS('Weekly Log'!$A:$A,'Grocery List'!$B$3,'Weekly Log'!$C:$C,A637,'Weekly Log'!$E:$E,"Yes"))</f>
        <v/>
      </c>
      <c r="H637" s="12" t="str">
        <f aca="false">IF(OR(A637="",D637=""),"",D637*G637)</f>
        <v/>
      </c>
    </row>
    <row r="638" customFormat="false" ht="15" hidden="false" customHeight="false" outlineLevel="0" collapsed="false">
      <c r="B638" s="12" t="str">
        <f aca="false">IF(A638="","",IFERROR(INDEX(Recipes!$B:$B,MATCH(A638,Recipes!$A:$A,0)),"⚠ unknown recipe_id"))</f>
        <v/>
      </c>
      <c r="E638" s="12" t="str">
        <f aca="false">IF(C638="","",IFERROR(INDEX('Ingredient Catalog'!$C:$C,MATCH(C638,'Ingredient Catalog'!$A:$A,0)),"⚠ not in catalog"))</f>
        <v/>
      </c>
      <c r="G638" s="12" t="str">
        <f aca="false">IF(A638="","",COUNTIFS('Weekly Log'!$A:$A,'Grocery List'!$B$3,'Weekly Log'!$C:$C,A638,'Weekly Log'!$E:$E,"Yes"))</f>
        <v/>
      </c>
      <c r="H638" s="12" t="str">
        <f aca="false">IF(OR(A638="",D638=""),"",D638*G638)</f>
        <v/>
      </c>
    </row>
    <row r="639" customFormat="false" ht="15" hidden="false" customHeight="false" outlineLevel="0" collapsed="false">
      <c r="B639" s="12" t="str">
        <f aca="false">IF(A639="","",IFERROR(INDEX(Recipes!$B:$B,MATCH(A639,Recipes!$A:$A,0)),"⚠ unknown recipe_id"))</f>
        <v/>
      </c>
      <c r="E639" s="12" t="str">
        <f aca="false">IF(C639="","",IFERROR(INDEX('Ingredient Catalog'!$C:$C,MATCH(C639,'Ingredient Catalog'!$A:$A,0)),"⚠ not in catalog"))</f>
        <v/>
      </c>
      <c r="G639" s="12" t="str">
        <f aca="false">IF(A639="","",COUNTIFS('Weekly Log'!$A:$A,'Grocery List'!$B$3,'Weekly Log'!$C:$C,A639,'Weekly Log'!$E:$E,"Yes"))</f>
        <v/>
      </c>
      <c r="H639" s="12" t="str">
        <f aca="false">IF(OR(A639="",D639=""),"",D639*G639)</f>
        <v/>
      </c>
    </row>
    <row r="640" customFormat="false" ht="15" hidden="false" customHeight="false" outlineLevel="0" collapsed="false">
      <c r="B640" s="12" t="str">
        <f aca="false">IF(A640="","",IFERROR(INDEX(Recipes!$B:$B,MATCH(A640,Recipes!$A:$A,0)),"⚠ unknown recipe_id"))</f>
        <v/>
      </c>
      <c r="E640" s="12" t="str">
        <f aca="false">IF(C640="","",IFERROR(INDEX('Ingredient Catalog'!$C:$C,MATCH(C640,'Ingredient Catalog'!$A:$A,0)),"⚠ not in catalog"))</f>
        <v/>
      </c>
      <c r="G640" s="12" t="str">
        <f aca="false">IF(A640="","",COUNTIFS('Weekly Log'!$A:$A,'Grocery List'!$B$3,'Weekly Log'!$C:$C,A640,'Weekly Log'!$E:$E,"Yes"))</f>
        <v/>
      </c>
      <c r="H640" s="12" t="str">
        <f aca="false">IF(OR(A640="",D640=""),"",D640*G640)</f>
        <v/>
      </c>
    </row>
    <row r="641" customFormat="false" ht="15" hidden="false" customHeight="false" outlineLevel="0" collapsed="false">
      <c r="B641" s="12" t="str">
        <f aca="false">IF(A641="","",IFERROR(INDEX(Recipes!$B:$B,MATCH(A641,Recipes!$A:$A,0)),"⚠ unknown recipe_id"))</f>
        <v/>
      </c>
      <c r="E641" s="12" t="str">
        <f aca="false">IF(C641="","",IFERROR(INDEX('Ingredient Catalog'!$C:$C,MATCH(C641,'Ingredient Catalog'!$A:$A,0)),"⚠ not in catalog"))</f>
        <v/>
      </c>
      <c r="G641" s="12" t="str">
        <f aca="false">IF(A641="","",COUNTIFS('Weekly Log'!$A:$A,'Grocery List'!$B$3,'Weekly Log'!$C:$C,A641,'Weekly Log'!$E:$E,"Yes"))</f>
        <v/>
      </c>
      <c r="H641" s="12" t="str">
        <f aca="false">IF(OR(A641="",D641=""),"",D641*G641)</f>
        <v/>
      </c>
    </row>
    <row r="642" customFormat="false" ht="15" hidden="false" customHeight="false" outlineLevel="0" collapsed="false">
      <c r="B642" s="12" t="str">
        <f aca="false">IF(A642="","",IFERROR(INDEX(Recipes!$B:$B,MATCH(A642,Recipes!$A:$A,0)),"⚠ unknown recipe_id"))</f>
        <v/>
      </c>
      <c r="E642" s="12" t="str">
        <f aca="false">IF(C642="","",IFERROR(INDEX('Ingredient Catalog'!$C:$C,MATCH(C642,'Ingredient Catalog'!$A:$A,0)),"⚠ not in catalog"))</f>
        <v/>
      </c>
      <c r="G642" s="12" t="str">
        <f aca="false">IF(A642="","",COUNTIFS('Weekly Log'!$A:$A,'Grocery List'!$B$3,'Weekly Log'!$C:$C,A642,'Weekly Log'!$E:$E,"Yes"))</f>
        <v/>
      </c>
      <c r="H642" s="12" t="str">
        <f aca="false">IF(OR(A642="",D642=""),"",D642*G642)</f>
        <v/>
      </c>
    </row>
    <row r="643" customFormat="false" ht="15" hidden="false" customHeight="false" outlineLevel="0" collapsed="false">
      <c r="B643" s="12" t="str">
        <f aca="false">IF(A643="","",IFERROR(INDEX(Recipes!$B:$B,MATCH(A643,Recipes!$A:$A,0)),"⚠ unknown recipe_id"))</f>
        <v/>
      </c>
      <c r="E643" s="12" t="str">
        <f aca="false">IF(C643="","",IFERROR(INDEX('Ingredient Catalog'!$C:$C,MATCH(C643,'Ingredient Catalog'!$A:$A,0)),"⚠ not in catalog"))</f>
        <v/>
      </c>
      <c r="G643" s="12" t="str">
        <f aca="false">IF(A643="","",COUNTIFS('Weekly Log'!$A:$A,'Grocery List'!$B$3,'Weekly Log'!$C:$C,A643,'Weekly Log'!$E:$E,"Yes"))</f>
        <v/>
      </c>
      <c r="H643" s="12" t="str">
        <f aca="false">IF(OR(A643="",D643=""),"",D643*G643)</f>
        <v/>
      </c>
    </row>
    <row r="644" customFormat="false" ht="15" hidden="false" customHeight="false" outlineLevel="0" collapsed="false">
      <c r="B644" s="12" t="str">
        <f aca="false">IF(A644="","",IFERROR(INDEX(Recipes!$B:$B,MATCH(A644,Recipes!$A:$A,0)),"⚠ unknown recipe_id"))</f>
        <v/>
      </c>
      <c r="E644" s="12" t="str">
        <f aca="false">IF(C644="","",IFERROR(INDEX('Ingredient Catalog'!$C:$C,MATCH(C644,'Ingredient Catalog'!$A:$A,0)),"⚠ not in catalog"))</f>
        <v/>
      </c>
      <c r="G644" s="12" t="str">
        <f aca="false">IF(A644="","",COUNTIFS('Weekly Log'!$A:$A,'Grocery List'!$B$3,'Weekly Log'!$C:$C,A644,'Weekly Log'!$E:$E,"Yes"))</f>
        <v/>
      </c>
      <c r="H644" s="12" t="str">
        <f aca="false">IF(OR(A644="",D644=""),"",D644*G644)</f>
        <v/>
      </c>
    </row>
    <row r="645" customFormat="false" ht="15" hidden="false" customHeight="false" outlineLevel="0" collapsed="false">
      <c r="B645" s="12" t="str">
        <f aca="false">IF(A645="","",IFERROR(INDEX(Recipes!$B:$B,MATCH(A645,Recipes!$A:$A,0)),"⚠ unknown recipe_id"))</f>
        <v/>
      </c>
      <c r="E645" s="12" t="str">
        <f aca="false">IF(C645="","",IFERROR(INDEX('Ingredient Catalog'!$C:$C,MATCH(C645,'Ingredient Catalog'!$A:$A,0)),"⚠ not in catalog"))</f>
        <v/>
      </c>
      <c r="G645" s="12" t="str">
        <f aca="false">IF(A645="","",COUNTIFS('Weekly Log'!$A:$A,'Grocery List'!$B$3,'Weekly Log'!$C:$C,A645,'Weekly Log'!$E:$E,"Yes"))</f>
        <v/>
      </c>
      <c r="H645" s="12" t="str">
        <f aca="false">IF(OR(A645="",D645=""),"",D645*G645)</f>
        <v/>
      </c>
    </row>
    <row r="646" customFormat="false" ht="15" hidden="false" customHeight="false" outlineLevel="0" collapsed="false">
      <c r="B646" s="12" t="str">
        <f aca="false">IF(A646="","",IFERROR(INDEX(Recipes!$B:$B,MATCH(A646,Recipes!$A:$A,0)),"⚠ unknown recipe_id"))</f>
        <v/>
      </c>
      <c r="E646" s="12" t="str">
        <f aca="false">IF(C646="","",IFERROR(INDEX('Ingredient Catalog'!$C:$C,MATCH(C646,'Ingredient Catalog'!$A:$A,0)),"⚠ not in catalog"))</f>
        <v/>
      </c>
      <c r="G646" s="12" t="str">
        <f aca="false">IF(A646="","",COUNTIFS('Weekly Log'!$A:$A,'Grocery List'!$B$3,'Weekly Log'!$C:$C,A646,'Weekly Log'!$E:$E,"Yes"))</f>
        <v/>
      </c>
      <c r="H646" s="12" t="str">
        <f aca="false">IF(OR(A646="",D646=""),"",D646*G646)</f>
        <v/>
      </c>
    </row>
    <row r="647" customFormat="false" ht="15" hidden="false" customHeight="false" outlineLevel="0" collapsed="false">
      <c r="B647" s="12" t="str">
        <f aca="false">IF(A647="","",IFERROR(INDEX(Recipes!$B:$B,MATCH(A647,Recipes!$A:$A,0)),"⚠ unknown recipe_id"))</f>
        <v/>
      </c>
      <c r="E647" s="12" t="str">
        <f aca="false">IF(C647="","",IFERROR(INDEX('Ingredient Catalog'!$C:$C,MATCH(C647,'Ingredient Catalog'!$A:$A,0)),"⚠ not in catalog"))</f>
        <v/>
      </c>
      <c r="G647" s="12" t="str">
        <f aca="false">IF(A647="","",COUNTIFS('Weekly Log'!$A:$A,'Grocery List'!$B$3,'Weekly Log'!$C:$C,A647,'Weekly Log'!$E:$E,"Yes"))</f>
        <v/>
      </c>
      <c r="H647" s="12" t="str">
        <f aca="false">IF(OR(A647="",D647=""),"",D647*G647)</f>
        <v/>
      </c>
    </row>
    <row r="648" customFormat="false" ht="15" hidden="false" customHeight="false" outlineLevel="0" collapsed="false">
      <c r="B648" s="12" t="str">
        <f aca="false">IF(A648="","",IFERROR(INDEX(Recipes!$B:$B,MATCH(A648,Recipes!$A:$A,0)),"⚠ unknown recipe_id"))</f>
        <v/>
      </c>
      <c r="E648" s="12" t="str">
        <f aca="false">IF(C648="","",IFERROR(INDEX('Ingredient Catalog'!$C:$C,MATCH(C648,'Ingredient Catalog'!$A:$A,0)),"⚠ not in catalog"))</f>
        <v/>
      </c>
      <c r="G648" s="12" t="str">
        <f aca="false">IF(A648="","",COUNTIFS('Weekly Log'!$A:$A,'Grocery List'!$B$3,'Weekly Log'!$C:$C,A648,'Weekly Log'!$E:$E,"Yes"))</f>
        <v/>
      </c>
      <c r="H648" s="12" t="str">
        <f aca="false">IF(OR(A648="",D648=""),"",D648*G648)</f>
        <v/>
      </c>
    </row>
    <row r="649" customFormat="false" ht="15" hidden="false" customHeight="false" outlineLevel="0" collapsed="false">
      <c r="B649" s="12" t="str">
        <f aca="false">IF(A649="","",IFERROR(INDEX(Recipes!$B:$B,MATCH(A649,Recipes!$A:$A,0)),"⚠ unknown recipe_id"))</f>
        <v/>
      </c>
      <c r="E649" s="12" t="str">
        <f aca="false">IF(C649="","",IFERROR(INDEX('Ingredient Catalog'!$C:$C,MATCH(C649,'Ingredient Catalog'!$A:$A,0)),"⚠ not in catalog"))</f>
        <v/>
      </c>
      <c r="G649" s="12" t="str">
        <f aca="false">IF(A649="","",COUNTIFS('Weekly Log'!$A:$A,'Grocery List'!$B$3,'Weekly Log'!$C:$C,A649,'Weekly Log'!$E:$E,"Yes"))</f>
        <v/>
      </c>
      <c r="H649" s="12" t="str">
        <f aca="false">IF(OR(A649="",D649=""),"",D649*G649)</f>
        <v/>
      </c>
    </row>
    <row r="650" customFormat="false" ht="15" hidden="false" customHeight="false" outlineLevel="0" collapsed="false">
      <c r="B650" s="12" t="str">
        <f aca="false">IF(A650="","",IFERROR(INDEX(Recipes!$B:$B,MATCH(A650,Recipes!$A:$A,0)),"⚠ unknown recipe_id"))</f>
        <v/>
      </c>
      <c r="E650" s="12" t="str">
        <f aca="false">IF(C650="","",IFERROR(INDEX('Ingredient Catalog'!$C:$C,MATCH(C650,'Ingredient Catalog'!$A:$A,0)),"⚠ not in catalog"))</f>
        <v/>
      </c>
      <c r="G650" s="12" t="str">
        <f aca="false">IF(A650="","",COUNTIFS('Weekly Log'!$A:$A,'Grocery List'!$B$3,'Weekly Log'!$C:$C,A650,'Weekly Log'!$E:$E,"Yes"))</f>
        <v/>
      </c>
      <c r="H650" s="12" t="str">
        <f aca="false">IF(OR(A650="",D650=""),"",D650*G650)</f>
        <v/>
      </c>
    </row>
    <row r="651" customFormat="false" ht="15" hidden="false" customHeight="false" outlineLevel="0" collapsed="false">
      <c r="B651" s="12" t="str">
        <f aca="false">IF(A651="","",IFERROR(INDEX(Recipes!$B:$B,MATCH(A651,Recipes!$A:$A,0)),"⚠ unknown recipe_id"))</f>
        <v/>
      </c>
      <c r="E651" s="12" t="str">
        <f aca="false">IF(C651="","",IFERROR(INDEX('Ingredient Catalog'!$C:$C,MATCH(C651,'Ingredient Catalog'!$A:$A,0)),"⚠ not in catalog"))</f>
        <v/>
      </c>
      <c r="G651" s="12" t="str">
        <f aca="false">IF(A651="","",COUNTIFS('Weekly Log'!$A:$A,'Grocery List'!$B$3,'Weekly Log'!$C:$C,A651,'Weekly Log'!$E:$E,"Yes"))</f>
        <v/>
      </c>
      <c r="H651" s="12" t="str">
        <f aca="false">IF(OR(A651="",D651=""),"",D651*G651)</f>
        <v/>
      </c>
    </row>
    <row r="652" customFormat="false" ht="15" hidden="false" customHeight="false" outlineLevel="0" collapsed="false">
      <c r="B652" s="12" t="str">
        <f aca="false">IF(A652="","",IFERROR(INDEX(Recipes!$B:$B,MATCH(A652,Recipes!$A:$A,0)),"⚠ unknown recipe_id"))</f>
        <v/>
      </c>
      <c r="E652" s="12" t="str">
        <f aca="false">IF(C652="","",IFERROR(INDEX('Ingredient Catalog'!$C:$C,MATCH(C652,'Ingredient Catalog'!$A:$A,0)),"⚠ not in catalog"))</f>
        <v/>
      </c>
      <c r="G652" s="12" t="str">
        <f aca="false">IF(A652="","",COUNTIFS('Weekly Log'!$A:$A,'Grocery List'!$B$3,'Weekly Log'!$C:$C,A652,'Weekly Log'!$E:$E,"Yes"))</f>
        <v/>
      </c>
      <c r="H652" s="12" t="str">
        <f aca="false">IF(OR(A652="",D652=""),"",D652*G652)</f>
        <v/>
      </c>
    </row>
    <row r="653" customFormat="false" ht="15" hidden="false" customHeight="false" outlineLevel="0" collapsed="false">
      <c r="B653" s="12" t="str">
        <f aca="false">IF(A653="","",IFERROR(INDEX(Recipes!$B:$B,MATCH(A653,Recipes!$A:$A,0)),"⚠ unknown recipe_id"))</f>
        <v/>
      </c>
      <c r="E653" s="12" t="str">
        <f aca="false">IF(C653="","",IFERROR(INDEX('Ingredient Catalog'!$C:$C,MATCH(C653,'Ingredient Catalog'!$A:$A,0)),"⚠ not in catalog"))</f>
        <v/>
      </c>
      <c r="G653" s="12" t="str">
        <f aca="false">IF(A653="","",COUNTIFS('Weekly Log'!$A:$A,'Grocery List'!$B$3,'Weekly Log'!$C:$C,A653,'Weekly Log'!$E:$E,"Yes"))</f>
        <v/>
      </c>
      <c r="H653" s="12" t="str">
        <f aca="false">IF(OR(A653="",D653=""),"",D653*G653)</f>
        <v/>
      </c>
    </row>
    <row r="654" customFormat="false" ht="15" hidden="false" customHeight="false" outlineLevel="0" collapsed="false">
      <c r="B654" s="12" t="str">
        <f aca="false">IF(A654="","",IFERROR(INDEX(Recipes!$B:$B,MATCH(A654,Recipes!$A:$A,0)),"⚠ unknown recipe_id"))</f>
        <v/>
      </c>
      <c r="E654" s="12" t="str">
        <f aca="false">IF(C654="","",IFERROR(INDEX('Ingredient Catalog'!$C:$C,MATCH(C654,'Ingredient Catalog'!$A:$A,0)),"⚠ not in catalog"))</f>
        <v/>
      </c>
      <c r="G654" s="12" t="str">
        <f aca="false">IF(A654="","",COUNTIFS('Weekly Log'!$A:$A,'Grocery List'!$B$3,'Weekly Log'!$C:$C,A654,'Weekly Log'!$E:$E,"Yes"))</f>
        <v/>
      </c>
      <c r="H654" s="12" t="str">
        <f aca="false">IF(OR(A654="",D654=""),"",D654*G654)</f>
        <v/>
      </c>
    </row>
    <row r="655" customFormat="false" ht="15" hidden="false" customHeight="false" outlineLevel="0" collapsed="false">
      <c r="B655" s="12" t="str">
        <f aca="false">IF(A655="","",IFERROR(INDEX(Recipes!$B:$B,MATCH(A655,Recipes!$A:$A,0)),"⚠ unknown recipe_id"))</f>
        <v/>
      </c>
      <c r="E655" s="12" t="str">
        <f aca="false">IF(C655="","",IFERROR(INDEX('Ingredient Catalog'!$C:$C,MATCH(C655,'Ingredient Catalog'!$A:$A,0)),"⚠ not in catalog"))</f>
        <v/>
      </c>
      <c r="G655" s="12" t="str">
        <f aca="false">IF(A655="","",COUNTIFS('Weekly Log'!$A:$A,'Grocery List'!$B$3,'Weekly Log'!$C:$C,A655,'Weekly Log'!$E:$E,"Yes"))</f>
        <v/>
      </c>
      <c r="H655" s="12" t="str">
        <f aca="false">IF(OR(A655="",D655=""),"",D655*G655)</f>
        <v/>
      </c>
    </row>
    <row r="656" customFormat="false" ht="15" hidden="false" customHeight="false" outlineLevel="0" collapsed="false">
      <c r="B656" s="12" t="str">
        <f aca="false">IF(A656="","",IFERROR(INDEX(Recipes!$B:$B,MATCH(A656,Recipes!$A:$A,0)),"⚠ unknown recipe_id"))</f>
        <v/>
      </c>
      <c r="E656" s="12" t="str">
        <f aca="false">IF(C656="","",IFERROR(INDEX('Ingredient Catalog'!$C:$C,MATCH(C656,'Ingredient Catalog'!$A:$A,0)),"⚠ not in catalog"))</f>
        <v/>
      </c>
      <c r="G656" s="12" t="str">
        <f aca="false">IF(A656="","",COUNTIFS('Weekly Log'!$A:$A,'Grocery List'!$B$3,'Weekly Log'!$C:$C,A656,'Weekly Log'!$E:$E,"Yes"))</f>
        <v/>
      </c>
      <c r="H656" s="12" t="str">
        <f aca="false">IF(OR(A656="",D656=""),"",D656*G656)</f>
        <v/>
      </c>
    </row>
    <row r="657" customFormat="false" ht="15" hidden="false" customHeight="false" outlineLevel="0" collapsed="false">
      <c r="B657" s="12" t="str">
        <f aca="false">IF(A657="","",IFERROR(INDEX(Recipes!$B:$B,MATCH(A657,Recipes!$A:$A,0)),"⚠ unknown recipe_id"))</f>
        <v/>
      </c>
      <c r="E657" s="12" t="str">
        <f aca="false">IF(C657="","",IFERROR(INDEX('Ingredient Catalog'!$C:$C,MATCH(C657,'Ingredient Catalog'!$A:$A,0)),"⚠ not in catalog"))</f>
        <v/>
      </c>
      <c r="G657" s="12" t="str">
        <f aca="false">IF(A657="","",COUNTIFS('Weekly Log'!$A:$A,'Grocery List'!$B$3,'Weekly Log'!$C:$C,A657,'Weekly Log'!$E:$E,"Yes"))</f>
        <v/>
      </c>
      <c r="H657" s="12" t="str">
        <f aca="false">IF(OR(A657="",D657=""),"",D657*G657)</f>
        <v/>
      </c>
    </row>
    <row r="658" customFormat="false" ht="15" hidden="false" customHeight="false" outlineLevel="0" collapsed="false">
      <c r="B658" s="12" t="str">
        <f aca="false">IF(A658="","",IFERROR(INDEX(Recipes!$B:$B,MATCH(A658,Recipes!$A:$A,0)),"⚠ unknown recipe_id"))</f>
        <v/>
      </c>
      <c r="E658" s="12" t="str">
        <f aca="false">IF(C658="","",IFERROR(INDEX('Ingredient Catalog'!$C:$C,MATCH(C658,'Ingredient Catalog'!$A:$A,0)),"⚠ not in catalog"))</f>
        <v/>
      </c>
      <c r="G658" s="12" t="str">
        <f aca="false">IF(A658="","",COUNTIFS('Weekly Log'!$A:$A,'Grocery List'!$B$3,'Weekly Log'!$C:$C,A658,'Weekly Log'!$E:$E,"Yes"))</f>
        <v/>
      </c>
      <c r="H658" s="12" t="str">
        <f aca="false">IF(OR(A658="",D658=""),"",D658*G658)</f>
        <v/>
      </c>
    </row>
    <row r="659" customFormat="false" ht="15" hidden="false" customHeight="false" outlineLevel="0" collapsed="false">
      <c r="B659" s="12" t="str">
        <f aca="false">IF(A659="","",IFERROR(INDEX(Recipes!$B:$B,MATCH(A659,Recipes!$A:$A,0)),"⚠ unknown recipe_id"))</f>
        <v/>
      </c>
      <c r="E659" s="12" t="str">
        <f aca="false">IF(C659="","",IFERROR(INDEX('Ingredient Catalog'!$C:$C,MATCH(C659,'Ingredient Catalog'!$A:$A,0)),"⚠ not in catalog"))</f>
        <v/>
      </c>
      <c r="G659" s="12" t="str">
        <f aca="false">IF(A659="","",COUNTIFS('Weekly Log'!$A:$A,'Grocery List'!$B$3,'Weekly Log'!$C:$C,A659,'Weekly Log'!$E:$E,"Yes"))</f>
        <v/>
      </c>
      <c r="H659" s="12" t="str">
        <f aca="false">IF(OR(A659="",D659=""),"",D659*G659)</f>
        <v/>
      </c>
    </row>
    <row r="660" customFormat="false" ht="15" hidden="false" customHeight="false" outlineLevel="0" collapsed="false">
      <c r="B660" s="12" t="str">
        <f aca="false">IF(A660="","",IFERROR(INDEX(Recipes!$B:$B,MATCH(A660,Recipes!$A:$A,0)),"⚠ unknown recipe_id"))</f>
        <v/>
      </c>
      <c r="E660" s="12" t="str">
        <f aca="false">IF(C660="","",IFERROR(INDEX('Ingredient Catalog'!$C:$C,MATCH(C660,'Ingredient Catalog'!$A:$A,0)),"⚠ not in catalog"))</f>
        <v/>
      </c>
      <c r="G660" s="12" t="str">
        <f aca="false">IF(A660="","",COUNTIFS('Weekly Log'!$A:$A,'Grocery List'!$B$3,'Weekly Log'!$C:$C,A660,'Weekly Log'!$E:$E,"Yes"))</f>
        <v/>
      </c>
      <c r="H660" s="12" t="str">
        <f aca="false">IF(OR(A660="",D660=""),"",D660*G660)</f>
        <v/>
      </c>
    </row>
    <row r="661" customFormat="false" ht="15" hidden="false" customHeight="false" outlineLevel="0" collapsed="false">
      <c r="B661" s="12" t="str">
        <f aca="false">IF(A661="","",IFERROR(INDEX(Recipes!$B:$B,MATCH(A661,Recipes!$A:$A,0)),"⚠ unknown recipe_id"))</f>
        <v/>
      </c>
      <c r="E661" s="12" t="str">
        <f aca="false">IF(C661="","",IFERROR(INDEX('Ingredient Catalog'!$C:$C,MATCH(C661,'Ingredient Catalog'!$A:$A,0)),"⚠ not in catalog"))</f>
        <v/>
      </c>
      <c r="G661" s="12" t="str">
        <f aca="false">IF(A661="","",COUNTIFS('Weekly Log'!$A:$A,'Grocery List'!$B$3,'Weekly Log'!$C:$C,A661,'Weekly Log'!$E:$E,"Yes"))</f>
        <v/>
      </c>
      <c r="H661" s="12" t="str">
        <f aca="false">IF(OR(A661="",D661=""),"",D661*G661)</f>
        <v/>
      </c>
    </row>
    <row r="662" customFormat="false" ht="15" hidden="false" customHeight="false" outlineLevel="0" collapsed="false">
      <c r="B662" s="12" t="str">
        <f aca="false">IF(A662="","",IFERROR(INDEX(Recipes!$B:$B,MATCH(A662,Recipes!$A:$A,0)),"⚠ unknown recipe_id"))</f>
        <v/>
      </c>
      <c r="E662" s="12" t="str">
        <f aca="false">IF(C662="","",IFERROR(INDEX('Ingredient Catalog'!$C:$C,MATCH(C662,'Ingredient Catalog'!$A:$A,0)),"⚠ not in catalog"))</f>
        <v/>
      </c>
      <c r="G662" s="12" t="str">
        <f aca="false">IF(A662="","",COUNTIFS('Weekly Log'!$A:$A,'Grocery List'!$B$3,'Weekly Log'!$C:$C,A662,'Weekly Log'!$E:$E,"Yes"))</f>
        <v/>
      </c>
      <c r="H662" s="12" t="str">
        <f aca="false">IF(OR(A662="",D662=""),"",D662*G662)</f>
        <v/>
      </c>
    </row>
    <row r="663" customFormat="false" ht="15" hidden="false" customHeight="false" outlineLevel="0" collapsed="false">
      <c r="B663" s="12" t="str">
        <f aca="false">IF(A663="","",IFERROR(INDEX(Recipes!$B:$B,MATCH(A663,Recipes!$A:$A,0)),"⚠ unknown recipe_id"))</f>
        <v/>
      </c>
      <c r="E663" s="12" t="str">
        <f aca="false">IF(C663="","",IFERROR(INDEX('Ingredient Catalog'!$C:$C,MATCH(C663,'Ingredient Catalog'!$A:$A,0)),"⚠ not in catalog"))</f>
        <v/>
      </c>
      <c r="G663" s="12" t="str">
        <f aca="false">IF(A663="","",COUNTIFS('Weekly Log'!$A:$A,'Grocery List'!$B$3,'Weekly Log'!$C:$C,A663,'Weekly Log'!$E:$E,"Yes"))</f>
        <v/>
      </c>
      <c r="H663" s="12" t="str">
        <f aca="false">IF(OR(A663="",D663=""),"",D663*G663)</f>
        <v/>
      </c>
    </row>
    <row r="664" customFormat="false" ht="15" hidden="false" customHeight="false" outlineLevel="0" collapsed="false">
      <c r="B664" s="12" t="str">
        <f aca="false">IF(A664="","",IFERROR(INDEX(Recipes!$B:$B,MATCH(A664,Recipes!$A:$A,0)),"⚠ unknown recipe_id"))</f>
        <v/>
      </c>
      <c r="E664" s="12" t="str">
        <f aca="false">IF(C664="","",IFERROR(INDEX('Ingredient Catalog'!$C:$C,MATCH(C664,'Ingredient Catalog'!$A:$A,0)),"⚠ not in catalog"))</f>
        <v/>
      </c>
      <c r="G664" s="12" t="str">
        <f aca="false">IF(A664="","",COUNTIFS('Weekly Log'!$A:$A,'Grocery List'!$B$3,'Weekly Log'!$C:$C,A664,'Weekly Log'!$E:$E,"Yes"))</f>
        <v/>
      </c>
      <c r="H664" s="12" t="str">
        <f aca="false">IF(OR(A664="",D664=""),"",D664*G664)</f>
        <v/>
      </c>
    </row>
    <row r="665" customFormat="false" ht="15" hidden="false" customHeight="false" outlineLevel="0" collapsed="false">
      <c r="B665" s="12" t="str">
        <f aca="false">IF(A665="","",IFERROR(INDEX(Recipes!$B:$B,MATCH(A665,Recipes!$A:$A,0)),"⚠ unknown recipe_id"))</f>
        <v/>
      </c>
      <c r="E665" s="12" t="str">
        <f aca="false">IF(C665="","",IFERROR(INDEX('Ingredient Catalog'!$C:$C,MATCH(C665,'Ingredient Catalog'!$A:$A,0)),"⚠ not in catalog"))</f>
        <v/>
      </c>
      <c r="G665" s="12" t="str">
        <f aca="false">IF(A665="","",COUNTIFS('Weekly Log'!$A:$A,'Grocery List'!$B$3,'Weekly Log'!$C:$C,A665,'Weekly Log'!$E:$E,"Yes"))</f>
        <v/>
      </c>
      <c r="H665" s="12" t="str">
        <f aca="false">IF(OR(A665="",D665=""),"",D665*G665)</f>
        <v/>
      </c>
    </row>
    <row r="666" customFormat="false" ht="15" hidden="false" customHeight="false" outlineLevel="0" collapsed="false">
      <c r="B666" s="12" t="str">
        <f aca="false">IF(A666="","",IFERROR(INDEX(Recipes!$B:$B,MATCH(A666,Recipes!$A:$A,0)),"⚠ unknown recipe_id"))</f>
        <v/>
      </c>
      <c r="E666" s="12" t="str">
        <f aca="false">IF(C666="","",IFERROR(INDEX('Ingredient Catalog'!$C:$C,MATCH(C666,'Ingredient Catalog'!$A:$A,0)),"⚠ not in catalog"))</f>
        <v/>
      </c>
      <c r="G666" s="12" t="str">
        <f aca="false">IF(A666="","",COUNTIFS('Weekly Log'!$A:$A,'Grocery List'!$B$3,'Weekly Log'!$C:$C,A666,'Weekly Log'!$E:$E,"Yes"))</f>
        <v/>
      </c>
      <c r="H666" s="12" t="str">
        <f aca="false">IF(OR(A666="",D666=""),"",D666*G666)</f>
        <v/>
      </c>
    </row>
    <row r="667" customFormat="false" ht="15" hidden="false" customHeight="false" outlineLevel="0" collapsed="false">
      <c r="B667" s="12" t="str">
        <f aca="false">IF(A667="","",IFERROR(INDEX(Recipes!$B:$B,MATCH(A667,Recipes!$A:$A,0)),"⚠ unknown recipe_id"))</f>
        <v/>
      </c>
      <c r="E667" s="12" t="str">
        <f aca="false">IF(C667="","",IFERROR(INDEX('Ingredient Catalog'!$C:$C,MATCH(C667,'Ingredient Catalog'!$A:$A,0)),"⚠ not in catalog"))</f>
        <v/>
      </c>
      <c r="G667" s="12" t="str">
        <f aca="false">IF(A667="","",COUNTIFS('Weekly Log'!$A:$A,'Grocery List'!$B$3,'Weekly Log'!$C:$C,A667,'Weekly Log'!$E:$E,"Yes"))</f>
        <v/>
      </c>
      <c r="H667" s="12" t="str">
        <f aca="false">IF(OR(A667="",D667=""),"",D667*G667)</f>
        <v/>
      </c>
    </row>
    <row r="668" customFormat="false" ht="15" hidden="false" customHeight="false" outlineLevel="0" collapsed="false">
      <c r="B668" s="12" t="str">
        <f aca="false">IF(A668="","",IFERROR(INDEX(Recipes!$B:$B,MATCH(A668,Recipes!$A:$A,0)),"⚠ unknown recipe_id"))</f>
        <v/>
      </c>
      <c r="E668" s="12" t="str">
        <f aca="false">IF(C668="","",IFERROR(INDEX('Ingredient Catalog'!$C:$C,MATCH(C668,'Ingredient Catalog'!$A:$A,0)),"⚠ not in catalog"))</f>
        <v/>
      </c>
      <c r="G668" s="12" t="str">
        <f aca="false">IF(A668="","",COUNTIFS('Weekly Log'!$A:$A,'Grocery List'!$B$3,'Weekly Log'!$C:$C,A668,'Weekly Log'!$E:$E,"Yes"))</f>
        <v/>
      </c>
      <c r="H668" s="12" t="str">
        <f aca="false">IF(OR(A668="",D668=""),"",D668*G668)</f>
        <v/>
      </c>
    </row>
    <row r="669" customFormat="false" ht="15" hidden="false" customHeight="false" outlineLevel="0" collapsed="false">
      <c r="B669" s="12" t="str">
        <f aca="false">IF(A669="","",IFERROR(INDEX(Recipes!$B:$B,MATCH(A669,Recipes!$A:$A,0)),"⚠ unknown recipe_id"))</f>
        <v/>
      </c>
      <c r="E669" s="12" t="str">
        <f aca="false">IF(C669="","",IFERROR(INDEX('Ingredient Catalog'!$C:$C,MATCH(C669,'Ingredient Catalog'!$A:$A,0)),"⚠ not in catalog"))</f>
        <v/>
      </c>
      <c r="G669" s="12" t="str">
        <f aca="false">IF(A669="","",COUNTIFS('Weekly Log'!$A:$A,'Grocery List'!$B$3,'Weekly Log'!$C:$C,A669,'Weekly Log'!$E:$E,"Yes"))</f>
        <v/>
      </c>
      <c r="H669" s="12" t="str">
        <f aca="false">IF(OR(A669="",D669=""),"",D669*G669)</f>
        <v/>
      </c>
    </row>
    <row r="670" customFormat="false" ht="15" hidden="false" customHeight="false" outlineLevel="0" collapsed="false">
      <c r="B670" s="12" t="str">
        <f aca="false">IF(A670="","",IFERROR(INDEX(Recipes!$B:$B,MATCH(A670,Recipes!$A:$A,0)),"⚠ unknown recipe_id"))</f>
        <v/>
      </c>
      <c r="E670" s="12" t="str">
        <f aca="false">IF(C670="","",IFERROR(INDEX('Ingredient Catalog'!$C:$C,MATCH(C670,'Ingredient Catalog'!$A:$A,0)),"⚠ not in catalog"))</f>
        <v/>
      </c>
      <c r="G670" s="12" t="str">
        <f aca="false">IF(A670="","",COUNTIFS('Weekly Log'!$A:$A,'Grocery List'!$B$3,'Weekly Log'!$C:$C,A670,'Weekly Log'!$E:$E,"Yes"))</f>
        <v/>
      </c>
      <c r="H670" s="12" t="str">
        <f aca="false">IF(OR(A670="",D670=""),"",D670*G670)</f>
        <v/>
      </c>
    </row>
    <row r="671" customFormat="false" ht="15" hidden="false" customHeight="false" outlineLevel="0" collapsed="false">
      <c r="B671" s="12" t="str">
        <f aca="false">IF(A671="","",IFERROR(INDEX(Recipes!$B:$B,MATCH(A671,Recipes!$A:$A,0)),"⚠ unknown recipe_id"))</f>
        <v/>
      </c>
      <c r="E671" s="12" t="str">
        <f aca="false">IF(C671="","",IFERROR(INDEX('Ingredient Catalog'!$C:$C,MATCH(C671,'Ingredient Catalog'!$A:$A,0)),"⚠ not in catalog"))</f>
        <v/>
      </c>
      <c r="G671" s="12" t="str">
        <f aca="false">IF(A671="","",COUNTIFS('Weekly Log'!$A:$A,'Grocery List'!$B$3,'Weekly Log'!$C:$C,A671,'Weekly Log'!$E:$E,"Yes"))</f>
        <v/>
      </c>
      <c r="H671" s="12" t="str">
        <f aca="false">IF(OR(A671="",D671=""),"",D671*G671)</f>
        <v/>
      </c>
    </row>
    <row r="672" customFormat="false" ht="15" hidden="false" customHeight="false" outlineLevel="0" collapsed="false">
      <c r="B672" s="12" t="str">
        <f aca="false">IF(A672="","",IFERROR(INDEX(Recipes!$B:$B,MATCH(A672,Recipes!$A:$A,0)),"⚠ unknown recipe_id"))</f>
        <v/>
      </c>
      <c r="E672" s="12" t="str">
        <f aca="false">IF(C672="","",IFERROR(INDEX('Ingredient Catalog'!$C:$C,MATCH(C672,'Ingredient Catalog'!$A:$A,0)),"⚠ not in catalog"))</f>
        <v/>
      </c>
      <c r="G672" s="12" t="str">
        <f aca="false">IF(A672="","",COUNTIFS('Weekly Log'!$A:$A,'Grocery List'!$B$3,'Weekly Log'!$C:$C,A672,'Weekly Log'!$E:$E,"Yes"))</f>
        <v/>
      </c>
      <c r="H672" s="12" t="str">
        <f aca="false">IF(OR(A672="",D672=""),"",D672*G672)</f>
        <v/>
      </c>
    </row>
    <row r="673" customFormat="false" ht="15" hidden="false" customHeight="false" outlineLevel="0" collapsed="false">
      <c r="B673" s="12" t="str">
        <f aca="false">IF(A673="","",IFERROR(INDEX(Recipes!$B:$B,MATCH(A673,Recipes!$A:$A,0)),"⚠ unknown recipe_id"))</f>
        <v/>
      </c>
      <c r="E673" s="12" t="str">
        <f aca="false">IF(C673="","",IFERROR(INDEX('Ingredient Catalog'!$C:$C,MATCH(C673,'Ingredient Catalog'!$A:$A,0)),"⚠ not in catalog"))</f>
        <v/>
      </c>
      <c r="G673" s="12" t="str">
        <f aca="false">IF(A673="","",COUNTIFS('Weekly Log'!$A:$A,'Grocery List'!$B$3,'Weekly Log'!$C:$C,A673,'Weekly Log'!$E:$E,"Yes"))</f>
        <v/>
      </c>
      <c r="H673" s="12" t="str">
        <f aca="false">IF(OR(A673="",D673=""),"",D673*G673)</f>
        <v/>
      </c>
    </row>
    <row r="674" customFormat="false" ht="15" hidden="false" customHeight="false" outlineLevel="0" collapsed="false">
      <c r="B674" s="12" t="str">
        <f aca="false">IF(A674="","",IFERROR(INDEX(Recipes!$B:$B,MATCH(A674,Recipes!$A:$A,0)),"⚠ unknown recipe_id"))</f>
        <v/>
      </c>
      <c r="E674" s="12" t="str">
        <f aca="false">IF(C674="","",IFERROR(INDEX('Ingredient Catalog'!$C:$C,MATCH(C674,'Ingredient Catalog'!$A:$A,0)),"⚠ not in catalog"))</f>
        <v/>
      </c>
      <c r="G674" s="12" t="str">
        <f aca="false">IF(A674="","",COUNTIFS('Weekly Log'!$A:$A,'Grocery List'!$B$3,'Weekly Log'!$C:$C,A674,'Weekly Log'!$E:$E,"Yes"))</f>
        <v/>
      </c>
      <c r="H674" s="12" t="str">
        <f aca="false">IF(OR(A674="",D674=""),"",D674*G674)</f>
        <v/>
      </c>
    </row>
    <row r="675" customFormat="false" ht="15" hidden="false" customHeight="false" outlineLevel="0" collapsed="false">
      <c r="B675" s="12" t="str">
        <f aca="false">IF(A675="","",IFERROR(INDEX(Recipes!$B:$B,MATCH(A675,Recipes!$A:$A,0)),"⚠ unknown recipe_id"))</f>
        <v/>
      </c>
      <c r="E675" s="12" t="str">
        <f aca="false">IF(C675="","",IFERROR(INDEX('Ingredient Catalog'!$C:$C,MATCH(C675,'Ingredient Catalog'!$A:$A,0)),"⚠ not in catalog"))</f>
        <v/>
      </c>
      <c r="G675" s="12" t="str">
        <f aca="false">IF(A675="","",COUNTIFS('Weekly Log'!$A:$A,'Grocery List'!$B$3,'Weekly Log'!$C:$C,A675,'Weekly Log'!$E:$E,"Yes"))</f>
        <v/>
      </c>
      <c r="H675" s="12" t="str">
        <f aca="false">IF(OR(A675="",D675=""),"",D675*G675)</f>
        <v/>
      </c>
    </row>
    <row r="676" customFormat="false" ht="15" hidden="false" customHeight="false" outlineLevel="0" collapsed="false">
      <c r="B676" s="12" t="str">
        <f aca="false">IF(A676="","",IFERROR(INDEX(Recipes!$B:$B,MATCH(A676,Recipes!$A:$A,0)),"⚠ unknown recipe_id"))</f>
        <v/>
      </c>
      <c r="E676" s="12" t="str">
        <f aca="false">IF(C676="","",IFERROR(INDEX('Ingredient Catalog'!$C:$C,MATCH(C676,'Ingredient Catalog'!$A:$A,0)),"⚠ not in catalog"))</f>
        <v/>
      </c>
      <c r="G676" s="12" t="str">
        <f aca="false">IF(A676="","",COUNTIFS('Weekly Log'!$A:$A,'Grocery List'!$B$3,'Weekly Log'!$C:$C,A676,'Weekly Log'!$E:$E,"Yes"))</f>
        <v/>
      </c>
      <c r="H676" s="12" t="str">
        <f aca="false">IF(OR(A676="",D676=""),"",D676*G676)</f>
        <v/>
      </c>
    </row>
    <row r="677" customFormat="false" ht="15" hidden="false" customHeight="false" outlineLevel="0" collapsed="false">
      <c r="B677" s="12" t="str">
        <f aca="false">IF(A677="","",IFERROR(INDEX(Recipes!$B:$B,MATCH(A677,Recipes!$A:$A,0)),"⚠ unknown recipe_id"))</f>
        <v/>
      </c>
      <c r="E677" s="12" t="str">
        <f aca="false">IF(C677="","",IFERROR(INDEX('Ingredient Catalog'!$C:$C,MATCH(C677,'Ingredient Catalog'!$A:$A,0)),"⚠ not in catalog"))</f>
        <v/>
      </c>
      <c r="G677" s="12" t="str">
        <f aca="false">IF(A677="","",COUNTIFS('Weekly Log'!$A:$A,'Grocery List'!$B$3,'Weekly Log'!$C:$C,A677,'Weekly Log'!$E:$E,"Yes"))</f>
        <v/>
      </c>
      <c r="H677" s="12" t="str">
        <f aca="false">IF(OR(A677="",D677=""),"",D677*G677)</f>
        <v/>
      </c>
    </row>
    <row r="678" customFormat="false" ht="15" hidden="false" customHeight="false" outlineLevel="0" collapsed="false">
      <c r="B678" s="12" t="str">
        <f aca="false">IF(A678="","",IFERROR(INDEX(Recipes!$B:$B,MATCH(A678,Recipes!$A:$A,0)),"⚠ unknown recipe_id"))</f>
        <v/>
      </c>
      <c r="E678" s="12" t="str">
        <f aca="false">IF(C678="","",IFERROR(INDEX('Ingredient Catalog'!$C:$C,MATCH(C678,'Ingredient Catalog'!$A:$A,0)),"⚠ not in catalog"))</f>
        <v/>
      </c>
      <c r="G678" s="12" t="str">
        <f aca="false">IF(A678="","",COUNTIFS('Weekly Log'!$A:$A,'Grocery List'!$B$3,'Weekly Log'!$C:$C,A678,'Weekly Log'!$E:$E,"Yes"))</f>
        <v/>
      </c>
      <c r="H678" s="12" t="str">
        <f aca="false">IF(OR(A678="",D678=""),"",D678*G678)</f>
        <v/>
      </c>
    </row>
    <row r="679" customFormat="false" ht="15" hidden="false" customHeight="false" outlineLevel="0" collapsed="false">
      <c r="B679" s="12" t="str">
        <f aca="false">IF(A679="","",IFERROR(INDEX(Recipes!$B:$B,MATCH(A679,Recipes!$A:$A,0)),"⚠ unknown recipe_id"))</f>
        <v/>
      </c>
      <c r="E679" s="12" t="str">
        <f aca="false">IF(C679="","",IFERROR(INDEX('Ingredient Catalog'!$C:$C,MATCH(C679,'Ingredient Catalog'!$A:$A,0)),"⚠ not in catalog"))</f>
        <v/>
      </c>
      <c r="G679" s="12" t="str">
        <f aca="false">IF(A679="","",COUNTIFS('Weekly Log'!$A:$A,'Grocery List'!$B$3,'Weekly Log'!$C:$C,A679,'Weekly Log'!$E:$E,"Yes"))</f>
        <v/>
      </c>
      <c r="H679" s="12" t="str">
        <f aca="false">IF(OR(A679="",D679=""),"",D679*G679)</f>
        <v/>
      </c>
    </row>
    <row r="680" customFormat="false" ht="15" hidden="false" customHeight="false" outlineLevel="0" collapsed="false">
      <c r="B680" s="12" t="str">
        <f aca="false">IF(A680="","",IFERROR(INDEX(Recipes!$B:$B,MATCH(A680,Recipes!$A:$A,0)),"⚠ unknown recipe_id"))</f>
        <v/>
      </c>
      <c r="E680" s="12" t="str">
        <f aca="false">IF(C680="","",IFERROR(INDEX('Ingredient Catalog'!$C:$C,MATCH(C680,'Ingredient Catalog'!$A:$A,0)),"⚠ not in catalog"))</f>
        <v/>
      </c>
      <c r="G680" s="12" t="str">
        <f aca="false">IF(A680="","",COUNTIFS('Weekly Log'!$A:$A,'Grocery List'!$B$3,'Weekly Log'!$C:$C,A680,'Weekly Log'!$E:$E,"Yes"))</f>
        <v/>
      </c>
      <c r="H680" s="12" t="str">
        <f aca="false">IF(OR(A680="",D680=""),"",D680*G680)</f>
        <v/>
      </c>
    </row>
    <row r="681" customFormat="false" ht="15" hidden="false" customHeight="false" outlineLevel="0" collapsed="false">
      <c r="B681" s="12" t="str">
        <f aca="false">IF(A681="","",IFERROR(INDEX(Recipes!$B:$B,MATCH(A681,Recipes!$A:$A,0)),"⚠ unknown recipe_id"))</f>
        <v/>
      </c>
      <c r="E681" s="12" t="str">
        <f aca="false">IF(C681="","",IFERROR(INDEX('Ingredient Catalog'!$C:$C,MATCH(C681,'Ingredient Catalog'!$A:$A,0)),"⚠ not in catalog"))</f>
        <v/>
      </c>
      <c r="G681" s="12" t="str">
        <f aca="false">IF(A681="","",COUNTIFS('Weekly Log'!$A:$A,'Grocery List'!$B$3,'Weekly Log'!$C:$C,A681,'Weekly Log'!$E:$E,"Yes"))</f>
        <v/>
      </c>
      <c r="H681" s="12" t="str">
        <f aca="false">IF(OR(A681="",D681=""),"",D681*G681)</f>
        <v/>
      </c>
    </row>
    <row r="682" customFormat="false" ht="15" hidden="false" customHeight="false" outlineLevel="0" collapsed="false">
      <c r="B682" s="12" t="str">
        <f aca="false">IF(A682="","",IFERROR(INDEX(Recipes!$B:$B,MATCH(A682,Recipes!$A:$A,0)),"⚠ unknown recipe_id"))</f>
        <v/>
      </c>
      <c r="E682" s="12" t="str">
        <f aca="false">IF(C682="","",IFERROR(INDEX('Ingredient Catalog'!$C:$C,MATCH(C682,'Ingredient Catalog'!$A:$A,0)),"⚠ not in catalog"))</f>
        <v/>
      </c>
      <c r="G682" s="12" t="str">
        <f aca="false">IF(A682="","",COUNTIFS('Weekly Log'!$A:$A,'Grocery List'!$B$3,'Weekly Log'!$C:$C,A682,'Weekly Log'!$E:$E,"Yes"))</f>
        <v/>
      </c>
      <c r="H682" s="12" t="str">
        <f aca="false">IF(OR(A682="",D682=""),"",D682*G682)</f>
        <v/>
      </c>
    </row>
    <row r="683" customFormat="false" ht="15" hidden="false" customHeight="false" outlineLevel="0" collapsed="false">
      <c r="B683" s="12" t="str">
        <f aca="false">IF(A683="","",IFERROR(INDEX(Recipes!$B:$B,MATCH(A683,Recipes!$A:$A,0)),"⚠ unknown recipe_id"))</f>
        <v/>
      </c>
      <c r="E683" s="12" t="str">
        <f aca="false">IF(C683="","",IFERROR(INDEX('Ingredient Catalog'!$C:$C,MATCH(C683,'Ingredient Catalog'!$A:$A,0)),"⚠ not in catalog"))</f>
        <v/>
      </c>
      <c r="G683" s="12" t="str">
        <f aca="false">IF(A683="","",COUNTIFS('Weekly Log'!$A:$A,'Grocery List'!$B$3,'Weekly Log'!$C:$C,A683,'Weekly Log'!$E:$E,"Yes"))</f>
        <v/>
      </c>
      <c r="H683" s="12" t="str">
        <f aca="false">IF(OR(A683="",D683=""),"",D683*G683)</f>
        <v/>
      </c>
    </row>
    <row r="684" customFormat="false" ht="15" hidden="false" customHeight="false" outlineLevel="0" collapsed="false">
      <c r="B684" s="12" t="str">
        <f aca="false">IF(A684="","",IFERROR(INDEX(Recipes!$B:$B,MATCH(A684,Recipes!$A:$A,0)),"⚠ unknown recipe_id"))</f>
        <v/>
      </c>
      <c r="E684" s="12" t="str">
        <f aca="false">IF(C684="","",IFERROR(INDEX('Ingredient Catalog'!$C:$C,MATCH(C684,'Ingredient Catalog'!$A:$A,0)),"⚠ not in catalog"))</f>
        <v/>
      </c>
      <c r="G684" s="12" t="str">
        <f aca="false">IF(A684="","",COUNTIFS('Weekly Log'!$A:$A,'Grocery List'!$B$3,'Weekly Log'!$C:$C,A684,'Weekly Log'!$E:$E,"Yes"))</f>
        <v/>
      </c>
      <c r="H684" s="12" t="str">
        <f aca="false">IF(OR(A684="",D684=""),"",D684*G684)</f>
        <v/>
      </c>
    </row>
    <row r="685" customFormat="false" ht="15" hidden="false" customHeight="false" outlineLevel="0" collapsed="false">
      <c r="B685" s="12" t="str">
        <f aca="false">IF(A685="","",IFERROR(INDEX(Recipes!$B:$B,MATCH(A685,Recipes!$A:$A,0)),"⚠ unknown recipe_id"))</f>
        <v/>
      </c>
      <c r="E685" s="12" t="str">
        <f aca="false">IF(C685="","",IFERROR(INDEX('Ingredient Catalog'!$C:$C,MATCH(C685,'Ingredient Catalog'!$A:$A,0)),"⚠ not in catalog"))</f>
        <v/>
      </c>
      <c r="G685" s="12" t="str">
        <f aca="false">IF(A685="","",COUNTIFS('Weekly Log'!$A:$A,'Grocery List'!$B$3,'Weekly Log'!$C:$C,A685,'Weekly Log'!$E:$E,"Yes"))</f>
        <v/>
      </c>
      <c r="H685" s="12" t="str">
        <f aca="false">IF(OR(A685="",D685=""),"",D685*G685)</f>
        <v/>
      </c>
    </row>
    <row r="686" customFormat="false" ht="15" hidden="false" customHeight="false" outlineLevel="0" collapsed="false">
      <c r="B686" s="12" t="str">
        <f aca="false">IF(A686="","",IFERROR(INDEX(Recipes!$B:$B,MATCH(A686,Recipes!$A:$A,0)),"⚠ unknown recipe_id"))</f>
        <v/>
      </c>
      <c r="E686" s="12" t="str">
        <f aca="false">IF(C686="","",IFERROR(INDEX('Ingredient Catalog'!$C:$C,MATCH(C686,'Ingredient Catalog'!$A:$A,0)),"⚠ not in catalog"))</f>
        <v/>
      </c>
      <c r="G686" s="12" t="str">
        <f aca="false">IF(A686="","",COUNTIFS('Weekly Log'!$A:$A,'Grocery List'!$B$3,'Weekly Log'!$C:$C,A686,'Weekly Log'!$E:$E,"Yes"))</f>
        <v/>
      </c>
      <c r="H686" s="12" t="str">
        <f aca="false">IF(OR(A686="",D686=""),"",D686*G686)</f>
        <v/>
      </c>
    </row>
    <row r="687" customFormat="false" ht="15" hidden="false" customHeight="false" outlineLevel="0" collapsed="false">
      <c r="B687" s="12" t="str">
        <f aca="false">IF(A687="","",IFERROR(INDEX(Recipes!$B:$B,MATCH(A687,Recipes!$A:$A,0)),"⚠ unknown recipe_id"))</f>
        <v/>
      </c>
      <c r="E687" s="12" t="str">
        <f aca="false">IF(C687="","",IFERROR(INDEX('Ingredient Catalog'!$C:$C,MATCH(C687,'Ingredient Catalog'!$A:$A,0)),"⚠ not in catalog"))</f>
        <v/>
      </c>
      <c r="G687" s="12" t="str">
        <f aca="false">IF(A687="","",COUNTIFS('Weekly Log'!$A:$A,'Grocery List'!$B$3,'Weekly Log'!$C:$C,A687,'Weekly Log'!$E:$E,"Yes"))</f>
        <v/>
      </c>
      <c r="H687" s="12" t="str">
        <f aca="false">IF(OR(A687="",D687=""),"",D687*G687)</f>
        <v/>
      </c>
    </row>
    <row r="688" customFormat="false" ht="15" hidden="false" customHeight="false" outlineLevel="0" collapsed="false">
      <c r="B688" s="12" t="str">
        <f aca="false">IF(A688="","",IFERROR(INDEX(Recipes!$B:$B,MATCH(A688,Recipes!$A:$A,0)),"⚠ unknown recipe_id"))</f>
        <v/>
      </c>
      <c r="E688" s="12" t="str">
        <f aca="false">IF(C688="","",IFERROR(INDEX('Ingredient Catalog'!$C:$C,MATCH(C688,'Ingredient Catalog'!$A:$A,0)),"⚠ not in catalog"))</f>
        <v/>
      </c>
      <c r="G688" s="12" t="str">
        <f aca="false">IF(A688="","",COUNTIFS('Weekly Log'!$A:$A,'Grocery List'!$B$3,'Weekly Log'!$C:$C,A688,'Weekly Log'!$E:$E,"Yes"))</f>
        <v/>
      </c>
      <c r="H688" s="12" t="str">
        <f aca="false">IF(OR(A688="",D688=""),"",D688*G688)</f>
        <v/>
      </c>
    </row>
    <row r="689" customFormat="false" ht="15" hidden="false" customHeight="false" outlineLevel="0" collapsed="false">
      <c r="B689" s="12" t="str">
        <f aca="false">IF(A689="","",IFERROR(INDEX(Recipes!$B:$B,MATCH(A689,Recipes!$A:$A,0)),"⚠ unknown recipe_id"))</f>
        <v/>
      </c>
      <c r="E689" s="12" t="str">
        <f aca="false">IF(C689="","",IFERROR(INDEX('Ingredient Catalog'!$C:$C,MATCH(C689,'Ingredient Catalog'!$A:$A,0)),"⚠ not in catalog"))</f>
        <v/>
      </c>
      <c r="G689" s="12" t="str">
        <f aca="false">IF(A689="","",COUNTIFS('Weekly Log'!$A:$A,'Grocery List'!$B$3,'Weekly Log'!$C:$C,A689,'Weekly Log'!$E:$E,"Yes"))</f>
        <v/>
      </c>
      <c r="H689" s="12" t="str">
        <f aca="false">IF(OR(A689="",D689=""),"",D689*G689)</f>
        <v/>
      </c>
    </row>
    <row r="690" customFormat="false" ht="15" hidden="false" customHeight="false" outlineLevel="0" collapsed="false">
      <c r="B690" s="12" t="str">
        <f aca="false">IF(A690="","",IFERROR(INDEX(Recipes!$B:$B,MATCH(A690,Recipes!$A:$A,0)),"⚠ unknown recipe_id"))</f>
        <v/>
      </c>
      <c r="E690" s="12" t="str">
        <f aca="false">IF(C690="","",IFERROR(INDEX('Ingredient Catalog'!$C:$C,MATCH(C690,'Ingredient Catalog'!$A:$A,0)),"⚠ not in catalog"))</f>
        <v/>
      </c>
      <c r="G690" s="12" t="str">
        <f aca="false">IF(A690="","",COUNTIFS('Weekly Log'!$A:$A,'Grocery List'!$B$3,'Weekly Log'!$C:$C,A690,'Weekly Log'!$E:$E,"Yes"))</f>
        <v/>
      </c>
      <c r="H690" s="12" t="str">
        <f aca="false">IF(OR(A690="",D690=""),"",D690*G690)</f>
        <v/>
      </c>
    </row>
    <row r="691" customFormat="false" ht="15" hidden="false" customHeight="false" outlineLevel="0" collapsed="false">
      <c r="B691" s="12" t="str">
        <f aca="false">IF(A691="","",IFERROR(INDEX(Recipes!$B:$B,MATCH(A691,Recipes!$A:$A,0)),"⚠ unknown recipe_id"))</f>
        <v/>
      </c>
      <c r="E691" s="12" t="str">
        <f aca="false">IF(C691="","",IFERROR(INDEX('Ingredient Catalog'!$C:$C,MATCH(C691,'Ingredient Catalog'!$A:$A,0)),"⚠ not in catalog"))</f>
        <v/>
      </c>
      <c r="G691" s="12" t="str">
        <f aca="false">IF(A691="","",COUNTIFS('Weekly Log'!$A:$A,'Grocery List'!$B$3,'Weekly Log'!$C:$C,A691,'Weekly Log'!$E:$E,"Yes"))</f>
        <v/>
      </c>
      <c r="H691" s="12" t="str">
        <f aca="false">IF(OR(A691="",D691=""),"",D691*G691)</f>
        <v/>
      </c>
    </row>
    <row r="692" customFormat="false" ht="15" hidden="false" customHeight="false" outlineLevel="0" collapsed="false">
      <c r="B692" s="12" t="str">
        <f aca="false">IF(A692="","",IFERROR(INDEX(Recipes!$B:$B,MATCH(A692,Recipes!$A:$A,0)),"⚠ unknown recipe_id"))</f>
        <v/>
      </c>
      <c r="E692" s="12" t="str">
        <f aca="false">IF(C692="","",IFERROR(INDEX('Ingredient Catalog'!$C:$C,MATCH(C692,'Ingredient Catalog'!$A:$A,0)),"⚠ not in catalog"))</f>
        <v/>
      </c>
      <c r="G692" s="12" t="str">
        <f aca="false">IF(A692="","",COUNTIFS('Weekly Log'!$A:$A,'Grocery List'!$B$3,'Weekly Log'!$C:$C,A692,'Weekly Log'!$E:$E,"Yes"))</f>
        <v/>
      </c>
      <c r="H692" s="12" t="str">
        <f aca="false">IF(OR(A692="",D692=""),"",D692*G692)</f>
        <v/>
      </c>
    </row>
    <row r="693" customFormat="false" ht="15" hidden="false" customHeight="false" outlineLevel="0" collapsed="false">
      <c r="B693" s="12" t="str">
        <f aca="false">IF(A693="","",IFERROR(INDEX(Recipes!$B:$B,MATCH(A693,Recipes!$A:$A,0)),"⚠ unknown recipe_id"))</f>
        <v/>
      </c>
      <c r="E693" s="12" t="str">
        <f aca="false">IF(C693="","",IFERROR(INDEX('Ingredient Catalog'!$C:$C,MATCH(C693,'Ingredient Catalog'!$A:$A,0)),"⚠ not in catalog"))</f>
        <v/>
      </c>
      <c r="G693" s="12" t="str">
        <f aca="false">IF(A693="","",COUNTIFS('Weekly Log'!$A:$A,'Grocery List'!$B$3,'Weekly Log'!$C:$C,A693,'Weekly Log'!$E:$E,"Yes"))</f>
        <v/>
      </c>
      <c r="H693" s="12" t="str">
        <f aca="false">IF(OR(A693="",D693=""),"",D693*G693)</f>
        <v/>
      </c>
    </row>
    <row r="694" customFormat="false" ht="15" hidden="false" customHeight="false" outlineLevel="0" collapsed="false">
      <c r="B694" s="12" t="str">
        <f aca="false">IF(A694="","",IFERROR(INDEX(Recipes!$B:$B,MATCH(A694,Recipes!$A:$A,0)),"⚠ unknown recipe_id"))</f>
        <v/>
      </c>
      <c r="E694" s="12" t="str">
        <f aca="false">IF(C694="","",IFERROR(INDEX('Ingredient Catalog'!$C:$C,MATCH(C694,'Ingredient Catalog'!$A:$A,0)),"⚠ not in catalog"))</f>
        <v/>
      </c>
      <c r="G694" s="12" t="str">
        <f aca="false">IF(A694="","",COUNTIFS('Weekly Log'!$A:$A,'Grocery List'!$B$3,'Weekly Log'!$C:$C,A694,'Weekly Log'!$E:$E,"Yes"))</f>
        <v/>
      </c>
      <c r="H694" s="12" t="str">
        <f aca="false">IF(OR(A694="",D694=""),"",D694*G694)</f>
        <v/>
      </c>
    </row>
    <row r="695" customFormat="false" ht="15" hidden="false" customHeight="false" outlineLevel="0" collapsed="false">
      <c r="B695" s="12" t="str">
        <f aca="false">IF(A695="","",IFERROR(INDEX(Recipes!$B:$B,MATCH(A695,Recipes!$A:$A,0)),"⚠ unknown recipe_id"))</f>
        <v/>
      </c>
      <c r="E695" s="12" t="str">
        <f aca="false">IF(C695="","",IFERROR(INDEX('Ingredient Catalog'!$C:$C,MATCH(C695,'Ingredient Catalog'!$A:$A,0)),"⚠ not in catalog"))</f>
        <v/>
      </c>
      <c r="G695" s="12" t="str">
        <f aca="false">IF(A695="","",COUNTIFS('Weekly Log'!$A:$A,'Grocery List'!$B$3,'Weekly Log'!$C:$C,A695,'Weekly Log'!$E:$E,"Yes"))</f>
        <v/>
      </c>
      <c r="H695" s="12" t="str">
        <f aca="false">IF(OR(A695="",D695=""),"",D695*G695)</f>
        <v/>
      </c>
    </row>
    <row r="696" customFormat="false" ht="15" hidden="false" customHeight="false" outlineLevel="0" collapsed="false">
      <c r="B696" s="12" t="str">
        <f aca="false">IF(A696="","",IFERROR(INDEX(Recipes!$B:$B,MATCH(A696,Recipes!$A:$A,0)),"⚠ unknown recipe_id"))</f>
        <v/>
      </c>
      <c r="E696" s="12" t="str">
        <f aca="false">IF(C696="","",IFERROR(INDEX('Ingredient Catalog'!$C:$C,MATCH(C696,'Ingredient Catalog'!$A:$A,0)),"⚠ not in catalog"))</f>
        <v/>
      </c>
      <c r="G696" s="12" t="str">
        <f aca="false">IF(A696="","",COUNTIFS('Weekly Log'!$A:$A,'Grocery List'!$B$3,'Weekly Log'!$C:$C,A696,'Weekly Log'!$E:$E,"Yes"))</f>
        <v/>
      </c>
      <c r="H696" s="12" t="str">
        <f aca="false">IF(OR(A696="",D696=""),"",D696*G696)</f>
        <v/>
      </c>
    </row>
    <row r="697" customFormat="false" ht="15" hidden="false" customHeight="false" outlineLevel="0" collapsed="false">
      <c r="B697" s="12" t="str">
        <f aca="false">IF(A697="","",IFERROR(INDEX(Recipes!$B:$B,MATCH(A697,Recipes!$A:$A,0)),"⚠ unknown recipe_id"))</f>
        <v/>
      </c>
      <c r="E697" s="12" t="str">
        <f aca="false">IF(C697="","",IFERROR(INDEX('Ingredient Catalog'!$C:$C,MATCH(C697,'Ingredient Catalog'!$A:$A,0)),"⚠ not in catalog"))</f>
        <v/>
      </c>
      <c r="G697" s="12" t="str">
        <f aca="false">IF(A697="","",COUNTIFS('Weekly Log'!$A:$A,'Grocery List'!$B$3,'Weekly Log'!$C:$C,A697,'Weekly Log'!$E:$E,"Yes"))</f>
        <v/>
      </c>
      <c r="H697" s="12" t="str">
        <f aca="false">IF(OR(A697="",D697=""),"",D697*G697)</f>
        <v/>
      </c>
    </row>
    <row r="698" customFormat="false" ht="15" hidden="false" customHeight="false" outlineLevel="0" collapsed="false">
      <c r="B698" s="12" t="str">
        <f aca="false">IF(A698="","",IFERROR(INDEX(Recipes!$B:$B,MATCH(A698,Recipes!$A:$A,0)),"⚠ unknown recipe_id"))</f>
        <v/>
      </c>
      <c r="E698" s="12" t="str">
        <f aca="false">IF(C698="","",IFERROR(INDEX('Ingredient Catalog'!$C:$C,MATCH(C698,'Ingredient Catalog'!$A:$A,0)),"⚠ not in catalog"))</f>
        <v/>
      </c>
      <c r="G698" s="12" t="str">
        <f aca="false">IF(A698="","",COUNTIFS('Weekly Log'!$A:$A,'Grocery List'!$B$3,'Weekly Log'!$C:$C,A698,'Weekly Log'!$E:$E,"Yes"))</f>
        <v/>
      </c>
      <c r="H698" s="12" t="str">
        <f aca="false">IF(OR(A698="",D698=""),"",D698*G698)</f>
        <v/>
      </c>
    </row>
    <row r="699" customFormat="false" ht="15" hidden="false" customHeight="false" outlineLevel="0" collapsed="false">
      <c r="B699" s="12" t="str">
        <f aca="false">IF(A699="","",IFERROR(INDEX(Recipes!$B:$B,MATCH(A699,Recipes!$A:$A,0)),"⚠ unknown recipe_id"))</f>
        <v/>
      </c>
      <c r="E699" s="12" t="str">
        <f aca="false">IF(C699="","",IFERROR(INDEX('Ingredient Catalog'!$C:$C,MATCH(C699,'Ingredient Catalog'!$A:$A,0)),"⚠ not in catalog"))</f>
        <v/>
      </c>
      <c r="G699" s="12" t="str">
        <f aca="false">IF(A699="","",COUNTIFS('Weekly Log'!$A:$A,'Grocery List'!$B$3,'Weekly Log'!$C:$C,A699,'Weekly Log'!$E:$E,"Yes"))</f>
        <v/>
      </c>
      <c r="H699" s="12" t="str">
        <f aca="false">IF(OR(A699="",D699=""),"",D699*G699)</f>
        <v/>
      </c>
    </row>
    <row r="700" customFormat="false" ht="15" hidden="false" customHeight="false" outlineLevel="0" collapsed="false">
      <c r="B700" s="12" t="str">
        <f aca="false">IF(A700="","",IFERROR(INDEX(Recipes!$B:$B,MATCH(A700,Recipes!$A:$A,0)),"⚠ unknown recipe_id"))</f>
        <v/>
      </c>
      <c r="E700" s="12" t="str">
        <f aca="false">IF(C700="","",IFERROR(INDEX('Ingredient Catalog'!$C:$C,MATCH(C700,'Ingredient Catalog'!$A:$A,0)),"⚠ not in catalog"))</f>
        <v/>
      </c>
      <c r="G700" s="12" t="str">
        <f aca="false">IF(A700="","",COUNTIFS('Weekly Log'!$A:$A,'Grocery List'!$B$3,'Weekly Log'!$C:$C,A700,'Weekly Log'!$E:$E,"Yes"))</f>
        <v/>
      </c>
      <c r="H700" s="12" t="str">
        <f aca="false">IF(OR(A700="",D700=""),"",D700*G700)</f>
        <v/>
      </c>
    </row>
    <row r="701" customFormat="false" ht="15" hidden="false" customHeight="false" outlineLevel="0" collapsed="false">
      <c r="B701" s="12" t="str">
        <f aca="false">IF(A701="","",IFERROR(INDEX(Recipes!$B:$B,MATCH(A701,Recipes!$A:$A,0)),"⚠ unknown recipe_id"))</f>
        <v/>
      </c>
      <c r="E701" s="12" t="str">
        <f aca="false">IF(C701="","",IFERROR(INDEX('Ingredient Catalog'!$C:$C,MATCH(C701,'Ingredient Catalog'!$A:$A,0)),"⚠ not in catalog"))</f>
        <v/>
      </c>
      <c r="G701" s="12" t="str">
        <f aca="false">IF(A701="","",COUNTIFS('Weekly Log'!$A:$A,'Grocery List'!$B$3,'Weekly Log'!$C:$C,A701,'Weekly Log'!$E:$E,"Yes"))</f>
        <v/>
      </c>
      <c r="H701" s="12" t="str">
        <f aca="false">IF(OR(A701="",D701=""),"",D701*G701)</f>
        <v/>
      </c>
    </row>
    <row r="702" customFormat="false" ht="15" hidden="false" customHeight="false" outlineLevel="0" collapsed="false">
      <c r="B702" s="12" t="str">
        <f aca="false">IF(A702="","",IFERROR(INDEX(Recipes!$B:$B,MATCH(A702,Recipes!$A:$A,0)),"⚠ unknown recipe_id"))</f>
        <v/>
      </c>
      <c r="E702" s="12" t="str">
        <f aca="false">IF(C702="","",IFERROR(INDEX('Ingredient Catalog'!$C:$C,MATCH(C702,'Ingredient Catalog'!$A:$A,0)),"⚠ not in catalog"))</f>
        <v/>
      </c>
      <c r="G702" s="12" t="str">
        <f aca="false">IF(A702="","",COUNTIFS('Weekly Log'!$A:$A,'Grocery List'!$B$3,'Weekly Log'!$C:$C,A702,'Weekly Log'!$E:$E,"Yes"))</f>
        <v/>
      </c>
      <c r="H702" s="12" t="str">
        <f aca="false">IF(OR(A702="",D702=""),"",D702*G702)</f>
        <v/>
      </c>
    </row>
    <row r="703" customFormat="false" ht="15" hidden="false" customHeight="false" outlineLevel="0" collapsed="false">
      <c r="B703" s="12" t="str">
        <f aca="false">IF(A703="","",IFERROR(INDEX(Recipes!$B:$B,MATCH(A703,Recipes!$A:$A,0)),"⚠ unknown recipe_id"))</f>
        <v/>
      </c>
      <c r="E703" s="12" t="str">
        <f aca="false">IF(C703="","",IFERROR(INDEX('Ingredient Catalog'!$C:$C,MATCH(C703,'Ingredient Catalog'!$A:$A,0)),"⚠ not in catalog"))</f>
        <v/>
      </c>
      <c r="G703" s="12" t="str">
        <f aca="false">IF(A703="","",COUNTIFS('Weekly Log'!$A:$A,'Grocery List'!$B$3,'Weekly Log'!$C:$C,A703,'Weekly Log'!$E:$E,"Yes"))</f>
        <v/>
      </c>
      <c r="H703" s="12" t="str">
        <f aca="false">IF(OR(A703="",D703=""),"",D703*G703)</f>
        <v/>
      </c>
    </row>
    <row r="704" customFormat="false" ht="15" hidden="false" customHeight="false" outlineLevel="0" collapsed="false">
      <c r="B704" s="12" t="str">
        <f aca="false">IF(A704="","",IFERROR(INDEX(Recipes!$B:$B,MATCH(A704,Recipes!$A:$A,0)),"⚠ unknown recipe_id"))</f>
        <v/>
      </c>
      <c r="E704" s="12" t="str">
        <f aca="false">IF(C704="","",IFERROR(INDEX('Ingredient Catalog'!$C:$C,MATCH(C704,'Ingredient Catalog'!$A:$A,0)),"⚠ not in catalog"))</f>
        <v/>
      </c>
      <c r="G704" s="12" t="str">
        <f aca="false">IF(A704="","",COUNTIFS('Weekly Log'!$A:$A,'Grocery List'!$B$3,'Weekly Log'!$C:$C,A704,'Weekly Log'!$E:$E,"Yes"))</f>
        <v/>
      </c>
      <c r="H704" s="12" t="str">
        <f aca="false">IF(OR(A704="",D704=""),"",D704*G704)</f>
        <v/>
      </c>
    </row>
    <row r="705" customFormat="false" ht="15" hidden="false" customHeight="false" outlineLevel="0" collapsed="false">
      <c r="B705" s="12" t="str">
        <f aca="false">IF(A705="","",IFERROR(INDEX(Recipes!$B:$B,MATCH(A705,Recipes!$A:$A,0)),"⚠ unknown recipe_id"))</f>
        <v/>
      </c>
      <c r="E705" s="12" t="str">
        <f aca="false">IF(C705="","",IFERROR(INDEX('Ingredient Catalog'!$C:$C,MATCH(C705,'Ingredient Catalog'!$A:$A,0)),"⚠ not in catalog"))</f>
        <v/>
      </c>
      <c r="G705" s="12" t="str">
        <f aca="false">IF(A705="","",COUNTIFS('Weekly Log'!$A:$A,'Grocery List'!$B$3,'Weekly Log'!$C:$C,A705,'Weekly Log'!$E:$E,"Yes"))</f>
        <v/>
      </c>
      <c r="H705" s="12" t="str">
        <f aca="false">IF(OR(A705="",D705=""),"",D705*G705)</f>
        <v/>
      </c>
    </row>
    <row r="706" customFormat="false" ht="15" hidden="false" customHeight="false" outlineLevel="0" collapsed="false">
      <c r="B706" s="12" t="str">
        <f aca="false">IF(A706="","",IFERROR(INDEX(Recipes!$B:$B,MATCH(A706,Recipes!$A:$A,0)),"⚠ unknown recipe_id"))</f>
        <v/>
      </c>
      <c r="E706" s="12" t="str">
        <f aca="false">IF(C706="","",IFERROR(INDEX('Ingredient Catalog'!$C:$C,MATCH(C706,'Ingredient Catalog'!$A:$A,0)),"⚠ not in catalog"))</f>
        <v/>
      </c>
      <c r="G706" s="12" t="str">
        <f aca="false">IF(A706="","",COUNTIFS('Weekly Log'!$A:$A,'Grocery List'!$B$3,'Weekly Log'!$C:$C,A706,'Weekly Log'!$E:$E,"Yes"))</f>
        <v/>
      </c>
      <c r="H706" s="12" t="str">
        <f aca="false">IF(OR(A706="",D706=""),"",D706*G706)</f>
        <v/>
      </c>
    </row>
    <row r="707" customFormat="false" ht="15" hidden="false" customHeight="false" outlineLevel="0" collapsed="false">
      <c r="B707" s="12" t="str">
        <f aca="false">IF(A707="","",IFERROR(INDEX(Recipes!$B:$B,MATCH(A707,Recipes!$A:$A,0)),"⚠ unknown recipe_id"))</f>
        <v/>
      </c>
      <c r="E707" s="12" t="str">
        <f aca="false">IF(C707="","",IFERROR(INDEX('Ingredient Catalog'!$C:$C,MATCH(C707,'Ingredient Catalog'!$A:$A,0)),"⚠ not in catalog"))</f>
        <v/>
      </c>
      <c r="G707" s="12" t="str">
        <f aca="false">IF(A707="","",COUNTIFS('Weekly Log'!$A:$A,'Grocery List'!$B$3,'Weekly Log'!$C:$C,A707,'Weekly Log'!$E:$E,"Yes"))</f>
        <v/>
      </c>
      <c r="H707" s="12" t="str">
        <f aca="false">IF(OR(A707="",D707=""),"",D707*G707)</f>
        <v/>
      </c>
    </row>
    <row r="708" customFormat="false" ht="15" hidden="false" customHeight="false" outlineLevel="0" collapsed="false">
      <c r="B708" s="12" t="str">
        <f aca="false">IF(A708="","",IFERROR(INDEX(Recipes!$B:$B,MATCH(A708,Recipes!$A:$A,0)),"⚠ unknown recipe_id"))</f>
        <v/>
      </c>
      <c r="E708" s="12" t="str">
        <f aca="false">IF(C708="","",IFERROR(INDEX('Ingredient Catalog'!$C:$C,MATCH(C708,'Ingredient Catalog'!$A:$A,0)),"⚠ not in catalog"))</f>
        <v/>
      </c>
      <c r="G708" s="12" t="str">
        <f aca="false">IF(A708="","",COUNTIFS('Weekly Log'!$A:$A,'Grocery List'!$B$3,'Weekly Log'!$C:$C,A708,'Weekly Log'!$E:$E,"Yes"))</f>
        <v/>
      </c>
      <c r="H708" s="12" t="str">
        <f aca="false">IF(OR(A708="",D708=""),"",D708*G708)</f>
        <v/>
      </c>
    </row>
    <row r="709" customFormat="false" ht="15" hidden="false" customHeight="false" outlineLevel="0" collapsed="false">
      <c r="B709" s="12" t="str">
        <f aca="false">IF(A709="","",IFERROR(INDEX(Recipes!$B:$B,MATCH(A709,Recipes!$A:$A,0)),"⚠ unknown recipe_id"))</f>
        <v/>
      </c>
      <c r="E709" s="12" t="str">
        <f aca="false">IF(C709="","",IFERROR(INDEX('Ingredient Catalog'!$C:$C,MATCH(C709,'Ingredient Catalog'!$A:$A,0)),"⚠ not in catalog"))</f>
        <v/>
      </c>
      <c r="G709" s="12" t="str">
        <f aca="false">IF(A709="","",COUNTIFS('Weekly Log'!$A:$A,'Grocery List'!$B$3,'Weekly Log'!$C:$C,A709,'Weekly Log'!$E:$E,"Yes"))</f>
        <v/>
      </c>
      <c r="H709" s="12" t="str">
        <f aca="false">IF(OR(A709="",D709=""),"",D709*G709)</f>
        <v/>
      </c>
    </row>
    <row r="710" customFormat="false" ht="15" hidden="false" customHeight="false" outlineLevel="0" collapsed="false">
      <c r="B710" s="12" t="str">
        <f aca="false">IF(A710="","",IFERROR(INDEX(Recipes!$B:$B,MATCH(A710,Recipes!$A:$A,0)),"⚠ unknown recipe_id"))</f>
        <v/>
      </c>
      <c r="E710" s="12" t="str">
        <f aca="false">IF(C710="","",IFERROR(INDEX('Ingredient Catalog'!$C:$C,MATCH(C710,'Ingredient Catalog'!$A:$A,0)),"⚠ not in catalog"))</f>
        <v/>
      </c>
      <c r="G710" s="12" t="str">
        <f aca="false">IF(A710="","",COUNTIFS('Weekly Log'!$A:$A,'Grocery List'!$B$3,'Weekly Log'!$C:$C,A710,'Weekly Log'!$E:$E,"Yes"))</f>
        <v/>
      </c>
      <c r="H710" s="12" t="str">
        <f aca="false">IF(OR(A710="",D710=""),"",D710*G710)</f>
        <v/>
      </c>
    </row>
    <row r="711" customFormat="false" ht="15" hidden="false" customHeight="false" outlineLevel="0" collapsed="false">
      <c r="B711" s="12" t="str">
        <f aca="false">IF(A711="","",IFERROR(INDEX(Recipes!$B:$B,MATCH(A711,Recipes!$A:$A,0)),"⚠ unknown recipe_id"))</f>
        <v/>
      </c>
      <c r="E711" s="12" t="str">
        <f aca="false">IF(C711="","",IFERROR(INDEX('Ingredient Catalog'!$C:$C,MATCH(C711,'Ingredient Catalog'!$A:$A,0)),"⚠ not in catalog"))</f>
        <v/>
      </c>
      <c r="G711" s="12" t="str">
        <f aca="false">IF(A711="","",COUNTIFS('Weekly Log'!$A:$A,'Grocery List'!$B$3,'Weekly Log'!$C:$C,A711,'Weekly Log'!$E:$E,"Yes"))</f>
        <v/>
      </c>
      <c r="H711" s="12" t="str">
        <f aca="false">IF(OR(A711="",D711=""),"",D711*G711)</f>
        <v/>
      </c>
    </row>
    <row r="712" customFormat="false" ht="15" hidden="false" customHeight="false" outlineLevel="0" collapsed="false">
      <c r="B712" s="12" t="str">
        <f aca="false">IF(A712="","",IFERROR(INDEX(Recipes!$B:$B,MATCH(A712,Recipes!$A:$A,0)),"⚠ unknown recipe_id"))</f>
        <v/>
      </c>
      <c r="E712" s="12" t="str">
        <f aca="false">IF(C712="","",IFERROR(INDEX('Ingredient Catalog'!$C:$C,MATCH(C712,'Ingredient Catalog'!$A:$A,0)),"⚠ not in catalog"))</f>
        <v/>
      </c>
      <c r="G712" s="12" t="str">
        <f aca="false">IF(A712="","",COUNTIFS('Weekly Log'!$A:$A,'Grocery List'!$B$3,'Weekly Log'!$C:$C,A712,'Weekly Log'!$E:$E,"Yes"))</f>
        <v/>
      </c>
      <c r="H712" s="12" t="str">
        <f aca="false">IF(OR(A712="",D712=""),"",D712*G712)</f>
        <v/>
      </c>
    </row>
    <row r="713" customFormat="false" ht="15" hidden="false" customHeight="false" outlineLevel="0" collapsed="false">
      <c r="B713" s="12" t="str">
        <f aca="false">IF(A713="","",IFERROR(INDEX(Recipes!$B:$B,MATCH(A713,Recipes!$A:$A,0)),"⚠ unknown recipe_id"))</f>
        <v/>
      </c>
      <c r="E713" s="12" t="str">
        <f aca="false">IF(C713="","",IFERROR(INDEX('Ingredient Catalog'!$C:$C,MATCH(C713,'Ingredient Catalog'!$A:$A,0)),"⚠ not in catalog"))</f>
        <v/>
      </c>
      <c r="G713" s="12" t="str">
        <f aca="false">IF(A713="","",COUNTIFS('Weekly Log'!$A:$A,'Grocery List'!$B$3,'Weekly Log'!$C:$C,A713,'Weekly Log'!$E:$E,"Yes"))</f>
        <v/>
      </c>
      <c r="H713" s="12" t="str">
        <f aca="false">IF(OR(A713="",D713=""),"",D713*G713)</f>
        <v/>
      </c>
    </row>
    <row r="714" customFormat="false" ht="15" hidden="false" customHeight="false" outlineLevel="0" collapsed="false">
      <c r="B714" s="12" t="str">
        <f aca="false">IF(A714="","",IFERROR(INDEX(Recipes!$B:$B,MATCH(A714,Recipes!$A:$A,0)),"⚠ unknown recipe_id"))</f>
        <v/>
      </c>
      <c r="E714" s="12" t="str">
        <f aca="false">IF(C714="","",IFERROR(INDEX('Ingredient Catalog'!$C:$C,MATCH(C714,'Ingredient Catalog'!$A:$A,0)),"⚠ not in catalog"))</f>
        <v/>
      </c>
      <c r="G714" s="12" t="str">
        <f aca="false">IF(A714="","",COUNTIFS('Weekly Log'!$A:$A,'Grocery List'!$B$3,'Weekly Log'!$C:$C,A714,'Weekly Log'!$E:$E,"Yes"))</f>
        <v/>
      </c>
      <c r="H714" s="12" t="str">
        <f aca="false">IF(OR(A714="",D714=""),"",D714*G714)</f>
        <v/>
      </c>
    </row>
    <row r="715" customFormat="false" ht="15" hidden="false" customHeight="false" outlineLevel="0" collapsed="false">
      <c r="B715" s="12" t="str">
        <f aca="false">IF(A715="","",IFERROR(INDEX(Recipes!$B:$B,MATCH(A715,Recipes!$A:$A,0)),"⚠ unknown recipe_id"))</f>
        <v/>
      </c>
      <c r="E715" s="12" t="str">
        <f aca="false">IF(C715="","",IFERROR(INDEX('Ingredient Catalog'!$C:$C,MATCH(C715,'Ingredient Catalog'!$A:$A,0)),"⚠ not in catalog"))</f>
        <v/>
      </c>
      <c r="G715" s="12" t="str">
        <f aca="false">IF(A715="","",COUNTIFS('Weekly Log'!$A:$A,'Grocery List'!$B$3,'Weekly Log'!$C:$C,A715,'Weekly Log'!$E:$E,"Yes"))</f>
        <v/>
      </c>
      <c r="H715" s="12" t="str">
        <f aca="false">IF(OR(A715="",D715=""),"",D715*G715)</f>
        <v/>
      </c>
    </row>
    <row r="716" customFormat="false" ht="15" hidden="false" customHeight="false" outlineLevel="0" collapsed="false">
      <c r="B716" s="12" t="str">
        <f aca="false">IF(A716="","",IFERROR(INDEX(Recipes!$B:$B,MATCH(A716,Recipes!$A:$A,0)),"⚠ unknown recipe_id"))</f>
        <v/>
      </c>
      <c r="E716" s="12" t="str">
        <f aca="false">IF(C716="","",IFERROR(INDEX('Ingredient Catalog'!$C:$C,MATCH(C716,'Ingredient Catalog'!$A:$A,0)),"⚠ not in catalog"))</f>
        <v/>
      </c>
      <c r="G716" s="12" t="str">
        <f aca="false">IF(A716="","",COUNTIFS('Weekly Log'!$A:$A,'Grocery List'!$B$3,'Weekly Log'!$C:$C,A716,'Weekly Log'!$E:$E,"Yes"))</f>
        <v/>
      </c>
      <c r="H716" s="12" t="str">
        <f aca="false">IF(OR(A716="",D716=""),"",D716*G716)</f>
        <v/>
      </c>
    </row>
    <row r="717" customFormat="false" ht="15" hidden="false" customHeight="false" outlineLevel="0" collapsed="false">
      <c r="B717" s="12" t="str">
        <f aca="false">IF(A717="","",IFERROR(INDEX(Recipes!$B:$B,MATCH(A717,Recipes!$A:$A,0)),"⚠ unknown recipe_id"))</f>
        <v/>
      </c>
      <c r="E717" s="12" t="str">
        <f aca="false">IF(C717="","",IFERROR(INDEX('Ingredient Catalog'!$C:$C,MATCH(C717,'Ingredient Catalog'!$A:$A,0)),"⚠ not in catalog"))</f>
        <v/>
      </c>
      <c r="G717" s="12" t="str">
        <f aca="false">IF(A717="","",COUNTIFS('Weekly Log'!$A:$A,'Grocery List'!$B$3,'Weekly Log'!$C:$C,A717,'Weekly Log'!$E:$E,"Yes"))</f>
        <v/>
      </c>
      <c r="H717" s="12" t="str">
        <f aca="false">IF(OR(A717="",D717=""),"",D717*G717)</f>
        <v/>
      </c>
    </row>
    <row r="718" customFormat="false" ht="15" hidden="false" customHeight="false" outlineLevel="0" collapsed="false">
      <c r="B718" s="12" t="str">
        <f aca="false">IF(A718="","",IFERROR(INDEX(Recipes!$B:$B,MATCH(A718,Recipes!$A:$A,0)),"⚠ unknown recipe_id"))</f>
        <v/>
      </c>
      <c r="E718" s="12" t="str">
        <f aca="false">IF(C718="","",IFERROR(INDEX('Ingredient Catalog'!$C:$C,MATCH(C718,'Ingredient Catalog'!$A:$A,0)),"⚠ not in catalog"))</f>
        <v/>
      </c>
      <c r="G718" s="12" t="str">
        <f aca="false">IF(A718="","",COUNTIFS('Weekly Log'!$A:$A,'Grocery List'!$B$3,'Weekly Log'!$C:$C,A718,'Weekly Log'!$E:$E,"Yes"))</f>
        <v/>
      </c>
      <c r="H718" s="12" t="str">
        <f aca="false">IF(OR(A718="",D718=""),"",D718*G718)</f>
        <v/>
      </c>
    </row>
    <row r="719" customFormat="false" ht="15" hidden="false" customHeight="false" outlineLevel="0" collapsed="false">
      <c r="B719" s="12" t="str">
        <f aca="false">IF(A719="","",IFERROR(INDEX(Recipes!$B:$B,MATCH(A719,Recipes!$A:$A,0)),"⚠ unknown recipe_id"))</f>
        <v/>
      </c>
      <c r="E719" s="12" t="str">
        <f aca="false">IF(C719="","",IFERROR(INDEX('Ingredient Catalog'!$C:$C,MATCH(C719,'Ingredient Catalog'!$A:$A,0)),"⚠ not in catalog"))</f>
        <v/>
      </c>
      <c r="G719" s="12" t="str">
        <f aca="false">IF(A719="","",COUNTIFS('Weekly Log'!$A:$A,'Grocery List'!$B$3,'Weekly Log'!$C:$C,A719,'Weekly Log'!$E:$E,"Yes"))</f>
        <v/>
      </c>
      <c r="H719" s="12" t="str">
        <f aca="false">IF(OR(A719="",D719=""),"",D719*G719)</f>
        <v/>
      </c>
    </row>
    <row r="720" customFormat="false" ht="15" hidden="false" customHeight="false" outlineLevel="0" collapsed="false">
      <c r="B720" s="12" t="str">
        <f aca="false">IF(A720="","",IFERROR(INDEX(Recipes!$B:$B,MATCH(A720,Recipes!$A:$A,0)),"⚠ unknown recipe_id"))</f>
        <v/>
      </c>
      <c r="E720" s="12" t="str">
        <f aca="false">IF(C720="","",IFERROR(INDEX('Ingredient Catalog'!$C:$C,MATCH(C720,'Ingredient Catalog'!$A:$A,0)),"⚠ not in catalog"))</f>
        <v/>
      </c>
      <c r="G720" s="12" t="str">
        <f aca="false">IF(A720="","",COUNTIFS('Weekly Log'!$A:$A,'Grocery List'!$B$3,'Weekly Log'!$C:$C,A720,'Weekly Log'!$E:$E,"Yes"))</f>
        <v/>
      </c>
      <c r="H720" s="12" t="str">
        <f aca="false">IF(OR(A720="",D720=""),"",D720*G720)</f>
        <v/>
      </c>
    </row>
    <row r="721" customFormat="false" ht="15" hidden="false" customHeight="false" outlineLevel="0" collapsed="false">
      <c r="B721" s="12" t="str">
        <f aca="false">IF(A721="","",IFERROR(INDEX(Recipes!$B:$B,MATCH(A721,Recipes!$A:$A,0)),"⚠ unknown recipe_id"))</f>
        <v/>
      </c>
      <c r="E721" s="12" t="str">
        <f aca="false">IF(C721="","",IFERROR(INDEX('Ingredient Catalog'!$C:$C,MATCH(C721,'Ingredient Catalog'!$A:$A,0)),"⚠ not in catalog"))</f>
        <v/>
      </c>
      <c r="G721" s="12" t="str">
        <f aca="false">IF(A721="","",COUNTIFS('Weekly Log'!$A:$A,'Grocery List'!$B$3,'Weekly Log'!$C:$C,A721,'Weekly Log'!$E:$E,"Yes"))</f>
        <v/>
      </c>
      <c r="H721" s="12" t="str">
        <f aca="false">IF(OR(A721="",D721=""),"",D721*G721)</f>
        <v/>
      </c>
    </row>
    <row r="722" customFormat="false" ht="15" hidden="false" customHeight="false" outlineLevel="0" collapsed="false">
      <c r="B722" s="12" t="str">
        <f aca="false">IF(A722="","",IFERROR(INDEX(Recipes!$B:$B,MATCH(A722,Recipes!$A:$A,0)),"⚠ unknown recipe_id"))</f>
        <v/>
      </c>
      <c r="E722" s="12" t="str">
        <f aca="false">IF(C722="","",IFERROR(INDEX('Ingredient Catalog'!$C:$C,MATCH(C722,'Ingredient Catalog'!$A:$A,0)),"⚠ not in catalog"))</f>
        <v/>
      </c>
      <c r="G722" s="12" t="str">
        <f aca="false">IF(A722="","",COUNTIFS('Weekly Log'!$A:$A,'Grocery List'!$B$3,'Weekly Log'!$C:$C,A722,'Weekly Log'!$E:$E,"Yes"))</f>
        <v/>
      </c>
      <c r="H722" s="12" t="str">
        <f aca="false">IF(OR(A722="",D722=""),"",D722*G722)</f>
        <v/>
      </c>
    </row>
    <row r="723" customFormat="false" ht="15" hidden="false" customHeight="false" outlineLevel="0" collapsed="false">
      <c r="B723" s="12" t="str">
        <f aca="false">IF(A723="","",IFERROR(INDEX(Recipes!$B:$B,MATCH(A723,Recipes!$A:$A,0)),"⚠ unknown recipe_id"))</f>
        <v/>
      </c>
      <c r="E723" s="12" t="str">
        <f aca="false">IF(C723="","",IFERROR(INDEX('Ingredient Catalog'!$C:$C,MATCH(C723,'Ingredient Catalog'!$A:$A,0)),"⚠ not in catalog"))</f>
        <v/>
      </c>
      <c r="G723" s="12" t="str">
        <f aca="false">IF(A723="","",COUNTIFS('Weekly Log'!$A:$A,'Grocery List'!$B$3,'Weekly Log'!$C:$C,A723,'Weekly Log'!$E:$E,"Yes"))</f>
        <v/>
      </c>
      <c r="H723" s="12" t="str">
        <f aca="false">IF(OR(A723="",D723=""),"",D723*G723)</f>
        <v/>
      </c>
    </row>
    <row r="724" customFormat="false" ht="15" hidden="false" customHeight="false" outlineLevel="0" collapsed="false">
      <c r="B724" s="12" t="str">
        <f aca="false">IF(A724="","",IFERROR(INDEX(Recipes!$B:$B,MATCH(A724,Recipes!$A:$A,0)),"⚠ unknown recipe_id"))</f>
        <v/>
      </c>
      <c r="E724" s="12" t="str">
        <f aca="false">IF(C724="","",IFERROR(INDEX('Ingredient Catalog'!$C:$C,MATCH(C724,'Ingredient Catalog'!$A:$A,0)),"⚠ not in catalog"))</f>
        <v/>
      </c>
      <c r="G724" s="12" t="str">
        <f aca="false">IF(A724="","",COUNTIFS('Weekly Log'!$A:$A,'Grocery List'!$B$3,'Weekly Log'!$C:$C,A724,'Weekly Log'!$E:$E,"Yes"))</f>
        <v/>
      </c>
      <c r="H724" s="12" t="str">
        <f aca="false">IF(OR(A724="",D724=""),"",D724*G724)</f>
        <v/>
      </c>
    </row>
    <row r="725" customFormat="false" ht="15" hidden="false" customHeight="false" outlineLevel="0" collapsed="false">
      <c r="B725" s="12" t="str">
        <f aca="false">IF(A725="","",IFERROR(INDEX(Recipes!$B:$B,MATCH(A725,Recipes!$A:$A,0)),"⚠ unknown recipe_id"))</f>
        <v/>
      </c>
      <c r="E725" s="12" t="str">
        <f aca="false">IF(C725="","",IFERROR(INDEX('Ingredient Catalog'!$C:$C,MATCH(C725,'Ingredient Catalog'!$A:$A,0)),"⚠ not in catalog"))</f>
        <v/>
      </c>
      <c r="G725" s="12" t="str">
        <f aca="false">IF(A725="","",COUNTIFS('Weekly Log'!$A:$A,'Grocery List'!$B$3,'Weekly Log'!$C:$C,A725,'Weekly Log'!$E:$E,"Yes"))</f>
        <v/>
      </c>
      <c r="H725" s="12" t="str">
        <f aca="false">IF(OR(A725="",D725=""),"",D725*G725)</f>
        <v/>
      </c>
    </row>
    <row r="726" customFormat="false" ht="15" hidden="false" customHeight="false" outlineLevel="0" collapsed="false">
      <c r="B726" s="12" t="str">
        <f aca="false">IF(A726="","",IFERROR(INDEX(Recipes!$B:$B,MATCH(A726,Recipes!$A:$A,0)),"⚠ unknown recipe_id"))</f>
        <v/>
      </c>
      <c r="E726" s="12" t="str">
        <f aca="false">IF(C726="","",IFERROR(INDEX('Ingredient Catalog'!$C:$C,MATCH(C726,'Ingredient Catalog'!$A:$A,0)),"⚠ not in catalog"))</f>
        <v/>
      </c>
      <c r="G726" s="12" t="str">
        <f aca="false">IF(A726="","",COUNTIFS('Weekly Log'!$A:$A,'Grocery List'!$B$3,'Weekly Log'!$C:$C,A726,'Weekly Log'!$E:$E,"Yes"))</f>
        <v/>
      </c>
      <c r="H726" s="12" t="str">
        <f aca="false">IF(OR(A726="",D726=""),"",D726*G726)</f>
        <v/>
      </c>
    </row>
    <row r="727" customFormat="false" ht="15" hidden="false" customHeight="false" outlineLevel="0" collapsed="false">
      <c r="B727" s="12" t="str">
        <f aca="false">IF(A727="","",IFERROR(INDEX(Recipes!$B:$B,MATCH(A727,Recipes!$A:$A,0)),"⚠ unknown recipe_id"))</f>
        <v/>
      </c>
      <c r="E727" s="12" t="str">
        <f aca="false">IF(C727="","",IFERROR(INDEX('Ingredient Catalog'!$C:$C,MATCH(C727,'Ingredient Catalog'!$A:$A,0)),"⚠ not in catalog"))</f>
        <v/>
      </c>
      <c r="G727" s="12" t="str">
        <f aca="false">IF(A727="","",COUNTIFS('Weekly Log'!$A:$A,'Grocery List'!$B$3,'Weekly Log'!$C:$C,A727,'Weekly Log'!$E:$E,"Yes"))</f>
        <v/>
      </c>
      <c r="H727" s="12" t="str">
        <f aca="false">IF(OR(A727="",D727=""),"",D727*G727)</f>
        <v/>
      </c>
    </row>
    <row r="728" customFormat="false" ht="15" hidden="false" customHeight="false" outlineLevel="0" collapsed="false">
      <c r="B728" s="12" t="str">
        <f aca="false">IF(A728="","",IFERROR(INDEX(Recipes!$B:$B,MATCH(A728,Recipes!$A:$A,0)),"⚠ unknown recipe_id"))</f>
        <v/>
      </c>
      <c r="E728" s="12" t="str">
        <f aca="false">IF(C728="","",IFERROR(INDEX('Ingredient Catalog'!$C:$C,MATCH(C728,'Ingredient Catalog'!$A:$A,0)),"⚠ not in catalog"))</f>
        <v/>
      </c>
      <c r="G728" s="12" t="str">
        <f aca="false">IF(A728="","",COUNTIFS('Weekly Log'!$A:$A,'Grocery List'!$B$3,'Weekly Log'!$C:$C,A728,'Weekly Log'!$E:$E,"Yes"))</f>
        <v/>
      </c>
      <c r="H728" s="12" t="str">
        <f aca="false">IF(OR(A728="",D728=""),"",D728*G728)</f>
        <v/>
      </c>
    </row>
    <row r="729" customFormat="false" ht="15" hidden="false" customHeight="false" outlineLevel="0" collapsed="false">
      <c r="B729" s="12" t="str">
        <f aca="false">IF(A729="","",IFERROR(INDEX(Recipes!$B:$B,MATCH(A729,Recipes!$A:$A,0)),"⚠ unknown recipe_id"))</f>
        <v/>
      </c>
      <c r="E729" s="12" t="str">
        <f aca="false">IF(C729="","",IFERROR(INDEX('Ingredient Catalog'!$C:$C,MATCH(C729,'Ingredient Catalog'!$A:$A,0)),"⚠ not in catalog"))</f>
        <v/>
      </c>
      <c r="G729" s="12" t="str">
        <f aca="false">IF(A729="","",COUNTIFS('Weekly Log'!$A:$A,'Grocery List'!$B$3,'Weekly Log'!$C:$C,A729,'Weekly Log'!$E:$E,"Yes"))</f>
        <v/>
      </c>
      <c r="H729" s="12" t="str">
        <f aca="false">IF(OR(A729="",D729=""),"",D729*G729)</f>
        <v/>
      </c>
    </row>
    <row r="730" customFormat="false" ht="15" hidden="false" customHeight="false" outlineLevel="0" collapsed="false">
      <c r="B730" s="12" t="str">
        <f aca="false">IF(A730="","",IFERROR(INDEX(Recipes!$B:$B,MATCH(A730,Recipes!$A:$A,0)),"⚠ unknown recipe_id"))</f>
        <v/>
      </c>
      <c r="E730" s="12" t="str">
        <f aca="false">IF(C730="","",IFERROR(INDEX('Ingredient Catalog'!$C:$C,MATCH(C730,'Ingredient Catalog'!$A:$A,0)),"⚠ not in catalog"))</f>
        <v/>
      </c>
      <c r="G730" s="12" t="str">
        <f aca="false">IF(A730="","",COUNTIFS('Weekly Log'!$A:$A,'Grocery List'!$B$3,'Weekly Log'!$C:$C,A730,'Weekly Log'!$E:$E,"Yes"))</f>
        <v/>
      </c>
      <c r="H730" s="12" t="str">
        <f aca="false">IF(OR(A730="",D730=""),"",D730*G730)</f>
        <v/>
      </c>
    </row>
    <row r="731" customFormat="false" ht="15" hidden="false" customHeight="false" outlineLevel="0" collapsed="false">
      <c r="B731" s="12" t="str">
        <f aca="false">IF(A731="","",IFERROR(INDEX(Recipes!$B:$B,MATCH(A731,Recipes!$A:$A,0)),"⚠ unknown recipe_id"))</f>
        <v/>
      </c>
      <c r="E731" s="12" t="str">
        <f aca="false">IF(C731="","",IFERROR(INDEX('Ingredient Catalog'!$C:$C,MATCH(C731,'Ingredient Catalog'!$A:$A,0)),"⚠ not in catalog"))</f>
        <v/>
      </c>
      <c r="G731" s="12" t="str">
        <f aca="false">IF(A731="","",COUNTIFS('Weekly Log'!$A:$A,'Grocery List'!$B$3,'Weekly Log'!$C:$C,A731,'Weekly Log'!$E:$E,"Yes"))</f>
        <v/>
      </c>
      <c r="H731" s="12" t="str">
        <f aca="false">IF(OR(A731="",D731=""),"",D731*G731)</f>
        <v/>
      </c>
    </row>
    <row r="732" customFormat="false" ht="15" hidden="false" customHeight="false" outlineLevel="0" collapsed="false">
      <c r="B732" s="12" t="str">
        <f aca="false">IF(A732="","",IFERROR(INDEX(Recipes!$B:$B,MATCH(A732,Recipes!$A:$A,0)),"⚠ unknown recipe_id"))</f>
        <v/>
      </c>
      <c r="E732" s="12" t="str">
        <f aca="false">IF(C732="","",IFERROR(INDEX('Ingredient Catalog'!$C:$C,MATCH(C732,'Ingredient Catalog'!$A:$A,0)),"⚠ not in catalog"))</f>
        <v/>
      </c>
      <c r="G732" s="12" t="str">
        <f aca="false">IF(A732="","",COUNTIFS('Weekly Log'!$A:$A,'Grocery List'!$B$3,'Weekly Log'!$C:$C,A732,'Weekly Log'!$E:$E,"Yes"))</f>
        <v/>
      </c>
      <c r="H732" s="12" t="str">
        <f aca="false">IF(OR(A732="",D732=""),"",D732*G732)</f>
        <v/>
      </c>
    </row>
    <row r="733" customFormat="false" ht="15" hidden="false" customHeight="false" outlineLevel="0" collapsed="false">
      <c r="B733" s="12" t="str">
        <f aca="false">IF(A733="","",IFERROR(INDEX(Recipes!$B:$B,MATCH(A733,Recipes!$A:$A,0)),"⚠ unknown recipe_id"))</f>
        <v/>
      </c>
      <c r="E733" s="12" t="str">
        <f aca="false">IF(C733="","",IFERROR(INDEX('Ingredient Catalog'!$C:$C,MATCH(C733,'Ingredient Catalog'!$A:$A,0)),"⚠ not in catalog"))</f>
        <v/>
      </c>
      <c r="G733" s="12" t="str">
        <f aca="false">IF(A733="","",COUNTIFS('Weekly Log'!$A:$A,'Grocery List'!$B$3,'Weekly Log'!$C:$C,A733,'Weekly Log'!$E:$E,"Yes"))</f>
        <v/>
      </c>
      <c r="H733" s="12" t="str">
        <f aca="false">IF(OR(A733="",D733=""),"",D733*G733)</f>
        <v/>
      </c>
    </row>
    <row r="734" customFormat="false" ht="15" hidden="false" customHeight="false" outlineLevel="0" collapsed="false">
      <c r="B734" s="12" t="str">
        <f aca="false">IF(A734="","",IFERROR(INDEX(Recipes!$B:$B,MATCH(A734,Recipes!$A:$A,0)),"⚠ unknown recipe_id"))</f>
        <v/>
      </c>
      <c r="E734" s="12" t="str">
        <f aca="false">IF(C734="","",IFERROR(INDEX('Ingredient Catalog'!$C:$C,MATCH(C734,'Ingredient Catalog'!$A:$A,0)),"⚠ not in catalog"))</f>
        <v/>
      </c>
      <c r="G734" s="12" t="str">
        <f aca="false">IF(A734="","",COUNTIFS('Weekly Log'!$A:$A,'Grocery List'!$B$3,'Weekly Log'!$C:$C,A734,'Weekly Log'!$E:$E,"Yes"))</f>
        <v/>
      </c>
      <c r="H734" s="12" t="str">
        <f aca="false">IF(OR(A734="",D734=""),"",D734*G734)</f>
        <v/>
      </c>
    </row>
    <row r="735" customFormat="false" ht="15" hidden="false" customHeight="false" outlineLevel="0" collapsed="false">
      <c r="B735" s="12" t="str">
        <f aca="false">IF(A735="","",IFERROR(INDEX(Recipes!$B:$B,MATCH(A735,Recipes!$A:$A,0)),"⚠ unknown recipe_id"))</f>
        <v/>
      </c>
      <c r="E735" s="12" t="str">
        <f aca="false">IF(C735="","",IFERROR(INDEX('Ingredient Catalog'!$C:$C,MATCH(C735,'Ingredient Catalog'!$A:$A,0)),"⚠ not in catalog"))</f>
        <v/>
      </c>
      <c r="G735" s="12" t="str">
        <f aca="false">IF(A735="","",COUNTIFS('Weekly Log'!$A:$A,'Grocery List'!$B$3,'Weekly Log'!$C:$C,A735,'Weekly Log'!$E:$E,"Yes"))</f>
        <v/>
      </c>
      <c r="H735" s="12" t="str">
        <f aca="false">IF(OR(A735="",D735=""),"",D735*G735)</f>
        <v/>
      </c>
    </row>
    <row r="736" customFormat="false" ht="15" hidden="false" customHeight="false" outlineLevel="0" collapsed="false">
      <c r="B736" s="12" t="str">
        <f aca="false">IF(A736="","",IFERROR(INDEX(Recipes!$B:$B,MATCH(A736,Recipes!$A:$A,0)),"⚠ unknown recipe_id"))</f>
        <v/>
      </c>
      <c r="E736" s="12" t="str">
        <f aca="false">IF(C736="","",IFERROR(INDEX('Ingredient Catalog'!$C:$C,MATCH(C736,'Ingredient Catalog'!$A:$A,0)),"⚠ not in catalog"))</f>
        <v/>
      </c>
      <c r="G736" s="12" t="str">
        <f aca="false">IF(A736="","",COUNTIFS('Weekly Log'!$A:$A,'Grocery List'!$B$3,'Weekly Log'!$C:$C,A736,'Weekly Log'!$E:$E,"Yes"))</f>
        <v/>
      </c>
      <c r="H736" s="12" t="str">
        <f aca="false">IF(OR(A736="",D736=""),"",D736*G736)</f>
        <v/>
      </c>
    </row>
    <row r="737" customFormat="false" ht="15" hidden="false" customHeight="false" outlineLevel="0" collapsed="false">
      <c r="B737" s="12" t="str">
        <f aca="false">IF(A737="","",IFERROR(INDEX(Recipes!$B:$B,MATCH(A737,Recipes!$A:$A,0)),"⚠ unknown recipe_id"))</f>
        <v/>
      </c>
      <c r="E737" s="12" t="str">
        <f aca="false">IF(C737="","",IFERROR(INDEX('Ingredient Catalog'!$C:$C,MATCH(C737,'Ingredient Catalog'!$A:$A,0)),"⚠ not in catalog"))</f>
        <v/>
      </c>
      <c r="G737" s="12" t="str">
        <f aca="false">IF(A737="","",COUNTIFS('Weekly Log'!$A:$A,'Grocery List'!$B$3,'Weekly Log'!$C:$C,A737,'Weekly Log'!$E:$E,"Yes"))</f>
        <v/>
      </c>
      <c r="H737" s="12" t="str">
        <f aca="false">IF(OR(A737="",D737=""),"",D737*G737)</f>
        <v/>
      </c>
    </row>
    <row r="738" customFormat="false" ht="15" hidden="false" customHeight="false" outlineLevel="0" collapsed="false">
      <c r="B738" s="12" t="str">
        <f aca="false">IF(A738="","",IFERROR(INDEX(Recipes!$B:$B,MATCH(A738,Recipes!$A:$A,0)),"⚠ unknown recipe_id"))</f>
        <v/>
      </c>
      <c r="E738" s="12" t="str">
        <f aca="false">IF(C738="","",IFERROR(INDEX('Ingredient Catalog'!$C:$C,MATCH(C738,'Ingredient Catalog'!$A:$A,0)),"⚠ not in catalog"))</f>
        <v/>
      </c>
      <c r="G738" s="12" t="str">
        <f aca="false">IF(A738="","",COUNTIFS('Weekly Log'!$A:$A,'Grocery List'!$B$3,'Weekly Log'!$C:$C,A738,'Weekly Log'!$E:$E,"Yes"))</f>
        <v/>
      </c>
      <c r="H738" s="12" t="str">
        <f aca="false">IF(OR(A738="",D738=""),"",D738*G738)</f>
        <v/>
      </c>
    </row>
    <row r="739" customFormat="false" ht="15" hidden="false" customHeight="false" outlineLevel="0" collapsed="false">
      <c r="B739" s="12" t="str">
        <f aca="false">IF(A739="","",IFERROR(INDEX(Recipes!$B:$B,MATCH(A739,Recipes!$A:$A,0)),"⚠ unknown recipe_id"))</f>
        <v/>
      </c>
      <c r="E739" s="12" t="str">
        <f aca="false">IF(C739="","",IFERROR(INDEX('Ingredient Catalog'!$C:$C,MATCH(C739,'Ingredient Catalog'!$A:$A,0)),"⚠ not in catalog"))</f>
        <v/>
      </c>
      <c r="G739" s="12" t="str">
        <f aca="false">IF(A739="","",COUNTIFS('Weekly Log'!$A:$A,'Grocery List'!$B$3,'Weekly Log'!$C:$C,A739,'Weekly Log'!$E:$E,"Yes"))</f>
        <v/>
      </c>
      <c r="H739" s="12" t="str">
        <f aca="false">IF(OR(A739="",D739=""),"",D739*G739)</f>
        <v/>
      </c>
    </row>
    <row r="740" customFormat="false" ht="15" hidden="false" customHeight="false" outlineLevel="0" collapsed="false">
      <c r="B740" s="12" t="str">
        <f aca="false">IF(A740="","",IFERROR(INDEX(Recipes!$B:$B,MATCH(A740,Recipes!$A:$A,0)),"⚠ unknown recipe_id"))</f>
        <v/>
      </c>
      <c r="E740" s="12" t="str">
        <f aca="false">IF(C740="","",IFERROR(INDEX('Ingredient Catalog'!$C:$C,MATCH(C740,'Ingredient Catalog'!$A:$A,0)),"⚠ not in catalog"))</f>
        <v/>
      </c>
      <c r="G740" s="12" t="str">
        <f aca="false">IF(A740="","",COUNTIFS('Weekly Log'!$A:$A,'Grocery List'!$B$3,'Weekly Log'!$C:$C,A740,'Weekly Log'!$E:$E,"Yes"))</f>
        <v/>
      </c>
      <c r="H740" s="12" t="str">
        <f aca="false">IF(OR(A740="",D740=""),"",D740*G740)</f>
        <v/>
      </c>
    </row>
    <row r="741" customFormat="false" ht="15" hidden="false" customHeight="false" outlineLevel="0" collapsed="false">
      <c r="B741" s="12" t="str">
        <f aca="false">IF(A741="","",IFERROR(INDEX(Recipes!$B:$B,MATCH(A741,Recipes!$A:$A,0)),"⚠ unknown recipe_id"))</f>
        <v/>
      </c>
      <c r="E741" s="12" t="str">
        <f aca="false">IF(C741="","",IFERROR(INDEX('Ingredient Catalog'!$C:$C,MATCH(C741,'Ingredient Catalog'!$A:$A,0)),"⚠ not in catalog"))</f>
        <v/>
      </c>
      <c r="G741" s="12" t="str">
        <f aca="false">IF(A741="","",COUNTIFS('Weekly Log'!$A:$A,'Grocery List'!$B$3,'Weekly Log'!$C:$C,A741,'Weekly Log'!$E:$E,"Yes"))</f>
        <v/>
      </c>
      <c r="H741" s="12" t="str">
        <f aca="false">IF(OR(A741="",D741=""),"",D741*G741)</f>
        <v/>
      </c>
    </row>
    <row r="742" customFormat="false" ht="15" hidden="false" customHeight="false" outlineLevel="0" collapsed="false">
      <c r="B742" s="12" t="str">
        <f aca="false">IF(A742="","",IFERROR(INDEX(Recipes!$B:$B,MATCH(A742,Recipes!$A:$A,0)),"⚠ unknown recipe_id"))</f>
        <v/>
      </c>
      <c r="E742" s="12" t="str">
        <f aca="false">IF(C742="","",IFERROR(INDEX('Ingredient Catalog'!$C:$C,MATCH(C742,'Ingredient Catalog'!$A:$A,0)),"⚠ not in catalog"))</f>
        <v/>
      </c>
      <c r="G742" s="12" t="str">
        <f aca="false">IF(A742="","",COUNTIFS('Weekly Log'!$A:$A,'Grocery List'!$B$3,'Weekly Log'!$C:$C,A742,'Weekly Log'!$E:$E,"Yes"))</f>
        <v/>
      </c>
      <c r="H742" s="12" t="str">
        <f aca="false">IF(OR(A742="",D742=""),"",D742*G742)</f>
        <v/>
      </c>
    </row>
    <row r="743" customFormat="false" ht="15" hidden="false" customHeight="false" outlineLevel="0" collapsed="false">
      <c r="B743" s="12" t="str">
        <f aca="false">IF(A743="","",IFERROR(INDEX(Recipes!$B:$B,MATCH(A743,Recipes!$A:$A,0)),"⚠ unknown recipe_id"))</f>
        <v/>
      </c>
      <c r="E743" s="12" t="str">
        <f aca="false">IF(C743="","",IFERROR(INDEX('Ingredient Catalog'!$C:$C,MATCH(C743,'Ingredient Catalog'!$A:$A,0)),"⚠ not in catalog"))</f>
        <v/>
      </c>
      <c r="G743" s="12" t="str">
        <f aca="false">IF(A743="","",COUNTIFS('Weekly Log'!$A:$A,'Grocery List'!$B$3,'Weekly Log'!$C:$C,A743,'Weekly Log'!$E:$E,"Yes"))</f>
        <v/>
      </c>
      <c r="H743" s="12" t="str">
        <f aca="false">IF(OR(A743="",D743=""),"",D743*G743)</f>
        <v/>
      </c>
    </row>
    <row r="744" customFormat="false" ht="15" hidden="false" customHeight="false" outlineLevel="0" collapsed="false">
      <c r="B744" s="12" t="str">
        <f aca="false">IF(A744="","",IFERROR(INDEX(Recipes!$B:$B,MATCH(A744,Recipes!$A:$A,0)),"⚠ unknown recipe_id"))</f>
        <v/>
      </c>
      <c r="E744" s="12" t="str">
        <f aca="false">IF(C744="","",IFERROR(INDEX('Ingredient Catalog'!$C:$C,MATCH(C744,'Ingredient Catalog'!$A:$A,0)),"⚠ not in catalog"))</f>
        <v/>
      </c>
      <c r="G744" s="12" t="str">
        <f aca="false">IF(A744="","",COUNTIFS('Weekly Log'!$A:$A,'Grocery List'!$B$3,'Weekly Log'!$C:$C,A744,'Weekly Log'!$E:$E,"Yes"))</f>
        <v/>
      </c>
      <c r="H744" s="12" t="str">
        <f aca="false">IF(OR(A744="",D744=""),"",D744*G744)</f>
        <v/>
      </c>
    </row>
    <row r="745" customFormat="false" ht="15" hidden="false" customHeight="false" outlineLevel="0" collapsed="false">
      <c r="B745" s="12" t="str">
        <f aca="false">IF(A745="","",IFERROR(INDEX(Recipes!$B:$B,MATCH(A745,Recipes!$A:$A,0)),"⚠ unknown recipe_id"))</f>
        <v/>
      </c>
      <c r="E745" s="12" t="str">
        <f aca="false">IF(C745="","",IFERROR(INDEX('Ingredient Catalog'!$C:$C,MATCH(C745,'Ingredient Catalog'!$A:$A,0)),"⚠ not in catalog"))</f>
        <v/>
      </c>
      <c r="G745" s="12" t="str">
        <f aca="false">IF(A745="","",COUNTIFS('Weekly Log'!$A:$A,'Grocery List'!$B$3,'Weekly Log'!$C:$C,A745,'Weekly Log'!$E:$E,"Yes"))</f>
        <v/>
      </c>
      <c r="H745" s="12" t="str">
        <f aca="false">IF(OR(A745="",D745=""),"",D745*G745)</f>
        <v/>
      </c>
    </row>
    <row r="746" customFormat="false" ht="15" hidden="false" customHeight="false" outlineLevel="0" collapsed="false">
      <c r="B746" s="12" t="str">
        <f aca="false">IF(A746="","",IFERROR(INDEX(Recipes!$B:$B,MATCH(A746,Recipes!$A:$A,0)),"⚠ unknown recipe_id"))</f>
        <v/>
      </c>
      <c r="E746" s="12" t="str">
        <f aca="false">IF(C746="","",IFERROR(INDEX('Ingredient Catalog'!$C:$C,MATCH(C746,'Ingredient Catalog'!$A:$A,0)),"⚠ not in catalog"))</f>
        <v/>
      </c>
      <c r="G746" s="12" t="str">
        <f aca="false">IF(A746="","",COUNTIFS('Weekly Log'!$A:$A,'Grocery List'!$B$3,'Weekly Log'!$C:$C,A746,'Weekly Log'!$E:$E,"Yes"))</f>
        <v/>
      </c>
      <c r="H746" s="12" t="str">
        <f aca="false">IF(OR(A746="",D746=""),"",D746*G746)</f>
        <v/>
      </c>
    </row>
    <row r="747" customFormat="false" ht="15" hidden="false" customHeight="false" outlineLevel="0" collapsed="false">
      <c r="B747" s="12" t="str">
        <f aca="false">IF(A747="","",IFERROR(INDEX(Recipes!$B:$B,MATCH(A747,Recipes!$A:$A,0)),"⚠ unknown recipe_id"))</f>
        <v/>
      </c>
      <c r="E747" s="12" t="str">
        <f aca="false">IF(C747="","",IFERROR(INDEX('Ingredient Catalog'!$C:$C,MATCH(C747,'Ingredient Catalog'!$A:$A,0)),"⚠ not in catalog"))</f>
        <v/>
      </c>
      <c r="G747" s="12" t="str">
        <f aca="false">IF(A747="","",COUNTIFS('Weekly Log'!$A:$A,'Grocery List'!$B$3,'Weekly Log'!$C:$C,A747,'Weekly Log'!$E:$E,"Yes"))</f>
        <v/>
      </c>
      <c r="H747" s="12" t="str">
        <f aca="false">IF(OR(A747="",D747=""),"",D747*G747)</f>
        <v/>
      </c>
    </row>
    <row r="748" customFormat="false" ht="15" hidden="false" customHeight="false" outlineLevel="0" collapsed="false">
      <c r="B748" s="12" t="str">
        <f aca="false">IF(A748="","",IFERROR(INDEX(Recipes!$B:$B,MATCH(A748,Recipes!$A:$A,0)),"⚠ unknown recipe_id"))</f>
        <v/>
      </c>
      <c r="E748" s="12" t="str">
        <f aca="false">IF(C748="","",IFERROR(INDEX('Ingredient Catalog'!$C:$C,MATCH(C748,'Ingredient Catalog'!$A:$A,0)),"⚠ not in catalog"))</f>
        <v/>
      </c>
      <c r="G748" s="12" t="str">
        <f aca="false">IF(A748="","",COUNTIFS('Weekly Log'!$A:$A,'Grocery List'!$B$3,'Weekly Log'!$C:$C,A748,'Weekly Log'!$E:$E,"Yes"))</f>
        <v/>
      </c>
      <c r="H748" s="12" t="str">
        <f aca="false">IF(OR(A748="",D748=""),"",D748*G748)</f>
        <v/>
      </c>
    </row>
    <row r="749" customFormat="false" ht="15" hidden="false" customHeight="false" outlineLevel="0" collapsed="false">
      <c r="B749" s="12" t="str">
        <f aca="false">IF(A749="","",IFERROR(INDEX(Recipes!$B:$B,MATCH(A749,Recipes!$A:$A,0)),"⚠ unknown recipe_id"))</f>
        <v/>
      </c>
      <c r="E749" s="12" t="str">
        <f aca="false">IF(C749="","",IFERROR(INDEX('Ingredient Catalog'!$C:$C,MATCH(C749,'Ingredient Catalog'!$A:$A,0)),"⚠ not in catalog"))</f>
        <v/>
      </c>
      <c r="G749" s="12" t="str">
        <f aca="false">IF(A749="","",COUNTIFS('Weekly Log'!$A:$A,'Grocery List'!$B$3,'Weekly Log'!$C:$C,A749,'Weekly Log'!$E:$E,"Yes"))</f>
        <v/>
      </c>
      <c r="H749" s="12" t="str">
        <f aca="false">IF(OR(A749="",D749=""),"",D749*G749)</f>
        <v/>
      </c>
    </row>
    <row r="750" customFormat="false" ht="15" hidden="false" customHeight="false" outlineLevel="0" collapsed="false">
      <c r="B750" s="12" t="str">
        <f aca="false">IF(A750="","",IFERROR(INDEX(Recipes!$B:$B,MATCH(A750,Recipes!$A:$A,0)),"⚠ unknown recipe_id"))</f>
        <v/>
      </c>
      <c r="E750" s="12" t="str">
        <f aca="false">IF(C750="","",IFERROR(INDEX('Ingredient Catalog'!$C:$C,MATCH(C750,'Ingredient Catalog'!$A:$A,0)),"⚠ not in catalog"))</f>
        <v/>
      </c>
      <c r="G750" s="12" t="str">
        <f aca="false">IF(A750="","",COUNTIFS('Weekly Log'!$A:$A,'Grocery List'!$B$3,'Weekly Log'!$C:$C,A750,'Weekly Log'!$E:$E,"Yes"))</f>
        <v/>
      </c>
      <c r="H750" s="12" t="str">
        <f aca="false">IF(OR(A750="",D750=""),"",D750*G750)</f>
        <v/>
      </c>
    </row>
    <row r="751" customFormat="false" ht="15" hidden="false" customHeight="false" outlineLevel="0" collapsed="false">
      <c r="B751" s="12" t="str">
        <f aca="false">IF(A751="","",IFERROR(INDEX(Recipes!$B:$B,MATCH(A751,Recipes!$A:$A,0)),"⚠ unknown recipe_id"))</f>
        <v/>
      </c>
      <c r="E751" s="12" t="str">
        <f aca="false">IF(C751="","",IFERROR(INDEX('Ingredient Catalog'!$C:$C,MATCH(C751,'Ingredient Catalog'!$A:$A,0)),"⚠ not in catalog"))</f>
        <v/>
      </c>
      <c r="G751" s="12" t="str">
        <f aca="false">IF(A751="","",COUNTIFS('Weekly Log'!$A:$A,'Grocery List'!$B$3,'Weekly Log'!$C:$C,A751,'Weekly Log'!$E:$E,"Yes"))</f>
        <v/>
      </c>
      <c r="H751" s="12" t="str">
        <f aca="false">IF(OR(A751="",D751=""),"",D751*G751)</f>
        <v/>
      </c>
    </row>
    <row r="752" customFormat="false" ht="15" hidden="false" customHeight="false" outlineLevel="0" collapsed="false">
      <c r="B752" s="12" t="str">
        <f aca="false">IF(A752="","",IFERROR(INDEX(Recipes!$B:$B,MATCH(A752,Recipes!$A:$A,0)),"⚠ unknown recipe_id"))</f>
        <v/>
      </c>
      <c r="E752" s="12" t="str">
        <f aca="false">IF(C752="","",IFERROR(INDEX('Ingredient Catalog'!$C:$C,MATCH(C752,'Ingredient Catalog'!$A:$A,0)),"⚠ not in catalog"))</f>
        <v/>
      </c>
      <c r="G752" s="12" t="str">
        <f aca="false">IF(A752="","",COUNTIFS('Weekly Log'!$A:$A,'Grocery List'!$B$3,'Weekly Log'!$C:$C,A752,'Weekly Log'!$E:$E,"Yes"))</f>
        <v/>
      </c>
      <c r="H752" s="12" t="str">
        <f aca="false">IF(OR(A752="",D752=""),"",D752*G752)</f>
        <v/>
      </c>
    </row>
    <row r="753" customFormat="false" ht="15" hidden="false" customHeight="false" outlineLevel="0" collapsed="false">
      <c r="B753" s="12" t="str">
        <f aca="false">IF(A753="","",IFERROR(INDEX(Recipes!$B:$B,MATCH(A753,Recipes!$A:$A,0)),"⚠ unknown recipe_id"))</f>
        <v/>
      </c>
      <c r="E753" s="12" t="str">
        <f aca="false">IF(C753="","",IFERROR(INDEX('Ingredient Catalog'!$C:$C,MATCH(C753,'Ingredient Catalog'!$A:$A,0)),"⚠ not in catalog"))</f>
        <v/>
      </c>
      <c r="G753" s="12" t="str">
        <f aca="false">IF(A753="","",COUNTIFS('Weekly Log'!$A:$A,'Grocery List'!$B$3,'Weekly Log'!$C:$C,A753,'Weekly Log'!$E:$E,"Yes"))</f>
        <v/>
      </c>
      <c r="H753" s="12" t="str">
        <f aca="false">IF(OR(A753="",D753=""),"",D753*G753)</f>
        <v/>
      </c>
    </row>
    <row r="754" customFormat="false" ht="15" hidden="false" customHeight="false" outlineLevel="0" collapsed="false">
      <c r="B754" s="12" t="str">
        <f aca="false">IF(A754="","",IFERROR(INDEX(Recipes!$B:$B,MATCH(A754,Recipes!$A:$A,0)),"⚠ unknown recipe_id"))</f>
        <v/>
      </c>
      <c r="E754" s="12" t="str">
        <f aca="false">IF(C754="","",IFERROR(INDEX('Ingredient Catalog'!$C:$C,MATCH(C754,'Ingredient Catalog'!$A:$A,0)),"⚠ not in catalog"))</f>
        <v/>
      </c>
      <c r="G754" s="12" t="str">
        <f aca="false">IF(A754="","",COUNTIFS('Weekly Log'!$A:$A,'Grocery List'!$B$3,'Weekly Log'!$C:$C,A754,'Weekly Log'!$E:$E,"Yes"))</f>
        <v/>
      </c>
      <c r="H754" s="12" t="str">
        <f aca="false">IF(OR(A754="",D754=""),"",D754*G754)</f>
        <v/>
      </c>
    </row>
    <row r="755" customFormat="false" ht="15" hidden="false" customHeight="false" outlineLevel="0" collapsed="false">
      <c r="B755" s="12" t="str">
        <f aca="false">IF(A755="","",IFERROR(INDEX(Recipes!$B:$B,MATCH(A755,Recipes!$A:$A,0)),"⚠ unknown recipe_id"))</f>
        <v/>
      </c>
      <c r="E755" s="12" t="str">
        <f aca="false">IF(C755="","",IFERROR(INDEX('Ingredient Catalog'!$C:$C,MATCH(C755,'Ingredient Catalog'!$A:$A,0)),"⚠ not in catalog"))</f>
        <v/>
      </c>
      <c r="G755" s="12" t="str">
        <f aca="false">IF(A755="","",COUNTIFS('Weekly Log'!$A:$A,'Grocery List'!$B$3,'Weekly Log'!$C:$C,A755,'Weekly Log'!$E:$E,"Yes"))</f>
        <v/>
      </c>
      <c r="H755" s="12" t="str">
        <f aca="false">IF(OR(A755="",D755=""),"",D755*G755)</f>
        <v/>
      </c>
    </row>
    <row r="756" customFormat="false" ht="15" hidden="false" customHeight="false" outlineLevel="0" collapsed="false">
      <c r="B756" s="12" t="str">
        <f aca="false">IF(A756="","",IFERROR(INDEX(Recipes!$B:$B,MATCH(A756,Recipes!$A:$A,0)),"⚠ unknown recipe_id"))</f>
        <v/>
      </c>
      <c r="E756" s="12" t="str">
        <f aca="false">IF(C756="","",IFERROR(INDEX('Ingredient Catalog'!$C:$C,MATCH(C756,'Ingredient Catalog'!$A:$A,0)),"⚠ not in catalog"))</f>
        <v/>
      </c>
      <c r="G756" s="12" t="str">
        <f aca="false">IF(A756="","",COUNTIFS('Weekly Log'!$A:$A,'Grocery List'!$B$3,'Weekly Log'!$C:$C,A756,'Weekly Log'!$E:$E,"Yes"))</f>
        <v/>
      </c>
      <c r="H756" s="12" t="str">
        <f aca="false">IF(OR(A756="",D756=""),"",D756*G756)</f>
        <v/>
      </c>
    </row>
    <row r="757" customFormat="false" ht="15" hidden="false" customHeight="false" outlineLevel="0" collapsed="false">
      <c r="B757" s="12" t="str">
        <f aca="false">IF(A757="","",IFERROR(INDEX(Recipes!$B:$B,MATCH(A757,Recipes!$A:$A,0)),"⚠ unknown recipe_id"))</f>
        <v/>
      </c>
      <c r="E757" s="12" t="str">
        <f aca="false">IF(C757="","",IFERROR(INDEX('Ingredient Catalog'!$C:$C,MATCH(C757,'Ingredient Catalog'!$A:$A,0)),"⚠ not in catalog"))</f>
        <v/>
      </c>
      <c r="G757" s="12" t="str">
        <f aca="false">IF(A757="","",COUNTIFS('Weekly Log'!$A:$A,'Grocery List'!$B$3,'Weekly Log'!$C:$C,A757,'Weekly Log'!$E:$E,"Yes"))</f>
        <v/>
      </c>
      <c r="H757" s="12" t="str">
        <f aca="false">IF(OR(A757="",D757=""),"",D757*G757)</f>
        <v/>
      </c>
    </row>
    <row r="758" customFormat="false" ht="15" hidden="false" customHeight="false" outlineLevel="0" collapsed="false">
      <c r="B758" s="12" t="str">
        <f aca="false">IF(A758="","",IFERROR(INDEX(Recipes!$B:$B,MATCH(A758,Recipes!$A:$A,0)),"⚠ unknown recipe_id"))</f>
        <v/>
      </c>
      <c r="E758" s="12" t="str">
        <f aca="false">IF(C758="","",IFERROR(INDEX('Ingredient Catalog'!$C:$C,MATCH(C758,'Ingredient Catalog'!$A:$A,0)),"⚠ not in catalog"))</f>
        <v/>
      </c>
      <c r="G758" s="12" t="str">
        <f aca="false">IF(A758="","",COUNTIFS('Weekly Log'!$A:$A,'Grocery List'!$B$3,'Weekly Log'!$C:$C,A758,'Weekly Log'!$E:$E,"Yes"))</f>
        <v/>
      </c>
      <c r="H758" s="12" t="str">
        <f aca="false">IF(OR(A758="",D758=""),"",D758*G758)</f>
        <v/>
      </c>
    </row>
    <row r="759" customFormat="false" ht="15" hidden="false" customHeight="false" outlineLevel="0" collapsed="false">
      <c r="B759" s="12" t="str">
        <f aca="false">IF(A759="","",IFERROR(INDEX(Recipes!$B:$B,MATCH(A759,Recipes!$A:$A,0)),"⚠ unknown recipe_id"))</f>
        <v/>
      </c>
      <c r="E759" s="12" t="str">
        <f aca="false">IF(C759="","",IFERROR(INDEX('Ingredient Catalog'!$C:$C,MATCH(C759,'Ingredient Catalog'!$A:$A,0)),"⚠ not in catalog"))</f>
        <v/>
      </c>
      <c r="G759" s="12" t="str">
        <f aca="false">IF(A759="","",COUNTIFS('Weekly Log'!$A:$A,'Grocery List'!$B$3,'Weekly Log'!$C:$C,A759,'Weekly Log'!$E:$E,"Yes"))</f>
        <v/>
      </c>
      <c r="H759" s="12" t="str">
        <f aca="false">IF(OR(A759="",D759=""),"",D759*G759)</f>
        <v/>
      </c>
    </row>
    <row r="760" customFormat="false" ht="15" hidden="false" customHeight="false" outlineLevel="0" collapsed="false">
      <c r="B760" s="12" t="str">
        <f aca="false">IF(A760="","",IFERROR(INDEX(Recipes!$B:$B,MATCH(A760,Recipes!$A:$A,0)),"⚠ unknown recipe_id"))</f>
        <v/>
      </c>
      <c r="E760" s="12" t="str">
        <f aca="false">IF(C760="","",IFERROR(INDEX('Ingredient Catalog'!$C:$C,MATCH(C760,'Ingredient Catalog'!$A:$A,0)),"⚠ not in catalog"))</f>
        <v/>
      </c>
      <c r="G760" s="12" t="str">
        <f aca="false">IF(A760="","",COUNTIFS('Weekly Log'!$A:$A,'Grocery List'!$B$3,'Weekly Log'!$C:$C,A760,'Weekly Log'!$E:$E,"Yes"))</f>
        <v/>
      </c>
      <c r="H760" s="12" t="str">
        <f aca="false">IF(OR(A760="",D760=""),"",D760*G760)</f>
        <v/>
      </c>
    </row>
    <row r="761" customFormat="false" ht="15" hidden="false" customHeight="false" outlineLevel="0" collapsed="false">
      <c r="B761" s="12" t="str">
        <f aca="false">IF(A761="","",IFERROR(INDEX(Recipes!$B:$B,MATCH(A761,Recipes!$A:$A,0)),"⚠ unknown recipe_id"))</f>
        <v/>
      </c>
      <c r="E761" s="12" t="str">
        <f aca="false">IF(C761="","",IFERROR(INDEX('Ingredient Catalog'!$C:$C,MATCH(C761,'Ingredient Catalog'!$A:$A,0)),"⚠ not in catalog"))</f>
        <v/>
      </c>
      <c r="G761" s="12" t="str">
        <f aca="false">IF(A761="","",COUNTIFS('Weekly Log'!$A:$A,'Grocery List'!$B$3,'Weekly Log'!$C:$C,A761,'Weekly Log'!$E:$E,"Yes"))</f>
        <v/>
      </c>
      <c r="H761" s="12" t="str">
        <f aca="false">IF(OR(A761="",D761=""),"",D761*G761)</f>
        <v/>
      </c>
    </row>
    <row r="762" customFormat="false" ht="15" hidden="false" customHeight="false" outlineLevel="0" collapsed="false">
      <c r="B762" s="12" t="str">
        <f aca="false">IF(A762="","",IFERROR(INDEX(Recipes!$B:$B,MATCH(A762,Recipes!$A:$A,0)),"⚠ unknown recipe_id"))</f>
        <v/>
      </c>
      <c r="E762" s="12" t="str">
        <f aca="false">IF(C762="","",IFERROR(INDEX('Ingredient Catalog'!$C:$C,MATCH(C762,'Ingredient Catalog'!$A:$A,0)),"⚠ not in catalog"))</f>
        <v/>
      </c>
      <c r="G762" s="12" t="str">
        <f aca="false">IF(A762="","",COUNTIFS('Weekly Log'!$A:$A,'Grocery List'!$B$3,'Weekly Log'!$C:$C,A762,'Weekly Log'!$E:$E,"Yes"))</f>
        <v/>
      </c>
      <c r="H762" s="12" t="str">
        <f aca="false">IF(OR(A762="",D762=""),"",D762*G762)</f>
        <v/>
      </c>
    </row>
    <row r="763" customFormat="false" ht="15" hidden="false" customHeight="false" outlineLevel="0" collapsed="false">
      <c r="B763" s="12" t="str">
        <f aca="false">IF(A763="","",IFERROR(INDEX(Recipes!$B:$B,MATCH(A763,Recipes!$A:$A,0)),"⚠ unknown recipe_id"))</f>
        <v/>
      </c>
      <c r="E763" s="12" t="str">
        <f aca="false">IF(C763="","",IFERROR(INDEX('Ingredient Catalog'!$C:$C,MATCH(C763,'Ingredient Catalog'!$A:$A,0)),"⚠ not in catalog"))</f>
        <v/>
      </c>
      <c r="G763" s="12" t="str">
        <f aca="false">IF(A763="","",COUNTIFS('Weekly Log'!$A:$A,'Grocery List'!$B$3,'Weekly Log'!$C:$C,A763,'Weekly Log'!$E:$E,"Yes"))</f>
        <v/>
      </c>
      <c r="H763" s="12" t="str">
        <f aca="false">IF(OR(A763="",D763=""),"",D763*G763)</f>
        <v/>
      </c>
    </row>
    <row r="764" customFormat="false" ht="15" hidden="false" customHeight="false" outlineLevel="0" collapsed="false">
      <c r="B764" s="12" t="str">
        <f aca="false">IF(A764="","",IFERROR(INDEX(Recipes!$B:$B,MATCH(A764,Recipes!$A:$A,0)),"⚠ unknown recipe_id"))</f>
        <v/>
      </c>
      <c r="E764" s="12" t="str">
        <f aca="false">IF(C764="","",IFERROR(INDEX('Ingredient Catalog'!$C:$C,MATCH(C764,'Ingredient Catalog'!$A:$A,0)),"⚠ not in catalog"))</f>
        <v/>
      </c>
      <c r="G764" s="12" t="str">
        <f aca="false">IF(A764="","",COUNTIFS('Weekly Log'!$A:$A,'Grocery List'!$B$3,'Weekly Log'!$C:$C,A764,'Weekly Log'!$E:$E,"Yes"))</f>
        <v/>
      </c>
      <c r="H764" s="12" t="str">
        <f aca="false">IF(OR(A764="",D764=""),"",D764*G764)</f>
        <v/>
      </c>
    </row>
    <row r="765" customFormat="false" ht="15" hidden="false" customHeight="false" outlineLevel="0" collapsed="false">
      <c r="B765" s="12" t="str">
        <f aca="false">IF(A765="","",IFERROR(INDEX(Recipes!$B:$B,MATCH(A765,Recipes!$A:$A,0)),"⚠ unknown recipe_id"))</f>
        <v/>
      </c>
      <c r="E765" s="12" t="str">
        <f aca="false">IF(C765="","",IFERROR(INDEX('Ingredient Catalog'!$C:$C,MATCH(C765,'Ingredient Catalog'!$A:$A,0)),"⚠ not in catalog"))</f>
        <v/>
      </c>
      <c r="G765" s="12" t="str">
        <f aca="false">IF(A765="","",COUNTIFS('Weekly Log'!$A:$A,'Grocery List'!$B$3,'Weekly Log'!$C:$C,A765,'Weekly Log'!$E:$E,"Yes"))</f>
        <v/>
      </c>
      <c r="H765" s="12" t="str">
        <f aca="false">IF(OR(A765="",D765=""),"",D765*G765)</f>
        <v/>
      </c>
    </row>
    <row r="766" customFormat="false" ht="15" hidden="false" customHeight="false" outlineLevel="0" collapsed="false">
      <c r="B766" s="12" t="str">
        <f aca="false">IF(A766="","",IFERROR(INDEX(Recipes!$B:$B,MATCH(A766,Recipes!$A:$A,0)),"⚠ unknown recipe_id"))</f>
        <v/>
      </c>
      <c r="E766" s="12" t="str">
        <f aca="false">IF(C766="","",IFERROR(INDEX('Ingredient Catalog'!$C:$C,MATCH(C766,'Ingredient Catalog'!$A:$A,0)),"⚠ not in catalog"))</f>
        <v/>
      </c>
      <c r="G766" s="12" t="str">
        <f aca="false">IF(A766="","",COUNTIFS('Weekly Log'!$A:$A,'Grocery List'!$B$3,'Weekly Log'!$C:$C,A766,'Weekly Log'!$E:$E,"Yes"))</f>
        <v/>
      </c>
      <c r="H766" s="12" t="str">
        <f aca="false">IF(OR(A766="",D766=""),"",D766*G766)</f>
        <v/>
      </c>
    </row>
    <row r="767" customFormat="false" ht="15" hidden="false" customHeight="false" outlineLevel="0" collapsed="false">
      <c r="B767" s="12" t="str">
        <f aca="false">IF(A767="","",IFERROR(INDEX(Recipes!$B:$B,MATCH(A767,Recipes!$A:$A,0)),"⚠ unknown recipe_id"))</f>
        <v/>
      </c>
      <c r="E767" s="12" t="str">
        <f aca="false">IF(C767="","",IFERROR(INDEX('Ingredient Catalog'!$C:$C,MATCH(C767,'Ingredient Catalog'!$A:$A,0)),"⚠ not in catalog"))</f>
        <v/>
      </c>
      <c r="G767" s="12" t="str">
        <f aca="false">IF(A767="","",COUNTIFS('Weekly Log'!$A:$A,'Grocery List'!$B$3,'Weekly Log'!$C:$C,A767,'Weekly Log'!$E:$E,"Yes"))</f>
        <v/>
      </c>
      <c r="H767" s="12" t="str">
        <f aca="false">IF(OR(A767="",D767=""),"",D767*G767)</f>
        <v/>
      </c>
    </row>
    <row r="768" customFormat="false" ht="15" hidden="false" customHeight="false" outlineLevel="0" collapsed="false">
      <c r="B768" s="12" t="str">
        <f aca="false">IF(A768="","",IFERROR(INDEX(Recipes!$B:$B,MATCH(A768,Recipes!$A:$A,0)),"⚠ unknown recipe_id"))</f>
        <v/>
      </c>
      <c r="E768" s="12" t="str">
        <f aca="false">IF(C768="","",IFERROR(INDEX('Ingredient Catalog'!$C:$C,MATCH(C768,'Ingredient Catalog'!$A:$A,0)),"⚠ not in catalog"))</f>
        <v/>
      </c>
      <c r="G768" s="12" t="str">
        <f aca="false">IF(A768="","",COUNTIFS('Weekly Log'!$A:$A,'Grocery List'!$B$3,'Weekly Log'!$C:$C,A768,'Weekly Log'!$E:$E,"Yes"))</f>
        <v/>
      </c>
      <c r="H768" s="12" t="str">
        <f aca="false">IF(OR(A768="",D768=""),"",D768*G768)</f>
        <v/>
      </c>
    </row>
    <row r="769" customFormat="false" ht="15" hidden="false" customHeight="false" outlineLevel="0" collapsed="false">
      <c r="B769" s="12" t="str">
        <f aca="false">IF(A769="","",IFERROR(INDEX(Recipes!$B:$B,MATCH(A769,Recipes!$A:$A,0)),"⚠ unknown recipe_id"))</f>
        <v/>
      </c>
      <c r="E769" s="12" t="str">
        <f aca="false">IF(C769="","",IFERROR(INDEX('Ingredient Catalog'!$C:$C,MATCH(C769,'Ingredient Catalog'!$A:$A,0)),"⚠ not in catalog"))</f>
        <v/>
      </c>
      <c r="G769" s="12" t="str">
        <f aca="false">IF(A769="","",COUNTIFS('Weekly Log'!$A:$A,'Grocery List'!$B$3,'Weekly Log'!$C:$C,A769,'Weekly Log'!$E:$E,"Yes"))</f>
        <v/>
      </c>
      <c r="H769" s="12" t="str">
        <f aca="false">IF(OR(A769="",D769=""),"",D769*G769)</f>
        <v/>
      </c>
    </row>
    <row r="770" customFormat="false" ht="15" hidden="false" customHeight="false" outlineLevel="0" collapsed="false">
      <c r="B770" s="12" t="str">
        <f aca="false">IF(A770="","",IFERROR(INDEX(Recipes!$B:$B,MATCH(A770,Recipes!$A:$A,0)),"⚠ unknown recipe_id"))</f>
        <v/>
      </c>
      <c r="E770" s="12" t="str">
        <f aca="false">IF(C770="","",IFERROR(INDEX('Ingredient Catalog'!$C:$C,MATCH(C770,'Ingredient Catalog'!$A:$A,0)),"⚠ not in catalog"))</f>
        <v/>
      </c>
      <c r="G770" s="12" t="str">
        <f aca="false">IF(A770="","",COUNTIFS('Weekly Log'!$A:$A,'Grocery List'!$B$3,'Weekly Log'!$C:$C,A770,'Weekly Log'!$E:$E,"Yes"))</f>
        <v/>
      </c>
      <c r="H770" s="12" t="str">
        <f aca="false">IF(OR(A770="",D770=""),"",D770*G770)</f>
        <v/>
      </c>
    </row>
    <row r="771" customFormat="false" ht="15" hidden="false" customHeight="false" outlineLevel="0" collapsed="false">
      <c r="B771" s="12" t="str">
        <f aca="false">IF(A771="","",IFERROR(INDEX(Recipes!$B:$B,MATCH(A771,Recipes!$A:$A,0)),"⚠ unknown recipe_id"))</f>
        <v/>
      </c>
      <c r="E771" s="12" t="str">
        <f aca="false">IF(C771="","",IFERROR(INDEX('Ingredient Catalog'!$C:$C,MATCH(C771,'Ingredient Catalog'!$A:$A,0)),"⚠ not in catalog"))</f>
        <v/>
      </c>
      <c r="G771" s="12" t="str">
        <f aca="false">IF(A771="","",COUNTIFS('Weekly Log'!$A:$A,'Grocery List'!$B$3,'Weekly Log'!$C:$C,A771,'Weekly Log'!$E:$E,"Yes"))</f>
        <v/>
      </c>
      <c r="H771" s="12" t="str">
        <f aca="false">IF(OR(A771="",D771=""),"",D771*G771)</f>
        <v/>
      </c>
    </row>
    <row r="772" customFormat="false" ht="15" hidden="false" customHeight="false" outlineLevel="0" collapsed="false">
      <c r="B772" s="12" t="str">
        <f aca="false">IF(A772="","",IFERROR(INDEX(Recipes!$B:$B,MATCH(A772,Recipes!$A:$A,0)),"⚠ unknown recipe_id"))</f>
        <v/>
      </c>
      <c r="E772" s="12" t="str">
        <f aca="false">IF(C772="","",IFERROR(INDEX('Ingredient Catalog'!$C:$C,MATCH(C772,'Ingredient Catalog'!$A:$A,0)),"⚠ not in catalog"))</f>
        <v/>
      </c>
      <c r="G772" s="12" t="str">
        <f aca="false">IF(A772="","",COUNTIFS('Weekly Log'!$A:$A,'Grocery List'!$B$3,'Weekly Log'!$C:$C,A772,'Weekly Log'!$E:$E,"Yes"))</f>
        <v/>
      </c>
      <c r="H772" s="12" t="str">
        <f aca="false">IF(OR(A772="",D772=""),"",D772*G772)</f>
        <v/>
      </c>
    </row>
    <row r="773" customFormat="false" ht="15" hidden="false" customHeight="false" outlineLevel="0" collapsed="false">
      <c r="B773" s="12" t="str">
        <f aca="false">IF(A773="","",IFERROR(INDEX(Recipes!$B:$B,MATCH(A773,Recipes!$A:$A,0)),"⚠ unknown recipe_id"))</f>
        <v/>
      </c>
      <c r="E773" s="12" t="str">
        <f aca="false">IF(C773="","",IFERROR(INDEX('Ingredient Catalog'!$C:$C,MATCH(C773,'Ingredient Catalog'!$A:$A,0)),"⚠ not in catalog"))</f>
        <v/>
      </c>
      <c r="G773" s="12" t="str">
        <f aca="false">IF(A773="","",COUNTIFS('Weekly Log'!$A:$A,'Grocery List'!$B$3,'Weekly Log'!$C:$C,A773,'Weekly Log'!$E:$E,"Yes"))</f>
        <v/>
      </c>
      <c r="H773" s="12" t="str">
        <f aca="false">IF(OR(A773="",D773=""),"",D773*G773)</f>
        <v/>
      </c>
    </row>
    <row r="774" customFormat="false" ht="15" hidden="false" customHeight="false" outlineLevel="0" collapsed="false">
      <c r="B774" s="12" t="str">
        <f aca="false">IF(A774="","",IFERROR(INDEX(Recipes!$B:$B,MATCH(A774,Recipes!$A:$A,0)),"⚠ unknown recipe_id"))</f>
        <v/>
      </c>
      <c r="E774" s="12" t="str">
        <f aca="false">IF(C774="","",IFERROR(INDEX('Ingredient Catalog'!$C:$C,MATCH(C774,'Ingredient Catalog'!$A:$A,0)),"⚠ not in catalog"))</f>
        <v/>
      </c>
      <c r="G774" s="12" t="str">
        <f aca="false">IF(A774="","",COUNTIFS('Weekly Log'!$A:$A,'Grocery List'!$B$3,'Weekly Log'!$C:$C,A774,'Weekly Log'!$E:$E,"Yes"))</f>
        <v/>
      </c>
      <c r="H774" s="12" t="str">
        <f aca="false">IF(OR(A774="",D774=""),"",D774*G774)</f>
        <v/>
      </c>
    </row>
    <row r="775" customFormat="false" ht="15" hidden="false" customHeight="false" outlineLevel="0" collapsed="false">
      <c r="B775" s="12" t="str">
        <f aca="false">IF(A775="","",IFERROR(INDEX(Recipes!$B:$B,MATCH(A775,Recipes!$A:$A,0)),"⚠ unknown recipe_id"))</f>
        <v/>
      </c>
      <c r="E775" s="12" t="str">
        <f aca="false">IF(C775="","",IFERROR(INDEX('Ingredient Catalog'!$C:$C,MATCH(C775,'Ingredient Catalog'!$A:$A,0)),"⚠ not in catalog"))</f>
        <v/>
      </c>
      <c r="G775" s="12" t="str">
        <f aca="false">IF(A775="","",COUNTIFS('Weekly Log'!$A:$A,'Grocery List'!$B$3,'Weekly Log'!$C:$C,A775,'Weekly Log'!$E:$E,"Yes"))</f>
        <v/>
      </c>
      <c r="H775" s="12" t="str">
        <f aca="false">IF(OR(A775="",D775=""),"",D775*G775)</f>
        <v/>
      </c>
    </row>
    <row r="776" customFormat="false" ht="15" hidden="false" customHeight="false" outlineLevel="0" collapsed="false">
      <c r="B776" s="12" t="str">
        <f aca="false">IF(A776="","",IFERROR(INDEX(Recipes!$B:$B,MATCH(A776,Recipes!$A:$A,0)),"⚠ unknown recipe_id"))</f>
        <v/>
      </c>
      <c r="E776" s="12" t="str">
        <f aca="false">IF(C776="","",IFERROR(INDEX('Ingredient Catalog'!$C:$C,MATCH(C776,'Ingredient Catalog'!$A:$A,0)),"⚠ not in catalog"))</f>
        <v/>
      </c>
      <c r="G776" s="12" t="str">
        <f aca="false">IF(A776="","",COUNTIFS('Weekly Log'!$A:$A,'Grocery List'!$B$3,'Weekly Log'!$C:$C,A776,'Weekly Log'!$E:$E,"Yes"))</f>
        <v/>
      </c>
      <c r="H776" s="12" t="str">
        <f aca="false">IF(OR(A776="",D776=""),"",D776*G776)</f>
        <v/>
      </c>
    </row>
    <row r="777" customFormat="false" ht="15" hidden="false" customHeight="false" outlineLevel="0" collapsed="false">
      <c r="B777" s="12" t="str">
        <f aca="false">IF(A777="","",IFERROR(INDEX(Recipes!$B:$B,MATCH(A777,Recipes!$A:$A,0)),"⚠ unknown recipe_id"))</f>
        <v/>
      </c>
      <c r="E777" s="12" t="str">
        <f aca="false">IF(C777="","",IFERROR(INDEX('Ingredient Catalog'!$C:$C,MATCH(C777,'Ingredient Catalog'!$A:$A,0)),"⚠ not in catalog"))</f>
        <v/>
      </c>
      <c r="G777" s="12" t="str">
        <f aca="false">IF(A777="","",COUNTIFS('Weekly Log'!$A:$A,'Grocery List'!$B$3,'Weekly Log'!$C:$C,A777,'Weekly Log'!$E:$E,"Yes"))</f>
        <v/>
      </c>
      <c r="H777" s="12" t="str">
        <f aca="false">IF(OR(A777="",D777=""),"",D777*G777)</f>
        <v/>
      </c>
    </row>
    <row r="778" customFormat="false" ht="15" hidden="false" customHeight="false" outlineLevel="0" collapsed="false">
      <c r="B778" s="12" t="str">
        <f aca="false">IF(A778="","",IFERROR(INDEX(Recipes!$B:$B,MATCH(A778,Recipes!$A:$A,0)),"⚠ unknown recipe_id"))</f>
        <v/>
      </c>
      <c r="E778" s="12" t="str">
        <f aca="false">IF(C778="","",IFERROR(INDEX('Ingredient Catalog'!$C:$C,MATCH(C778,'Ingredient Catalog'!$A:$A,0)),"⚠ not in catalog"))</f>
        <v/>
      </c>
      <c r="G778" s="12" t="str">
        <f aca="false">IF(A778="","",COUNTIFS('Weekly Log'!$A:$A,'Grocery List'!$B$3,'Weekly Log'!$C:$C,A778,'Weekly Log'!$E:$E,"Yes"))</f>
        <v/>
      </c>
      <c r="H778" s="12" t="str">
        <f aca="false">IF(OR(A778="",D778=""),"",D778*G778)</f>
        <v/>
      </c>
    </row>
    <row r="779" customFormat="false" ht="15" hidden="false" customHeight="false" outlineLevel="0" collapsed="false">
      <c r="B779" s="12" t="str">
        <f aca="false">IF(A779="","",IFERROR(INDEX(Recipes!$B:$B,MATCH(A779,Recipes!$A:$A,0)),"⚠ unknown recipe_id"))</f>
        <v/>
      </c>
      <c r="E779" s="12" t="str">
        <f aca="false">IF(C779="","",IFERROR(INDEX('Ingredient Catalog'!$C:$C,MATCH(C779,'Ingredient Catalog'!$A:$A,0)),"⚠ not in catalog"))</f>
        <v/>
      </c>
      <c r="G779" s="12" t="str">
        <f aca="false">IF(A779="","",COUNTIFS('Weekly Log'!$A:$A,'Grocery List'!$B$3,'Weekly Log'!$C:$C,A779,'Weekly Log'!$E:$E,"Yes"))</f>
        <v/>
      </c>
      <c r="H779" s="12" t="str">
        <f aca="false">IF(OR(A779="",D779=""),"",D779*G779)</f>
        <v/>
      </c>
    </row>
    <row r="780" customFormat="false" ht="15" hidden="false" customHeight="false" outlineLevel="0" collapsed="false">
      <c r="B780" s="12" t="str">
        <f aca="false">IF(A780="","",IFERROR(INDEX(Recipes!$B:$B,MATCH(A780,Recipes!$A:$A,0)),"⚠ unknown recipe_id"))</f>
        <v/>
      </c>
      <c r="E780" s="12" t="str">
        <f aca="false">IF(C780="","",IFERROR(INDEX('Ingredient Catalog'!$C:$C,MATCH(C780,'Ingredient Catalog'!$A:$A,0)),"⚠ not in catalog"))</f>
        <v/>
      </c>
      <c r="G780" s="12" t="str">
        <f aca="false">IF(A780="","",COUNTIFS('Weekly Log'!$A:$A,'Grocery List'!$B$3,'Weekly Log'!$C:$C,A780,'Weekly Log'!$E:$E,"Yes"))</f>
        <v/>
      </c>
      <c r="H780" s="12" t="str">
        <f aca="false">IF(OR(A780="",D780=""),"",D780*G780)</f>
        <v/>
      </c>
    </row>
    <row r="781" customFormat="false" ht="15" hidden="false" customHeight="false" outlineLevel="0" collapsed="false">
      <c r="B781" s="12" t="str">
        <f aca="false">IF(A781="","",IFERROR(INDEX(Recipes!$B:$B,MATCH(A781,Recipes!$A:$A,0)),"⚠ unknown recipe_id"))</f>
        <v/>
      </c>
      <c r="E781" s="12" t="str">
        <f aca="false">IF(C781="","",IFERROR(INDEX('Ingredient Catalog'!$C:$C,MATCH(C781,'Ingredient Catalog'!$A:$A,0)),"⚠ not in catalog"))</f>
        <v/>
      </c>
      <c r="G781" s="12" t="str">
        <f aca="false">IF(A781="","",COUNTIFS('Weekly Log'!$A:$A,'Grocery List'!$B$3,'Weekly Log'!$C:$C,A781,'Weekly Log'!$E:$E,"Yes"))</f>
        <v/>
      </c>
      <c r="H781" s="12" t="str">
        <f aca="false">IF(OR(A781="",D781=""),"",D781*G781)</f>
        <v/>
      </c>
    </row>
    <row r="782" customFormat="false" ht="15" hidden="false" customHeight="false" outlineLevel="0" collapsed="false">
      <c r="B782" s="12" t="str">
        <f aca="false">IF(A782="","",IFERROR(INDEX(Recipes!$B:$B,MATCH(A782,Recipes!$A:$A,0)),"⚠ unknown recipe_id"))</f>
        <v/>
      </c>
      <c r="E782" s="12" t="str">
        <f aca="false">IF(C782="","",IFERROR(INDEX('Ingredient Catalog'!$C:$C,MATCH(C782,'Ingredient Catalog'!$A:$A,0)),"⚠ not in catalog"))</f>
        <v/>
      </c>
      <c r="G782" s="12" t="str">
        <f aca="false">IF(A782="","",COUNTIFS('Weekly Log'!$A:$A,'Grocery List'!$B$3,'Weekly Log'!$C:$C,A782,'Weekly Log'!$E:$E,"Yes"))</f>
        <v/>
      </c>
      <c r="H782" s="12" t="str">
        <f aca="false">IF(OR(A782="",D782=""),"",D782*G782)</f>
        <v/>
      </c>
    </row>
    <row r="783" customFormat="false" ht="15" hidden="false" customHeight="false" outlineLevel="0" collapsed="false">
      <c r="B783" s="12" t="str">
        <f aca="false">IF(A783="","",IFERROR(INDEX(Recipes!$B:$B,MATCH(A783,Recipes!$A:$A,0)),"⚠ unknown recipe_id"))</f>
        <v/>
      </c>
      <c r="E783" s="12" t="str">
        <f aca="false">IF(C783="","",IFERROR(INDEX('Ingredient Catalog'!$C:$C,MATCH(C783,'Ingredient Catalog'!$A:$A,0)),"⚠ not in catalog"))</f>
        <v/>
      </c>
      <c r="G783" s="12" t="str">
        <f aca="false">IF(A783="","",COUNTIFS('Weekly Log'!$A:$A,'Grocery List'!$B$3,'Weekly Log'!$C:$C,A783,'Weekly Log'!$E:$E,"Yes"))</f>
        <v/>
      </c>
      <c r="H783" s="12" t="str">
        <f aca="false">IF(OR(A783="",D783=""),"",D783*G783)</f>
        <v/>
      </c>
    </row>
    <row r="784" customFormat="false" ht="15" hidden="false" customHeight="false" outlineLevel="0" collapsed="false">
      <c r="B784" s="12" t="str">
        <f aca="false">IF(A784="","",IFERROR(INDEX(Recipes!$B:$B,MATCH(A784,Recipes!$A:$A,0)),"⚠ unknown recipe_id"))</f>
        <v/>
      </c>
      <c r="E784" s="12" t="str">
        <f aca="false">IF(C784="","",IFERROR(INDEX('Ingredient Catalog'!$C:$C,MATCH(C784,'Ingredient Catalog'!$A:$A,0)),"⚠ not in catalog"))</f>
        <v/>
      </c>
      <c r="G784" s="12" t="str">
        <f aca="false">IF(A784="","",COUNTIFS('Weekly Log'!$A:$A,'Grocery List'!$B$3,'Weekly Log'!$C:$C,A784,'Weekly Log'!$E:$E,"Yes"))</f>
        <v/>
      </c>
      <c r="H784" s="12" t="str">
        <f aca="false">IF(OR(A784="",D784=""),"",D784*G784)</f>
        <v/>
      </c>
    </row>
    <row r="785" customFormat="false" ht="15" hidden="false" customHeight="false" outlineLevel="0" collapsed="false">
      <c r="B785" s="12" t="str">
        <f aca="false">IF(A785="","",IFERROR(INDEX(Recipes!$B:$B,MATCH(A785,Recipes!$A:$A,0)),"⚠ unknown recipe_id"))</f>
        <v/>
      </c>
      <c r="E785" s="12" t="str">
        <f aca="false">IF(C785="","",IFERROR(INDEX('Ingredient Catalog'!$C:$C,MATCH(C785,'Ingredient Catalog'!$A:$A,0)),"⚠ not in catalog"))</f>
        <v/>
      </c>
      <c r="G785" s="12" t="str">
        <f aca="false">IF(A785="","",COUNTIFS('Weekly Log'!$A:$A,'Grocery List'!$B$3,'Weekly Log'!$C:$C,A785,'Weekly Log'!$E:$E,"Yes"))</f>
        <v/>
      </c>
      <c r="H785" s="12" t="str">
        <f aca="false">IF(OR(A785="",D785=""),"",D785*G785)</f>
        <v/>
      </c>
    </row>
    <row r="786" customFormat="false" ht="15" hidden="false" customHeight="false" outlineLevel="0" collapsed="false">
      <c r="B786" s="12" t="str">
        <f aca="false">IF(A786="","",IFERROR(INDEX(Recipes!$B:$B,MATCH(A786,Recipes!$A:$A,0)),"⚠ unknown recipe_id"))</f>
        <v/>
      </c>
      <c r="E786" s="12" t="str">
        <f aca="false">IF(C786="","",IFERROR(INDEX('Ingredient Catalog'!$C:$C,MATCH(C786,'Ingredient Catalog'!$A:$A,0)),"⚠ not in catalog"))</f>
        <v/>
      </c>
      <c r="G786" s="12" t="str">
        <f aca="false">IF(A786="","",COUNTIFS('Weekly Log'!$A:$A,'Grocery List'!$B$3,'Weekly Log'!$C:$C,A786,'Weekly Log'!$E:$E,"Yes"))</f>
        <v/>
      </c>
      <c r="H786" s="12" t="str">
        <f aca="false">IF(OR(A786="",D786=""),"",D786*G786)</f>
        <v/>
      </c>
    </row>
    <row r="787" customFormat="false" ht="15" hidden="false" customHeight="false" outlineLevel="0" collapsed="false">
      <c r="B787" s="12" t="str">
        <f aca="false">IF(A787="","",IFERROR(INDEX(Recipes!$B:$B,MATCH(A787,Recipes!$A:$A,0)),"⚠ unknown recipe_id"))</f>
        <v/>
      </c>
      <c r="E787" s="12" t="str">
        <f aca="false">IF(C787="","",IFERROR(INDEX('Ingredient Catalog'!$C:$C,MATCH(C787,'Ingredient Catalog'!$A:$A,0)),"⚠ not in catalog"))</f>
        <v/>
      </c>
      <c r="G787" s="12" t="str">
        <f aca="false">IF(A787="","",COUNTIFS('Weekly Log'!$A:$A,'Grocery List'!$B$3,'Weekly Log'!$C:$C,A787,'Weekly Log'!$E:$E,"Yes"))</f>
        <v/>
      </c>
      <c r="H787" s="12" t="str">
        <f aca="false">IF(OR(A787="",D787=""),"",D787*G787)</f>
        <v/>
      </c>
    </row>
    <row r="788" customFormat="false" ht="15" hidden="false" customHeight="false" outlineLevel="0" collapsed="false">
      <c r="B788" s="12" t="str">
        <f aca="false">IF(A788="","",IFERROR(INDEX(Recipes!$B:$B,MATCH(A788,Recipes!$A:$A,0)),"⚠ unknown recipe_id"))</f>
        <v/>
      </c>
      <c r="E788" s="12" t="str">
        <f aca="false">IF(C788="","",IFERROR(INDEX('Ingredient Catalog'!$C:$C,MATCH(C788,'Ingredient Catalog'!$A:$A,0)),"⚠ not in catalog"))</f>
        <v/>
      </c>
      <c r="G788" s="12" t="str">
        <f aca="false">IF(A788="","",COUNTIFS('Weekly Log'!$A:$A,'Grocery List'!$B$3,'Weekly Log'!$C:$C,A788,'Weekly Log'!$E:$E,"Yes"))</f>
        <v/>
      </c>
      <c r="H788" s="12" t="str">
        <f aca="false">IF(OR(A788="",D788=""),"",D788*G788)</f>
        <v/>
      </c>
    </row>
    <row r="789" customFormat="false" ht="15" hidden="false" customHeight="false" outlineLevel="0" collapsed="false">
      <c r="B789" s="12" t="str">
        <f aca="false">IF(A789="","",IFERROR(INDEX(Recipes!$B:$B,MATCH(A789,Recipes!$A:$A,0)),"⚠ unknown recipe_id"))</f>
        <v/>
      </c>
      <c r="E789" s="12" t="str">
        <f aca="false">IF(C789="","",IFERROR(INDEX('Ingredient Catalog'!$C:$C,MATCH(C789,'Ingredient Catalog'!$A:$A,0)),"⚠ not in catalog"))</f>
        <v/>
      </c>
      <c r="G789" s="12" t="str">
        <f aca="false">IF(A789="","",COUNTIFS('Weekly Log'!$A:$A,'Grocery List'!$B$3,'Weekly Log'!$C:$C,A789,'Weekly Log'!$E:$E,"Yes"))</f>
        <v/>
      </c>
      <c r="H789" s="12" t="str">
        <f aca="false">IF(OR(A789="",D789=""),"",D789*G789)</f>
        <v/>
      </c>
    </row>
    <row r="790" customFormat="false" ht="15" hidden="false" customHeight="false" outlineLevel="0" collapsed="false">
      <c r="B790" s="12" t="str">
        <f aca="false">IF(A790="","",IFERROR(INDEX(Recipes!$B:$B,MATCH(A790,Recipes!$A:$A,0)),"⚠ unknown recipe_id"))</f>
        <v/>
      </c>
      <c r="E790" s="12" t="str">
        <f aca="false">IF(C790="","",IFERROR(INDEX('Ingredient Catalog'!$C:$C,MATCH(C790,'Ingredient Catalog'!$A:$A,0)),"⚠ not in catalog"))</f>
        <v/>
      </c>
      <c r="G790" s="12" t="str">
        <f aca="false">IF(A790="","",COUNTIFS('Weekly Log'!$A:$A,'Grocery List'!$B$3,'Weekly Log'!$C:$C,A790,'Weekly Log'!$E:$E,"Yes"))</f>
        <v/>
      </c>
      <c r="H790" s="12" t="str">
        <f aca="false">IF(OR(A790="",D790=""),"",D790*G790)</f>
        <v/>
      </c>
    </row>
    <row r="791" customFormat="false" ht="15" hidden="false" customHeight="false" outlineLevel="0" collapsed="false">
      <c r="B791" s="12" t="str">
        <f aca="false">IF(A791="","",IFERROR(INDEX(Recipes!$B:$B,MATCH(A791,Recipes!$A:$A,0)),"⚠ unknown recipe_id"))</f>
        <v/>
      </c>
      <c r="E791" s="12" t="str">
        <f aca="false">IF(C791="","",IFERROR(INDEX('Ingredient Catalog'!$C:$C,MATCH(C791,'Ingredient Catalog'!$A:$A,0)),"⚠ not in catalog"))</f>
        <v/>
      </c>
      <c r="G791" s="12" t="str">
        <f aca="false">IF(A791="","",COUNTIFS('Weekly Log'!$A:$A,'Grocery List'!$B$3,'Weekly Log'!$C:$C,A791,'Weekly Log'!$E:$E,"Yes"))</f>
        <v/>
      </c>
      <c r="H791" s="12" t="str">
        <f aca="false">IF(OR(A791="",D791=""),"",D791*G791)</f>
        <v/>
      </c>
    </row>
    <row r="792" customFormat="false" ht="15" hidden="false" customHeight="false" outlineLevel="0" collapsed="false">
      <c r="B792" s="12" t="str">
        <f aca="false">IF(A792="","",IFERROR(INDEX(Recipes!$B:$B,MATCH(A792,Recipes!$A:$A,0)),"⚠ unknown recipe_id"))</f>
        <v/>
      </c>
      <c r="E792" s="12" t="str">
        <f aca="false">IF(C792="","",IFERROR(INDEX('Ingredient Catalog'!$C:$C,MATCH(C792,'Ingredient Catalog'!$A:$A,0)),"⚠ not in catalog"))</f>
        <v/>
      </c>
      <c r="G792" s="12" t="str">
        <f aca="false">IF(A792="","",COUNTIFS('Weekly Log'!$A:$A,'Grocery List'!$B$3,'Weekly Log'!$C:$C,A792,'Weekly Log'!$E:$E,"Yes"))</f>
        <v/>
      </c>
      <c r="H792" s="12" t="str">
        <f aca="false">IF(OR(A792="",D792=""),"",D792*G792)</f>
        <v/>
      </c>
    </row>
    <row r="793" customFormat="false" ht="15" hidden="false" customHeight="false" outlineLevel="0" collapsed="false">
      <c r="B793" s="12" t="str">
        <f aca="false">IF(A793="","",IFERROR(INDEX(Recipes!$B:$B,MATCH(A793,Recipes!$A:$A,0)),"⚠ unknown recipe_id"))</f>
        <v/>
      </c>
      <c r="E793" s="12" t="str">
        <f aca="false">IF(C793="","",IFERROR(INDEX('Ingredient Catalog'!$C:$C,MATCH(C793,'Ingredient Catalog'!$A:$A,0)),"⚠ not in catalog"))</f>
        <v/>
      </c>
      <c r="G793" s="12" t="str">
        <f aca="false">IF(A793="","",COUNTIFS('Weekly Log'!$A:$A,'Grocery List'!$B$3,'Weekly Log'!$C:$C,A793,'Weekly Log'!$E:$E,"Yes"))</f>
        <v/>
      </c>
      <c r="H793" s="12" t="str">
        <f aca="false">IF(OR(A793="",D793=""),"",D793*G793)</f>
        <v/>
      </c>
    </row>
    <row r="794" customFormat="false" ht="15" hidden="false" customHeight="false" outlineLevel="0" collapsed="false">
      <c r="B794" s="12" t="str">
        <f aca="false">IF(A794="","",IFERROR(INDEX(Recipes!$B:$B,MATCH(A794,Recipes!$A:$A,0)),"⚠ unknown recipe_id"))</f>
        <v/>
      </c>
      <c r="E794" s="12" t="str">
        <f aca="false">IF(C794="","",IFERROR(INDEX('Ingredient Catalog'!$C:$C,MATCH(C794,'Ingredient Catalog'!$A:$A,0)),"⚠ not in catalog"))</f>
        <v/>
      </c>
      <c r="G794" s="12" t="str">
        <f aca="false">IF(A794="","",COUNTIFS('Weekly Log'!$A:$A,'Grocery List'!$B$3,'Weekly Log'!$C:$C,A794,'Weekly Log'!$E:$E,"Yes"))</f>
        <v/>
      </c>
      <c r="H794" s="12" t="str">
        <f aca="false">IF(OR(A794="",D794=""),"",D794*G794)</f>
        <v/>
      </c>
    </row>
    <row r="795" customFormat="false" ht="15" hidden="false" customHeight="false" outlineLevel="0" collapsed="false">
      <c r="B795" s="12" t="str">
        <f aca="false">IF(A795="","",IFERROR(INDEX(Recipes!$B:$B,MATCH(A795,Recipes!$A:$A,0)),"⚠ unknown recipe_id"))</f>
        <v/>
      </c>
      <c r="E795" s="12" t="str">
        <f aca="false">IF(C795="","",IFERROR(INDEX('Ingredient Catalog'!$C:$C,MATCH(C795,'Ingredient Catalog'!$A:$A,0)),"⚠ not in catalog"))</f>
        <v/>
      </c>
      <c r="G795" s="12" t="str">
        <f aca="false">IF(A795="","",COUNTIFS('Weekly Log'!$A:$A,'Grocery List'!$B$3,'Weekly Log'!$C:$C,A795,'Weekly Log'!$E:$E,"Yes"))</f>
        <v/>
      </c>
      <c r="H795" s="12" t="str">
        <f aca="false">IF(OR(A795="",D795=""),"",D795*G795)</f>
        <v/>
      </c>
    </row>
    <row r="796" customFormat="false" ht="15" hidden="false" customHeight="false" outlineLevel="0" collapsed="false">
      <c r="B796" s="12" t="str">
        <f aca="false">IF(A796="","",IFERROR(INDEX(Recipes!$B:$B,MATCH(A796,Recipes!$A:$A,0)),"⚠ unknown recipe_id"))</f>
        <v/>
      </c>
      <c r="E796" s="12" t="str">
        <f aca="false">IF(C796="","",IFERROR(INDEX('Ingredient Catalog'!$C:$C,MATCH(C796,'Ingredient Catalog'!$A:$A,0)),"⚠ not in catalog"))</f>
        <v/>
      </c>
      <c r="G796" s="12" t="str">
        <f aca="false">IF(A796="","",COUNTIFS('Weekly Log'!$A:$A,'Grocery List'!$B$3,'Weekly Log'!$C:$C,A796,'Weekly Log'!$E:$E,"Yes"))</f>
        <v/>
      </c>
      <c r="H796" s="12" t="str">
        <f aca="false">IF(OR(A796="",D796=""),"",D796*G796)</f>
        <v/>
      </c>
    </row>
    <row r="797" customFormat="false" ht="15" hidden="false" customHeight="false" outlineLevel="0" collapsed="false">
      <c r="B797" s="12" t="str">
        <f aca="false">IF(A797="","",IFERROR(INDEX(Recipes!$B:$B,MATCH(A797,Recipes!$A:$A,0)),"⚠ unknown recipe_id"))</f>
        <v/>
      </c>
      <c r="E797" s="12" t="str">
        <f aca="false">IF(C797="","",IFERROR(INDEX('Ingredient Catalog'!$C:$C,MATCH(C797,'Ingredient Catalog'!$A:$A,0)),"⚠ not in catalog"))</f>
        <v/>
      </c>
      <c r="G797" s="12" t="str">
        <f aca="false">IF(A797="","",COUNTIFS('Weekly Log'!$A:$A,'Grocery List'!$B$3,'Weekly Log'!$C:$C,A797,'Weekly Log'!$E:$E,"Yes"))</f>
        <v/>
      </c>
      <c r="H797" s="12" t="str">
        <f aca="false">IF(OR(A797="",D797=""),"",D797*G797)</f>
        <v/>
      </c>
    </row>
    <row r="798" customFormat="false" ht="15" hidden="false" customHeight="false" outlineLevel="0" collapsed="false">
      <c r="B798" s="12" t="str">
        <f aca="false">IF(A798="","",IFERROR(INDEX(Recipes!$B:$B,MATCH(A798,Recipes!$A:$A,0)),"⚠ unknown recipe_id"))</f>
        <v/>
      </c>
      <c r="E798" s="12" t="str">
        <f aca="false">IF(C798="","",IFERROR(INDEX('Ingredient Catalog'!$C:$C,MATCH(C798,'Ingredient Catalog'!$A:$A,0)),"⚠ not in catalog"))</f>
        <v/>
      </c>
      <c r="G798" s="12" t="str">
        <f aca="false">IF(A798="","",COUNTIFS('Weekly Log'!$A:$A,'Grocery List'!$B$3,'Weekly Log'!$C:$C,A798,'Weekly Log'!$E:$E,"Yes"))</f>
        <v/>
      </c>
      <c r="H798" s="12" t="str">
        <f aca="false">IF(OR(A798="",D798=""),"",D798*G798)</f>
        <v/>
      </c>
    </row>
    <row r="799" customFormat="false" ht="15" hidden="false" customHeight="false" outlineLevel="0" collapsed="false">
      <c r="B799" s="12" t="str">
        <f aca="false">IF(A799="","",IFERROR(INDEX(Recipes!$B:$B,MATCH(A799,Recipes!$A:$A,0)),"⚠ unknown recipe_id"))</f>
        <v/>
      </c>
      <c r="E799" s="12" t="str">
        <f aca="false">IF(C799="","",IFERROR(INDEX('Ingredient Catalog'!$C:$C,MATCH(C799,'Ingredient Catalog'!$A:$A,0)),"⚠ not in catalog"))</f>
        <v/>
      </c>
      <c r="G799" s="12" t="str">
        <f aca="false">IF(A799="","",COUNTIFS('Weekly Log'!$A:$A,'Grocery List'!$B$3,'Weekly Log'!$C:$C,A799,'Weekly Log'!$E:$E,"Yes"))</f>
        <v/>
      </c>
      <c r="H799" s="12" t="str">
        <f aca="false">IF(OR(A799="",D799=""),"",D799*G799)</f>
        <v/>
      </c>
    </row>
    <row r="800" customFormat="false" ht="15" hidden="false" customHeight="false" outlineLevel="0" collapsed="false">
      <c r="B800" s="12" t="str">
        <f aca="false">IF(A800="","",IFERROR(INDEX(Recipes!$B:$B,MATCH(A800,Recipes!$A:$A,0)),"⚠ unknown recipe_id"))</f>
        <v/>
      </c>
      <c r="E800" s="12" t="str">
        <f aca="false">IF(C800="","",IFERROR(INDEX('Ingredient Catalog'!$C:$C,MATCH(C800,'Ingredient Catalog'!$A:$A,0)),"⚠ not in catalog"))</f>
        <v/>
      </c>
      <c r="G800" s="12" t="str">
        <f aca="false">IF(A800="","",COUNTIFS('Weekly Log'!$A:$A,'Grocery List'!$B$3,'Weekly Log'!$C:$C,A800,'Weekly Log'!$E:$E,"Yes"))</f>
        <v/>
      </c>
      <c r="H800" s="12" t="str">
        <f aca="false">IF(OR(A800="",D800=""),"",D800*G800)</f>
        <v/>
      </c>
    </row>
    <row r="801" customFormat="false" ht="15" hidden="false" customHeight="false" outlineLevel="0" collapsed="false">
      <c r="B801" s="12" t="str">
        <f aca="false">IF(A801="","",IFERROR(INDEX(Recipes!$B:$B,MATCH(A801,Recipes!$A:$A,0)),"⚠ unknown recipe_id"))</f>
        <v/>
      </c>
      <c r="E801" s="12" t="str">
        <f aca="false">IF(C801="","",IFERROR(INDEX('Ingredient Catalog'!$C:$C,MATCH(C801,'Ingredient Catalog'!$A:$A,0)),"⚠ not in catalog"))</f>
        <v/>
      </c>
      <c r="G801" s="12" t="str">
        <f aca="false">IF(A801="","",COUNTIFS('Weekly Log'!$A:$A,'Grocery List'!$B$3,'Weekly Log'!$C:$C,A801,'Weekly Log'!$E:$E,"Yes"))</f>
        <v/>
      </c>
      <c r="H801" s="12" t="str">
        <f aca="false">IF(OR(A801="",D801=""),"",D801*G801)</f>
        <v/>
      </c>
    </row>
    <row r="802" customFormat="false" ht="15" hidden="false" customHeight="false" outlineLevel="0" collapsed="false">
      <c r="B802" s="12" t="str">
        <f aca="false">IF(A802="","",IFERROR(INDEX(Recipes!$B:$B,MATCH(A802,Recipes!$A:$A,0)),"⚠ unknown recipe_id"))</f>
        <v/>
      </c>
      <c r="E802" s="12" t="str">
        <f aca="false">IF(C802="","",IFERROR(INDEX('Ingredient Catalog'!$C:$C,MATCH(C802,'Ingredient Catalog'!$A:$A,0)),"⚠ not in catalog"))</f>
        <v/>
      </c>
      <c r="G802" s="12" t="str">
        <f aca="false">IF(A802="","",COUNTIFS('Weekly Log'!$A:$A,'Grocery List'!$B$3,'Weekly Log'!$C:$C,A802,'Weekly Log'!$E:$E,"Yes"))</f>
        <v/>
      </c>
      <c r="H802" s="12" t="str">
        <f aca="false">IF(OR(A802="",D802=""),"",D802*G802)</f>
        <v/>
      </c>
    </row>
    <row r="803" customFormat="false" ht="15" hidden="false" customHeight="false" outlineLevel="0" collapsed="false">
      <c r="B803" s="12" t="str">
        <f aca="false">IF(A803="","",IFERROR(INDEX(Recipes!$B:$B,MATCH(A803,Recipes!$A:$A,0)),"⚠ unknown recipe_id"))</f>
        <v/>
      </c>
      <c r="E803" s="12" t="str">
        <f aca="false">IF(C803="","",IFERROR(INDEX('Ingredient Catalog'!$C:$C,MATCH(C803,'Ingredient Catalog'!$A:$A,0)),"⚠ not in catalog"))</f>
        <v/>
      </c>
      <c r="G803" s="12" t="str">
        <f aca="false">IF(A803="","",COUNTIFS('Weekly Log'!$A:$A,'Grocery List'!$B$3,'Weekly Log'!$C:$C,A803,'Weekly Log'!$E:$E,"Yes"))</f>
        <v/>
      </c>
      <c r="H803" s="12" t="str">
        <f aca="false">IF(OR(A803="",D803=""),"",D803*G803)</f>
        <v/>
      </c>
    </row>
    <row r="804" customFormat="false" ht="15" hidden="false" customHeight="false" outlineLevel="0" collapsed="false">
      <c r="B804" s="12" t="str">
        <f aca="false">IF(A804="","",IFERROR(INDEX(Recipes!$B:$B,MATCH(A804,Recipes!$A:$A,0)),"⚠ unknown recipe_id"))</f>
        <v/>
      </c>
      <c r="E804" s="12" t="str">
        <f aca="false">IF(C804="","",IFERROR(INDEX('Ingredient Catalog'!$C:$C,MATCH(C804,'Ingredient Catalog'!$A:$A,0)),"⚠ not in catalog"))</f>
        <v/>
      </c>
      <c r="G804" s="12" t="str">
        <f aca="false">IF(A804="","",COUNTIFS('Weekly Log'!$A:$A,'Grocery List'!$B$3,'Weekly Log'!$C:$C,A804,'Weekly Log'!$E:$E,"Yes"))</f>
        <v/>
      </c>
      <c r="H804" s="12" t="str">
        <f aca="false">IF(OR(A804="",D804=""),"",D804*G804)</f>
        <v/>
      </c>
    </row>
    <row r="805" customFormat="false" ht="15" hidden="false" customHeight="false" outlineLevel="0" collapsed="false">
      <c r="B805" s="12" t="str">
        <f aca="false">IF(A805="","",IFERROR(INDEX(Recipes!$B:$B,MATCH(A805,Recipes!$A:$A,0)),"⚠ unknown recipe_id"))</f>
        <v/>
      </c>
      <c r="E805" s="12" t="str">
        <f aca="false">IF(C805="","",IFERROR(INDEX('Ingredient Catalog'!$C:$C,MATCH(C805,'Ingredient Catalog'!$A:$A,0)),"⚠ not in catalog"))</f>
        <v/>
      </c>
      <c r="G805" s="12" t="str">
        <f aca="false">IF(A805="","",COUNTIFS('Weekly Log'!$A:$A,'Grocery List'!$B$3,'Weekly Log'!$C:$C,A805,'Weekly Log'!$E:$E,"Yes"))</f>
        <v/>
      </c>
      <c r="H805" s="12" t="str">
        <f aca="false">IF(OR(A805="",D805=""),"",D805*G805)</f>
        <v/>
      </c>
    </row>
    <row r="806" customFormat="false" ht="15" hidden="false" customHeight="false" outlineLevel="0" collapsed="false">
      <c r="B806" s="12" t="str">
        <f aca="false">IF(A806="","",IFERROR(INDEX(Recipes!$B:$B,MATCH(A806,Recipes!$A:$A,0)),"⚠ unknown recipe_id"))</f>
        <v/>
      </c>
      <c r="E806" s="12" t="str">
        <f aca="false">IF(C806="","",IFERROR(INDEX('Ingredient Catalog'!$C:$C,MATCH(C806,'Ingredient Catalog'!$A:$A,0)),"⚠ not in catalog"))</f>
        <v/>
      </c>
      <c r="G806" s="12" t="str">
        <f aca="false">IF(A806="","",COUNTIFS('Weekly Log'!$A:$A,'Grocery List'!$B$3,'Weekly Log'!$C:$C,A806,'Weekly Log'!$E:$E,"Yes"))</f>
        <v/>
      </c>
      <c r="H806" s="12" t="str">
        <f aca="false">IF(OR(A806="",D806=""),"",D806*G806)</f>
        <v/>
      </c>
    </row>
    <row r="807" customFormat="false" ht="15" hidden="false" customHeight="false" outlineLevel="0" collapsed="false">
      <c r="B807" s="12" t="str">
        <f aca="false">IF(A807="","",IFERROR(INDEX(Recipes!$B:$B,MATCH(A807,Recipes!$A:$A,0)),"⚠ unknown recipe_id"))</f>
        <v/>
      </c>
      <c r="E807" s="12" t="str">
        <f aca="false">IF(C807="","",IFERROR(INDEX('Ingredient Catalog'!$C:$C,MATCH(C807,'Ingredient Catalog'!$A:$A,0)),"⚠ not in catalog"))</f>
        <v/>
      </c>
      <c r="G807" s="12" t="str">
        <f aca="false">IF(A807="","",COUNTIFS('Weekly Log'!$A:$A,'Grocery List'!$B$3,'Weekly Log'!$C:$C,A807,'Weekly Log'!$E:$E,"Yes"))</f>
        <v/>
      </c>
      <c r="H807" s="12" t="str">
        <f aca="false">IF(OR(A807="",D807=""),"",D807*G807)</f>
        <v/>
      </c>
    </row>
    <row r="808" customFormat="false" ht="15" hidden="false" customHeight="false" outlineLevel="0" collapsed="false">
      <c r="B808" s="12" t="str">
        <f aca="false">IF(A808="","",IFERROR(INDEX(Recipes!$B:$B,MATCH(A808,Recipes!$A:$A,0)),"⚠ unknown recipe_id"))</f>
        <v/>
      </c>
      <c r="E808" s="12" t="str">
        <f aca="false">IF(C808="","",IFERROR(INDEX('Ingredient Catalog'!$C:$C,MATCH(C808,'Ingredient Catalog'!$A:$A,0)),"⚠ not in catalog"))</f>
        <v/>
      </c>
      <c r="G808" s="12" t="str">
        <f aca="false">IF(A808="","",COUNTIFS('Weekly Log'!$A:$A,'Grocery List'!$B$3,'Weekly Log'!$C:$C,A808,'Weekly Log'!$E:$E,"Yes"))</f>
        <v/>
      </c>
      <c r="H808" s="12" t="str">
        <f aca="false">IF(OR(A808="",D808=""),"",D808*G808)</f>
        <v/>
      </c>
    </row>
    <row r="809" customFormat="false" ht="15" hidden="false" customHeight="false" outlineLevel="0" collapsed="false">
      <c r="B809" s="12" t="str">
        <f aca="false">IF(A809="","",IFERROR(INDEX(Recipes!$B:$B,MATCH(A809,Recipes!$A:$A,0)),"⚠ unknown recipe_id"))</f>
        <v/>
      </c>
      <c r="E809" s="12" t="str">
        <f aca="false">IF(C809="","",IFERROR(INDEX('Ingredient Catalog'!$C:$C,MATCH(C809,'Ingredient Catalog'!$A:$A,0)),"⚠ not in catalog"))</f>
        <v/>
      </c>
      <c r="G809" s="12" t="str">
        <f aca="false">IF(A809="","",COUNTIFS('Weekly Log'!$A:$A,'Grocery List'!$B$3,'Weekly Log'!$C:$C,A809,'Weekly Log'!$E:$E,"Yes"))</f>
        <v/>
      </c>
      <c r="H809" s="12" t="str">
        <f aca="false">IF(OR(A809="",D809=""),"",D809*G809)</f>
        <v/>
      </c>
    </row>
    <row r="810" customFormat="false" ht="15" hidden="false" customHeight="false" outlineLevel="0" collapsed="false">
      <c r="B810" s="12" t="str">
        <f aca="false">IF(A810="","",IFERROR(INDEX(Recipes!$B:$B,MATCH(A810,Recipes!$A:$A,0)),"⚠ unknown recipe_id"))</f>
        <v/>
      </c>
      <c r="E810" s="12" t="str">
        <f aca="false">IF(C810="","",IFERROR(INDEX('Ingredient Catalog'!$C:$C,MATCH(C810,'Ingredient Catalog'!$A:$A,0)),"⚠ not in catalog"))</f>
        <v/>
      </c>
      <c r="G810" s="12" t="str">
        <f aca="false">IF(A810="","",COUNTIFS('Weekly Log'!$A:$A,'Grocery List'!$B$3,'Weekly Log'!$C:$C,A810,'Weekly Log'!$E:$E,"Yes"))</f>
        <v/>
      </c>
      <c r="H810" s="12" t="str">
        <f aca="false">IF(OR(A810="",D810=""),"",D810*G810)</f>
        <v/>
      </c>
    </row>
    <row r="811" customFormat="false" ht="15" hidden="false" customHeight="false" outlineLevel="0" collapsed="false">
      <c r="B811" s="12" t="str">
        <f aca="false">IF(A811="","",IFERROR(INDEX(Recipes!$B:$B,MATCH(A811,Recipes!$A:$A,0)),"⚠ unknown recipe_id"))</f>
        <v/>
      </c>
      <c r="E811" s="12" t="str">
        <f aca="false">IF(C811="","",IFERROR(INDEX('Ingredient Catalog'!$C:$C,MATCH(C811,'Ingredient Catalog'!$A:$A,0)),"⚠ not in catalog"))</f>
        <v/>
      </c>
      <c r="G811" s="12" t="str">
        <f aca="false">IF(A811="","",COUNTIFS('Weekly Log'!$A:$A,'Grocery List'!$B$3,'Weekly Log'!$C:$C,A811,'Weekly Log'!$E:$E,"Yes"))</f>
        <v/>
      </c>
      <c r="H811" s="12" t="str">
        <f aca="false">IF(OR(A811="",D811=""),"",D811*G811)</f>
        <v/>
      </c>
    </row>
    <row r="812" customFormat="false" ht="15" hidden="false" customHeight="false" outlineLevel="0" collapsed="false">
      <c r="B812" s="12" t="str">
        <f aca="false">IF(A812="","",IFERROR(INDEX(Recipes!$B:$B,MATCH(A812,Recipes!$A:$A,0)),"⚠ unknown recipe_id"))</f>
        <v/>
      </c>
      <c r="E812" s="12" t="str">
        <f aca="false">IF(C812="","",IFERROR(INDEX('Ingredient Catalog'!$C:$C,MATCH(C812,'Ingredient Catalog'!$A:$A,0)),"⚠ not in catalog"))</f>
        <v/>
      </c>
      <c r="G812" s="12" t="str">
        <f aca="false">IF(A812="","",COUNTIFS('Weekly Log'!$A:$A,'Grocery List'!$B$3,'Weekly Log'!$C:$C,A812,'Weekly Log'!$E:$E,"Yes"))</f>
        <v/>
      </c>
      <c r="H812" s="12" t="str">
        <f aca="false">IF(OR(A812="",D812=""),"",D812*G812)</f>
        <v/>
      </c>
    </row>
    <row r="813" customFormat="false" ht="15" hidden="false" customHeight="false" outlineLevel="0" collapsed="false">
      <c r="B813" s="12" t="str">
        <f aca="false">IF(A813="","",IFERROR(INDEX(Recipes!$B:$B,MATCH(A813,Recipes!$A:$A,0)),"⚠ unknown recipe_id"))</f>
        <v/>
      </c>
      <c r="E813" s="12" t="str">
        <f aca="false">IF(C813="","",IFERROR(INDEX('Ingredient Catalog'!$C:$C,MATCH(C813,'Ingredient Catalog'!$A:$A,0)),"⚠ not in catalog"))</f>
        <v/>
      </c>
      <c r="G813" s="12" t="str">
        <f aca="false">IF(A813="","",COUNTIFS('Weekly Log'!$A:$A,'Grocery List'!$B$3,'Weekly Log'!$C:$C,A813,'Weekly Log'!$E:$E,"Yes"))</f>
        <v/>
      </c>
      <c r="H813" s="12" t="str">
        <f aca="false">IF(OR(A813="",D813=""),"",D813*G813)</f>
        <v/>
      </c>
    </row>
    <row r="814" customFormat="false" ht="15" hidden="false" customHeight="false" outlineLevel="0" collapsed="false">
      <c r="B814" s="12" t="str">
        <f aca="false">IF(A814="","",IFERROR(INDEX(Recipes!$B:$B,MATCH(A814,Recipes!$A:$A,0)),"⚠ unknown recipe_id"))</f>
        <v/>
      </c>
      <c r="E814" s="12" t="str">
        <f aca="false">IF(C814="","",IFERROR(INDEX('Ingredient Catalog'!$C:$C,MATCH(C814,'Ingredient Catalog'!$A:$A,0)),"⚠ not in catalog"))</f>
        <v/>
      </c>
      <c r="G814" s="12" t="str">
        <f aca="false">IF(A814="","",COUNTIFS('Weekly Log'!$A:$A,'Grocery List'!$B$3,'Weekly Log'!$C:$C,A814,'Weekly Log'!$E:$E,"Yes"))</f>
        <v/>
      </c>
      <c r="H814" s="12" t="str">
        <f aca="false">IF(OR(A814="",D814=""),"",D814*G814)</f>
        <v/>
      </c>
    </row>
    <row r="815" customFormat="false" ht="15" hidden="false" customHeight="false" outlineLevel="0" collapsed="false">
      <c r="B815" s="12" t="str">
        <f aca="false">IF(A815="","",IFERROR(INDEX(Recipes!$B:$B,MATCH(A815,Recipes!$A:$A,0)),"⚠ unknown recipe_id"))</f>
        <v/>
      </c>
      <c r="E815" s="12" t="str">
        <f aca="false">IF(C815="","",IFERROR(INDEX('Ingredient Catalog'!$C:$C,MATCH(C815,'Ingredient Catalog'!$A:$A,0)),"⚠ not in catalog"))</f>
        <v/>
      </c>
      <c r="G815" s="12" t="str">
        <f aca="false">IF(A815="","",COUNTIFS('Weekly Log'!$A:$A,'Grocery List'!$B$3,'Weekly Log'!$C:$C,A815,'Weekly Log'!$E:$E,"Yes"))</f>
        <v/>
      </c>
      <c r="H815" s="12" t="str">
        <f aca="false">IF(OR(A815="",D815=""),"",D815*G815)</f>
        <v/>
      </c>
    </row>
    <row r="816" customFormat="false" ht="15" hidden="false" customHeight="false" outlineLevel="0" collapsed="false">
      <c r="B816" s="12" t="str">
        <f aca="false">IF(A816="","",IFERROR(INDEX(Recipes!$B:$B,MATCH(A816,Recipes!$A:$A,0)),"⚠ unknown recipe_id"))</f>
        <v/>
      </c>
      <c r="E816" s="12" t="str">
        <f aca="false">IF(C816="","",IFERROR(INDEX('Ingredient Catalog'!$C:$C,MATCH(C816,'Ingredient Catalog'!$A:$A,0)),"⚠ not in catalog"))</f>
        <v/>
      </c>
      <c r="G816" s="12" t="str">
        <f aca="false">IF(A816="","",COUNTIFS('Weekly Log'!$A:$A,'Grocery List'!$B$3,'Weekly Log'!$C:$C,A816,'Weekly Log'!$E:$E,"Yes"))</f>
        <v/>
      </c>
      <c r="H816" s="12" t="str">
        <f aca="false">IF(OR(A816="",D816=""),"",D816*G816)</f>
        <v/>
      </c>
    </row>
    <row r="817" customFormat="false" ht="15" hidden="false" customHeight="false" outlineLevel="0" collapsed="false">
      <c r="B817" s="12" t="str">
        <f aca="false">IF(A817="","",IFERROR(INDEX(Recipes!$B:$B,MATCH(A817,Recipes!$A:$A,0)),"⚠ unknown recipe_id"))</f>
        <v/>
      </c>
      <c r="E817" s="12" t="str">
        <f aca="false">IF(C817="","",IFERROR(INDEX('Ingredient Catalog'!$C:$C,MATCH(C817,'Ingredient Catalog'!$A:$A,0)),"⚠ not in catalog"))</f>
        <v/>
      </c>
      <c r="G817" s="12" t="str">
        <f aca="false">IF(A817="","",COUNTIFS('Weekly Log'!$A:$A,'Grocery List'!$B$3,'Weekly Log'!$C:$C,A817,'Weekly Log'!$E:$E,"Yes"))</f>
        <v/>
      </c>
      <c r="H817" s="12" t="str">
        <f aca="false">IF(OR(A817="",D817=""),"",D817*G817)</f>
        <v/>
      </c>
    </row>
    <row r="818" customFormat="false" ht="15" hidden="false" customHeight="false" outlineLevel="0" collapsed="false">
      <c r="B818" s="12" t="str">
        <f aca="false">IF(A818="","",IFERROR(INDEX(Recipes!$B:$B,MATCH(A818,Recipes!$A:$A,0)),"⚠ unknown recipe_id"))</f>
        <v/>
      </c>
      <c r="E818" s="12" t="str">
        <f aca="false">IF(C818="","",IFERROR(INDEX('Ingredient Catalog'!$C:$C,MATCH(C818,'Ingredient Catalog'!$A:$A,0)),"⚠ not in catalog"))</f>
        <v/>
      </c>
      <c r="G818" s="12" t="str">
        <f aca="false">IF(A818="","",COUNTIFS('Weekly Log'!$A:$A,'Grocery List'!$B$3,'Weekly Log'!$C:$C,A818,'Weekly Log'!$E:$E,"Yes"))</f>
        <v/>
      </c>
      <c r="H818" s="12" t="str">
        <f aca="false">IF(OR(A818="",D818=""),"",D818*G818)</f>
        <v/>
      </c>
    </row>
    <row r="819" customFormat="false" ht="15" hidden="false" customHeight="false" outlineLevel="0" collapsed="false">
      <c r="B819" s="12" t="str">
        <f aca="false">IF(A819="","",IFERROR(INDEX(Recipes!$B:$B,MATCH(A819,Recipes!$A:$A,0)),"⚠ unknown recipe_id"))</f>
        <v/>
      </c>
      <c r="E819" s="12" t="str">
        <f aca="false">IF(C819="","",IFERROR(INDEX('Ingredient Catalog'!$C:$C,MATCH(C819,'Ingredient Catalog'!$A:$A,0)),"⚠ not in catalog"))</f>
        <v/>
      </c>
      <c r="G819" s="12" t="str">
        <f aca="false">IF(A819="","",COUNTIFS('Weekly Log'!$A:$A,'Grocery List'!$B$3,'Weekly Log'!$C:$C,A819,'Weekly Log'!$E:$E,"Yes"))</f>
        <v/>
      </c>
      <c r="H819" s="12" t="str">
        <f aca="false">IF(OR(A819="",D819=""),"",D819*G819)</f>
        <v/>
      </c>
    </row>
    <row r="820" customFormat="false" ht="15" hidden="false" customHeight="false" outlineLevel="0" collapsed="false">
      <c r="B820" s="12" t="str">
        <f aca="false">IF(A820="","",IFERROR(INDEX(Recipes!$B:$B,MATCH(A820,Recipes!$A:$A,0)),"⚠ unknown recipe_id"))</f>
        <v/>
      </c>
      <c r="E820" s="12" t="str">
        <f aca="false">IF(C820="","",IFERROR(INDEX('Ingredient Catalog'!$C:$C,MATCH(C820,'Ingredient Catalog'!$A:$A,0)),"⚠ not in catalog"))</f>
        <v/>
      </c>
      <c r="G820" s="12" t="str">
        <f aca="false">IF(A820="","",COUNTIFS('Weekly Log'!$A:$A,'Grocery List'!$B$3,'Weekly Log'!$C:$C,A820,'Weekly Log'!$E:$E,"Yes"))</f>
        <v/>
      </c>
      <c r="H820" s="12" t="str">
        <f aca="false">IF(OR(A820="",D820=""),"",D820*G820)</f>
        <v/>
      </c>
    </row>
    <row r="821" customFormat="false" ht="15" hidden="false" customHeight="false" outlineLevel="0" collapsed="false">
      <c r="B821" s="12" t="str">
        <f aca="false">IF(A821="","",IFERROR(INDEX(Recipes!$B:$B,MATCH(A821,Recipes!$A:$A,0)),"⚠ unknown recipe_id"))</f>
        <v/>
      </c>
      <c r="E821" s="12" t="str">
        <f aca="false">IF(C821="","",IFERROR(INDEX('Ingredient Catalog'!$C:$C,MATCH(C821,'Ingredient Catalog'!$A:$A,0)),"⚠ not in catalog"))</f>
        <v/>
      </c>
      <c r="G821" s="12" t="str">
        <f aca="false">IF(A821="","",COUNTIFS('Weekly Log'!$A:$A,'Grocery List'!$B$3,'Weekly Log'!$C:$C,A821,'Weekly Log'!$E:$E,"Yes"))</f>
        <v/>
      </c>
      <c r="H821" s="12" t="str">
        <f aca="false">IF(OR(A821="",D821=""),"",D821*G821)</f>
        <v/>
      </c>
    </row>
    <row r="822" customFormat="false" ht="15" hidden="false" customHeight="false" outlineLevel="0" collapsed="false">
      <c r="B822" s="12" t="str">
        <f aca="false">IF(A822="","",IFERROR(INDEX(Recipes!$B:$B,MATCH(A822,Recipes!$A:$A,0)),"⚠ unknown recipe_id"))</f>
        <v/>
      </c>
      <c r="E822" s="12" t="str">
        <f aca="false">IF(C822="","",IFERROR(INDEX('Ingredient Catalog'!$C:$C,MATCH(C822,'Ingredient Catalog'!$A:$A,0)),"⚠ not in catalog"))</f>
        <v/>
      </c>
      <c r="G822" s="12" t="str">
        <f aca="false">IF(A822="","",COUNTIFS('Weekly Log'!$A:$A,'Grocery List'!$B$3,'Weekly Log'!$C:$C,A822,'Weekly Log'!$E:$E,"Yes"))</f>
        <v/>
      </c>
      <c r="H822" s="12" t="str">
        <f aca="false">IF(OR(A822="",D822=""),"",D822*G822)</f>
        <v/>
      </c>
    </row>
    <row r="823" customFormat="false" ht="15" hidden="false" customHeight="false" outlineLevel="0" collapsed="false">
      <c r="B823" s="12" t="str">
        <f aca="false">IF(A823="","",IFERROR(INDEX(Recipes!$B:$B,MATCH(A823,Recipes!$A:$A,0)),"⚠ unknown recipe_id"))</f>
        <v/>
      </c>
      <c r="E823" s="12" t="str">
        <f aca="false">IF(C823="","",IFERROR(INDEX('Ingredient Catalog'!$C:$C,MATCH(C823,'Ingredient Catalog'!$A:$A,0)),"⚠ not in catalog"))</f>
        <v/>
      </c>
      <c r="G823" s="12" t="str">
        <f aca="false">IF(A823="","",COUNTIFS('Weekly Log'!$A:$A,'Grocery List'!$B$3,'Weekly Log'!$C:$C,A823,'Weekly Log'!$E:$E,"Yes"))</f>
        <v/>
      </c>
      <c r="H823" s="12" t="str">
        <f aca="false">IF(OR(A823="",D823=""),"",D823*G823)</f>
        <v/>
      </c>
    </row>
    <row r="824" customFormat="false" ht="15" hidden="false" customHeight="false" outlineLevel="0" collapsed="false">
      <c r="B824" s="12" t="str">
        <f aca="false">IF(A824="","",IFERROR(INDEX(Recipes!$B:$B,MATCH(A824,Recipes!$A:$A,0)),"⚠ unknown recipe_id"))</f>
        <v/>
      </c>
      <c r="E824" s="12" t="str">
        <f aca="false">IF(C824="","",IFERROR(INDEX('Ingredient Catalog'!$C:$C,MATCH(C824,'Ingredient Catalog'!$A:$A,0)),"⚠ not in catalog"))</f>
        <v/>
      </c>
      <c r="G824" s="12" t="str">
        <f aca="false">IF(A824="","",COUNTIFS('Weekly Log'!$A:$A,'Grocery List'!$B$3,'Weekly Log'!$C:$C,A824,'Weekly Log'!$E:$E,"Yes"))</f>
        <v/>
      </c>
      <c r="H824" s="12" t="str">
        <f aca="false">IF(OR(A824="",D824=""),"",D824*G824)</f>
        <v/>
      </c>
    </row>
    <row r="825" customFormat="false" ht="15" hidden="false" customHeight="false" outlineLevel="0" collapsed="false">
      <c r="B825" s="12" t="str">
        <f aca="false">IF(A825="","",IFERROR(INDEX(Recipes!$B:$B,MATCH(A825,Recipes!$A:$A,0)),"⚠ unknown recipe_id"))</f>
        <v/>
      </c>
      <c r="E825" s="12" t="str">
        <f aca="false">IF(C825="","",IFERROR(INDEX('Ingredient Catalog'!$C:$C,MATCH(C825,'Ingredient Catalog'!$A:$A,0)),"⚠ not in catalog"))</f>
        <v/>
      </c>
      <c r="G825" s="12" t="str">
        <f aca="false">IF(A825="","",COUNTIFS('Weekly Log'!$A:$A,'Grocery List'!$B$3,'Weekly Log'!$C:$C,A825,'Weekly Log'!$E:$E,"Yes"))</f>
        <v/>
      </c>
      <c r="H825" s="12" t="str">
        <f aca="false">IF(OR(A825="",D825=""),"",D825*G825)</f>
        <v/>
      </c>
    </row>
    <row r="826" customFormat="false" ht="15" hidden="false" customHeight="false" outlineLevel="0" collapsed="false">
      <c r="B826" s="12" t="str">
        <f aca="false">IF(A826="","",IFERROR(INDEX(Recipes!$B:$B,MATCH(A826,Recipes!$A:$A,0)),"⚠ unknown recipe_id"))</f>
        <v/>
      </c>
      <c r="E826" s="12" t="str">
        <f aca="false">IF(C826="","",IFERROR(INDEX('Ingredient Catalog'!$C:$C,MATCH(C826,'Ingredient Catalog'!$A:$A,0)),"⚠ not in catalog"))</f>
        <v/>
      </c>
      <c r="G826" s="12" t="str">
        <f aca="false">IF(A826="","",COUNTIFS('Weekly Log'!$A:$A,'Grocery List'!$B$3,'Weekly Log'!$C:$C,A826,'Weekly Log'!$E:$E,"Yes"))</f>
        <v/>
      </c>
      <c r="H826" s="12" t="str">
        <f aca="false">IF(OR(A826="",D826=""),"",D826*G826)</f>
        <v/>
      </c>
    </row>
    <row r="827" customFormat="false" ht="15" hidden="false" customHeight="false" outlineLevel="0" collapsed="false">
      <c r="B827" s="12" t="str">
        <f aca="false">IF(A827="","",IFERROR(INDEX(Recipes!$B:$B,MATCH(A827,Recipes!$A:$A,0)),"⚠ unknown recipe_id"))</f>
        <v/>
      </c>
      <c r="E827" s="12" t="str">
        <f aca="false">IF(C827="","",IFERROR(INDEX('Ingredient Catalog'!$C:$C,MATCH(C827,'Ingredient Catalog'!$A:$A,0)),"⚠ not in catalog"))</f>
        <v/>
      </c>
      <c r="G827" s="12" t="str">
        <f aca="false">IF(A827="","",COUNTIFS('Weekly Log'!$A:$A,'Grocery List'!$B$3,'Weekly Log'!$C:$C,A827,'Weekly Log'!$E:$E,"Yes"))</f>
        <v/>
      </c>
      <c r="H827" s="12" t="str">
        <f aca="false">IF(OR(A827="",D827=""),"",D827*G827)</f>
        <v/>
      </c>
    </row>
    <row r="828" customFormat="false" ht="15" hidden="false" customHeight="false" outlineLevel="0" collapsed="false">
      <c r="B828" s="12" t="str">
        <f aca="false">IF(A828="","",IFERROR(INDEX(Recipes!$B:$B,MATCH(A828,Recipes!$A:$A,0)),"⚠ unknown recipe_id"))</f>
        <v/>
      </c>
      <c r="E828" s="12" t="str">
        <f aca="false">IF(C828="","",IFERROR(INDEX('Ingredient Catalog'!$C:$C,MATCH(C828,'Ingredient Catalog'!$A:$A,0)),"⚠ not in catalog"))</f>
        <v/>
      </c>
      <c r="G828" s="12" t="str">
        <f aca="false">IF(A828="","",COUNTIFS('Weekly Log'!$A:$A,'Grocery List'!$B$3,'Weekly Log'!$C:$C,A828,'Weekly Log'!$E:$E,"Yes"))</f>
        <v/>
      </c>
      <c r="H828" s="12" t="str">
        <f aca="false">IF(OR(A828="",D828=""),"",D828*G828)</f>
        <v/>
      </c>
    </row>
    <row r="829" customFormat="false" ht="15" hidden="false" customHeight="false" outlineLevel="0" collapsed="false">
      <c r="B829" s="12" t="str">
        <f aca="false">IF(A829="","",IFERROR(INDEX(Recipes!$B:$B,MATCH(A829,Recipes!$A:$A,0)),"⚠ unknown recipe_id"))</f>
        <v/>
      </c>
      <c r="E829" s="12" t="str">
        <f aca="false">IF(C829="","",IFERROR(INDEX('Ingredient Catalog'!$C:$C,MATCH(C829,'Ingredient Catalog'!$A:$A,0)),"⚠ not in catalog"))</f>
        <v/>
      </c>
      <c r="G829" s="12" t="str">
        <f aca="false">IF(A829="","",COUNTIFS('Weekly Log'!$A:$A,'Grocery List'!$B$3,'Weekly Log'!$C:$C,A829,'Weekly Log'!$E:$E,"Yes"))</f>
        <v/>
      </c>
      <c r="H829" s="12" t="str">
        <f aca="false">IF(OR(A829="",D829=""),"",D829*G829)</f>
        <v/>
      </c>
    </row>
    <row r="830" customFormat="false" ht="15" hidden="false" customHeight="false" outlineLevel="0" collapsed="false">
      <c r="B830" s="12" t="str">
        <f aca="false">IF(A830="","",IFERROR(INDEX(Recipes!$B:$B,MATCH(A830,Recipes!$A:$A,0)),"⚠ unknown recipe_id"))</f>
        <v/>
      </c>
      <c r="E830" s="12" t="str">
        <f aca="false">IF(C830="","",IFERROR(INDEX('Ingredient Catalog'!$C:$C,MATCH(C830,'Ingredient Catalog'!$A:$A,0)),"⚠ not in catalog"))</f>
        <v/>
      </c>
      <c r="G830" s="12" t="str">
        <f aca="false">IF(A830="","",COUNTIFS('Weekly Log'!$A:$A,'Grocery List'!$B$3,'Weekly Log'!$C:$C,A830,'Weekly Log'!$E:$E,"Yes"))</f>
        <v/>
      </c>
      <c r="H830" s="12" t="str">
        <f aca="false">IF(OR(A830="",D830=""),"",D830*G830)</f>
        <v/>
      </c>
    </row>
    <row r="831" customFormat="false" ht="15" hidden="false" customHeight="false" outlineLevel="0" collapsed="false">
      <c r="B831" s="12" t="str">
        <f aca="false">IF(A831="","",IFERROR(INDEX(Recipes!$B:$B,MATCH(A831,Recipes!$A:$A,0)),"⚠ unknown recipe_id"))</f>
        <v/>
      </c>
      <c r="E831" s="12" t="str">
        <f aca="false">IF(C831="","",IFERROR(INDEX('Ingredient Catalog'!$C:$C,MATCH(C831,'Ingredient Catalog'!$A:$A,0)),"⚠ not in catalog"))</f>
        <v/>
      </c>
      <c r="G831" s="12" t="str">
        <f aca="false">IF(A831="","",COUNTIFS('Weekly Log'!$A:$A,'Grocery List'!$B$3,'Weekly Log'!$C:$C,A831,'Weekly Log'!$E:$E,"Yes"))</f>
        <v/>
      </c>
      <c r="H831" s="12" t="str">
        <f aca="false">IF(OR(A831="",D831=""),"",D831*G831)</f>
        <v/>
      </c>
    </row>
    <row r="832" customFormat="false" ht="15" hidden="false" customHeight="false" outlineLevel="0" collapsed="false">
      <c r="B832" s="12" t="str">
        <f aca="false">IF(A832="","",IFERROR(INDEX(Recipes!$B:$B,MATCH(A832,Recipes!$A:$A,0)),"⚠ unknown recipe_id"))</f>
        <v/>
      </c>
      <c r="E832" s="12" t="str">
        <f aca="false">IF(C832="","",IFERROR(INDEX('Ingredient Catalog'!$C:$C,MATCH(C832,'Ingredient Catalog'!$A:$A,0)),"⚠ not in catalog"))</f>
        <v/>
      </c>
      <c r="G832" s="12" t="str">
        <f aca="false">IF(A832="","",COUNTIFS('Weekly Log'!$A:$A,'Grocery List'!$B$3,'Weekly Log'!$C:$C,A832,'Weekly Log'!$E:$E,"Yes"))</f>
        <v/>
      </c>
      <c r="H832" s="12" t="str">
        <f aca="false">IF(OR(A832="",D832=""),"",D832*G832)</f>
        <v/>
      </c>
    </row>
    <row r="833" customFormat="false" ht="15" hidden="false" customHeight="false" outlineLevel="0" collapsed="false">
      <c r="B833" s="12" t="str">
        <f aca="false">IF(A833="","",IFERROR(INDEX(Recipes!$B:$B,MATCH(A833,Recipes!$A:$A,0)),"⚠ unknown recipe_id"))</f>
        <v/>
      </c>
      <c r="E833" s="12" t="str">
        <f aca="false">IF(C833="","",IFERROR(INDEX('Ingredient Catalog'!$C:$C,MATCH(C833,'Ingredient Catalog'!$A:$A,0)),"⚠ not in catalog"))</f>
        <v/>
      </c>
      <c r="G833" s="12" t="str">
        <f aca="false">IF(A833="","",COUNTIFS('Weekly Log'!$A:$A,'Grocery List'!$B$3,'Weekly Log'!$C:$C,A833,'Weekly Log'!$E:$E,"Yes"))</f>
        <v/>
      </c>
      <c r="H833" s="12" t="str">
        <f aca="false">IF(OR(A833="",D833=""),"",D833*G833)</f>
        <v/>
      </c>
    </row>
    <row r="834" customFormat="false" ht="15" hidden="false" customHeight="false" outlineLevel="0" collapsed="false">
      <c r="B834" s="12" t="str">
        <f aca="false">IF(A834="","",IFERROR(INDEX(Recipes!$B:$B,MATCH(A834,Recipes!$A:$A,0)),"⚠ unknown recipe_id"))</f>
        <v/>
      </c>
      <c r="E834" s="12" t="str">
        <f aca="false">IF(C834="","",IFERROR(INDEX('Ingredient Catalog'!$C:$C,MATCH(C834,'Ingredient Catalog'!$A:$A,0)),"⚠ not in catalog"))</f>
        <v/>
      </c>
      <c r="G834" s="12" t="str">
        <f aca="false">IF(A834="","",COUNTIFS('Weekly Log'!$A:$A,'Grocery List'!$B$3,'Weekly Log'!$C:$C,A834,'Weekly Log'!$E:$E,"Yes"))</f>
        <v/>
      </c>
      <c r="H834" s="12" t="str">
        <f aca="false">IF(OR(A834="",D834=""),"",D834*G834)</f>
        <v/>
      </c>
    </row>
    <row r="835" customFormat="false" ht="15" hidden="false" customHeight="false" outlineLevel="0" collapsed="false">
      <c r="B835" s="12" t="str">
        <f aca="false">IF(A835="","",IFERROR(INDEX(Recipes!$B:$B,MATCH(A835,Recipes!$A:$A,0)),"⚠ unknown recipe_id"))</f>
        <v/>
      </c>
      <c r="E835" s="12" t="str">
        <f aca="false">IF(C835="","",IFERROR(INDEX('Ingredient Catalog'!$C:$C,MATCH(C835,'Ingredient Catalog'!$A:$A,0)),"⚠ not in catalog"))</f>
        <v/>
      </c>
      <c r="G835" s="12" t="str">
        <f aca="false">IF(A835="","",COUNTIFS('Weekly Log'!$A:$A,'Grocery List'!$B$3,'Weekly Log'!$C:$C,A835,'Weekly Log'!$E:$E,"Yes"))</f>
        <v/>
      </c>
      <c r="H835" s="12" t="str">
        <f aca="false">IF(OR(A835="",D835=""),"",D835*G835)</f>
        <v/>
      </c>
    </row>
    <row r="836" customFormat="false" ht="15" hidden="false" customHeight="false" outlineLevel="0" collapsed="false">
      <c r="B836" s="12" t="str">
        <f aca="false">IF(A836="","",IFERROR(INDEX(Recipes!$B:$B,MATCH(A836,Recipes!$A:$A,0)),"⚠ unknown recipe_id"))</f>
        <v/>
      </c>
      <c r="E836" s="12" t="str">
        <f aca="false">IF(C836="","",IFERROR(INDEX('Ingredient Catalog'!$C:$C,MATCH(C836,'Ingredient Catalog'!$A:$A,0)),"⚠ not in catalog"))</f>
        <v/>
      </c>
      <c r="G836" s="12" t="str">
        <f aca="false">IF(A836="","",COUNTIFS('Weekly Log'!$A:$A,'Grocery List'!$B$3,'Weekly Log'!$C:$C,A836,'Weekly Log'!$E:$E,"Yes"))</f>
        <v/>
      </c>
      <c r="H836" s="12" t="str">
        <f aca="false">IF(OR(A836="",D836=""),"",D836*G836)</f>
        <v/>
      </c>
    </row>
    <row r="837" customFormat="false" ht="15" hidden="false" customHeight="false" outlineLevel="0" collapsed="false">
      <c r="B837" s="12" t="str">
        <f aca="false">IF(A837="","",IFERROR(INDEX(Recipes!$B:$B,MATCH(A837,Recipes!$A:$A,0)),"⚠ unknown recipe_id"))</f>
        <v/>
      </c>
      <c r="E837" s="12" t="str">
        <f aca="false">IF(C837="","",IFERROR(INDEX('Ingredient Catalog'!$C:$C,MATCH(C837,'Ingredient Catalog'!$A:$A,0)),"⚠ not in catalog"))</f>
        <v/>
      </c>
      <c r="G837" s="12" t="str">
        <f aca="false">IF(A837="","",COUNTIFS('Weekly Log'!$A:$A,'Grocery List'!$B$3,'Weekly Log'!$C:$C,A837,'Weekly Log'!$E:$E,"Yes"))</f>
        <v/>
      </c>
      <c r="H837" s="12" t="str">
        <f aca="false">IF(OR(A837="",D837=""),"",D837*G837)</f>
        <v/>
      </c>
    </row>
    <row r="838" customFormat="false" ht="15" hidden="false" customHeight="false" outlineLevel="0" collapsed="false">
      <c r="B838" s="12" t="str">
        <f aca="false">IF(A838="","",IFERROR(INDEX(Recipes!$B:$B,MATCH(A838,Recipes!$A:$A,0)),"⚠ unknown recipe_id"))</f>
        <v/>
      </c>
      <c r="E838" s="12" t="str">
        <f aca="false">IF(C838="","",IFERROR(INDEX('Ingredient Catalog'!$C:$C,MATCH(C838,'Ingredient Catalog'!$A:$A,0)),"⚠ not in catalog"))</f>
        <v/>
      </c>
      <c r="G838" s="12" t="str">
        <f aca="false">IF(A838="","",COUNTIFS('Weekly Log'!$A:$A,'Grocery List'!$B$3,'Weekly Log'!$C:$C,A838,'Weekly Log'!$E:$E,"Yes"))</f>
        <v/>
      </c>
      <c r="H838" s="12" t="str">
        <f aca="false">IF(OR(A838="",D838=""),"",D838*G838)</f>
        <v/>
      </c>
    </row>
    <row r="839" customFormat="false" ht="15" hidden="false" customHeight="false" outlineLevel="0" collapsed="false">
      <c r="B839" s="12" t="str">
        <f aca="false">IF(A839="","",IFERROR(INDEX(Recipes!$B:$B,MATCH(A839,Recipes!$A:$A,0)),"⚠ unknown recipe_id"))</f>
        <v/>
      </c>
      <c r="E839" s="12" t="str">
        <f aca="false">IF(C839="","",IFERROR(INDEX('Ingredient Catalog'!$C:$C,MATCH(C839,'Ingredient Catalog'!$A:$A,0)),"⚠ not in catalog"))</f>
        <v/>
      </c>
      <c r="G839" s="12" t="str">
        <f aca="false">IF(A839="","",COUNTIFS('Weekly Log'!$A:$A,'Grocery List'!$B$3,'Weekly Log'!$C:$C,A839,'Weekly Log'!$E:$E,"Yes"))</f>
        <v/>
      </c>
      <c r="H839" s="12" t="str">
        <f aca="false">IF(OR(A839="",D839=""),"",D839*G839)</f>
        <v/>
      </c>
    </row>
    <row r="840" customFormat="false" ht="15" hidden="false" customHeight="false" outlineLevel="0" collapsed="false">
      <c r="B840" s="12" t="str">
        <f aca="false">IF(A840="","",IFERROR(INDEX(Recipes!$B:$B,MATCH(A840,Recipes!$A:$A,0)),"⚠ unknown recipe_id"))</f>
        <v/>
      </c>
      <c r="E840" s="12" t="str">
        <f aca="false">IF(C840="","",IFERROR(INDEX('Ingredient Catalog'!$C:$C,MATCH(C840,'Ingredient Catalog'!$A:$A,0)),"⚠ not in catalog"))</f>
        <v/>
      </c>
      <c r="G840" s="12" t="str">
        <f aca="false">IF(A840="","",COUNTIFS('Weekly Log'!$A:$A,'Grocery List'!$B$3,'Weekly Log'!$C:$C,A840,'Weekly Log'!$E:$E,"Yes"))</f>
        <v/>
      </c>
      <c r="H840" s="12" t="str">
        <f aca="false">IF(OR(A840="",D840=""),"",D840*G840)</f>
        <v/>
      </c>
    </row>
    <row r="841" customFormat="false" ht="15" hidden="false" customHeight="false" outlineLevel="0" collapsed="false">
      <c r="B841" s="12" t="str">
        <f aca="false">IF(A841="","",IFERROR(INDEX(Recipes!$B:$B,MATCH(A841,Recipes!$A:$A,0)),"⚠ unknown recipe_id"))</f>
        <v/>
      </c>
      <c r="E841" s="12" t="str">
        <f aca="false">IF(C841="","",IFERROR(INDEX('Ingredient Catalog'!$C:$C,MATCH(C841,'Ingredient Catalog'!$A:$A,0)),"⚠ not in catalog"))</f>
        <v/>
      </c>
      <c r="G841" s="12" t="str">
        <f aca="false">IF(A841="","",COUNTIFS('Weekly Log'!$A:$A,'Grocery List'!$B$3,'Weekly Log'!$C:$C,A841,'Weekly Log'!$E:$E,"Yes"))</f>
        <v/>
      </c>
      <c r="H841" s="12" t="str">
        <f aca="false">IF(OR(A841="",D841=""),"",D841*G841)</f>
        <v/>
      </c>
    </row>
    <row r="842" customFormat="false" ht="15" hidden="false" customHeight="false" outlineLevel="0" collapsed="false">
      <c r="B842" s="12" t="str">
        <f aca="false">IF(A842="","",IFERROR(INDEX(Recipes!$B:$B,MATCH(A842,Recipes!$A:$A,0)),"⚠ unknown recipe_id"))</f>
        <v/>
      </c>
      <c r="E842" s="12" t="str">
        <f aca="false">IF(C842="","",IFERROR(INDEX('Ingredient Catalog'!$C:$C,MATCH(C842,'Ingredient Catalog'!$A:$A,0)),"⚠ not in catalog"))</f>
        <v/>
      </c>
      <c r="G842" s="12" t="str">
        <f aca="false">IF(A842="","",COUNTIFS('Weekly Log'!$A:$A,'Grocery List'!$B$3,'Weekly Log'!$C:$C,A842,'Weekly Log'!$E:$E,"Yes"))</f>
        <v/>
      </c>
      <c r="H842" s="12" t="str">
        <f aca="false">IF(OR(A842="",D842=""),"",D842*G842)</f>
        <v/>
      </c>
    </row>
    <row r="843" customFormat="false" ht="15" hidden="false" customHeight="false" outlineLevel="0" collapsed="false">
      <c r="B843" s="12" t="str">
        <f aca="false">IF(A843="","",IFERROR(INDEX(Recipes!$B:$B,MATCH(A843,Recipes!$A:$A,0)),"⚠ unknown recipe_id"))</f>
        <v/>
      </c>
      <c r="E843" s="12" t="str">
        <f aca="false">IF(C843="","",IFERROR(INDEX('Ingredient Catalog'!$C:$C,MATCH(C843,'Ingredient Catalog'!$A:$A,0)),"⚠ not in catalog"))</f>
        <v/>
      </c>
      <c r="G843" s="12" t="str">
        <f aca="false">IF(A843="","",COUNTIFS('Weekly Log'!$A:$A,'Grocery List'!$B$3,'Weekly Log'!$C:$C,A843,'Weekly Log'!$E:$E,"Yes"))</f>
        <v/>
      </c>
      <c r="H843" s="12" t="str">
        <f aca="false">IF(OR(A843="",D843=""),"",D843*G843)</f>
        <v/>
      </c>
    </row>
    <row r="844" customFormat="false" ht="15" hidden="false" customHeight="false" outlineLevel="0" collapsed="false">
      <c r="B844" s="12" t="str">
        <f aca="false">IF(A844="","",IFERROR(INDEX(Recipes!$B:$B,MATCH(A844,Recipes!$A:$A,0)),"⚠ unknown recipe_id"))</f>
        <v/>
      </c>
      <c r="E844" s="12" t="str">
        <f aca="false">IF(C844="","",IFERROR(INDEX('Ingredient Catalog'!$C:$C,MATCH(C844,'Ingredient Catalog'!$A:$A,0)),"⚠ not in catalog"))</f>
        <v/>
      </c>
      <c r="G844" s="12" t="str">
        <f aca="false">IF(A844="","",COUNTIFS('Weekly Log'!$A:$A,'Grocery List'!$B$3,'Weekly Log'!$C:$C,A844,'Weekly Log'!$E:$E,"Yes"))</f>
        <v/>
      </c>
      <c r="H844" s="12" t="str">
        <f aca="false">IF(OR(A844="",D844=""),"",D844*G844)</f>
        <v/>
      </c>
    </row>
    <row r="845" customFormat="false" ht="15" hidden="false" customHeight="false" outlineLevel="0" collapsed="false">
      <c r="B845" s="12" t="str">
        <f aca="false">IF(A845="","",IFERROR(INDEX(Recipes!$B:$B,MATCH(A845,Recipes!$A:$A,0)),"⚠ unknown recipe_id"))</f>
        <v/>
      </c>
      <c r="E845" s="12" t="str">
        <f aca="false">IF(C845="","",IFERROR(INDEX('Ingredient Catalog'!$C:$C,MATCH(C845,'Ingredient Catalog'!$A:$A,0)),"⚠ not in catalog"))</f>
        <v/>
      </c>
      <c r="G845" s="12" t="str">
        <f aca="false">IF(A845="","",COUNTIFS('Weekly Log'!$A:$A,'Grocery List'!$B$3,'Weekly Log'!$C:$C,A845,'Weekly Log'!$E:$E,"Yes"))</f>
        <v/>
      </c>
      <c r="H845" s="12" t="str">
        <f aca="false">IF(OR(A845="",D845=""),"",D845*G845)</f>
        <v/>
      </c>
    </row>
    <row r="846" customFormat="false" ht="15" hidden="false" customHeight="false" outlineLevel="0" collapsed="false">
      <c r="B846" s="12" t="str">
        <f aca="false">IF(A846="","",IFERROR(INDEX(Recipes!$B:$B,MATCH(A846,Recipes!$A:$A,0)),"⚠ unknown recipe_id"))</f>
        <v/>
      </c>
      <c r="E846" s="12" t="str">
        <f aca="false">IF(C846="","",IFERROR(INDEX('Ingredient Catalog'!$C:$C,MATCH(C846,'Ingredient Catalog'!$A:$A,0)),"⚠ not in catalog"))</f>
        <v/>
      </c>
      <c r="G846" s="12" t="str">
        <f aca="false">IF(A846="","",COUNTIFS('Weekly Log'!$A:$A,'Grocery List'!$B$3,'Weekly Log'!$C:$C,A846,'Weekly Log'!$E:$E,"Yes"))</f>
        <v/>
      </c>
      <c r="H846" s="12" t="str">
        <f aca="false">IF(OR(A846="",D846=""),"",D846*G846)</f>
        <v/>
      </c>
    </row>
    <row r="847" customFormat="false" ht="15" hidden="false" customHeight="false" outlineLevel="0" collapsed="false">
      <c r="B847" s="12" t="str">
        <f aca="false">IF(A847="","",IFERROR(INDEX(Recipes!$B:$B,MATCH(A847,Recipes!$A:$A,0)),"⚠ unknown recipe_id"))</f>
        <v/>
      </c>
      <c r="E847" s="12" t="str">
        <f aca="false">IF(C847="","",IFERROR(INDEX('Ingredient Catalog'!$C:$C,MATCH(C847,'Ingredient Catalog'!$A:$A,0)),"⚠ not in catalog"))</f>
        <v/>
      </c>
      <c r="G847" s="12" t="str">
        <f aca="false">IF(A847="","",COUNTIFS('Weekly Log'!$A:$A,'Grocery List'!$B$3,'Weekly Log'!$C:$C,A847,'Weekly Log'!$E:$E,"Yes"))</f>
        <v/>
      </c>
      <c r="H847" s="12" t="str">
        <f aca="false">IF(OR(A847="",D847=""),"",D847*G847)</f>
        <v/>
      </c>
    </row>
    <row r="848" customFormat="false" ht="15" hidden="false" customHeight="false" outlineLevel="0" collapsed="false">
      <c r="B848" s="12" t="str">
        <f aca="false">IF(A848="","",IFERROR(INDEX(Recipes!$B:$B,MATCH(A848,Recipes!$A:$A,0)),"⚠ unknown recipe_id"))</f>
        <v/>
      </c>
      <c r="E848" s="12" t="str">
        <f aca="false">IF(C848="","",IFERROR(INDEX('Ingredient Catalog'!$C:$C,MATCH(C848,'Ingredient Catalog'!$A:$A,0)),"⚠ not in catalog"))</f>
        <v/>
      </c>
      <c r="G848" s="12" t="str">
        <f aca="false">IF(A848="","",COUNTIFS('Weekly Log'!$A:$A,'Grocery List'!$B$3,'Weekly Log'!$C:$C,A848,'Weekly Log'!$E:$E,"Yes"))</f>
        <v/>
      </c>
      <c r="H848" s="12" t="str">
        <f aca="false">IF(OR(A848="",D848=""),"",D848*G848)</f>
        <v/>
      </c>
    </row>
    <row r="849" customFormat="false" ht="15" hidden="false" customHeight="false" outlineLevel="0" collapsed="false">
      <c r="B849" s="12" t="str">
        <f aca="false">IF(A849="","",IFERROR(INDEX(Recipes!$B:$B,MATCH(A849,Recipes!$A:$A,0)),"⚠ unknown recipe_id"))</f>
        <v/>
      </c>
      <c r="E849" s="12" t="str">
        <f aca="false">IF(C849="","",IFERROR(INDEX('Ingredient Catalog'!$C:$C,MATCH(C849,'Ingredient Catalog'!$A:$A,0)),"⚠ not in catalog"))</f>
        <v/>
      </c>
      <c r="G849" s="12" t="str">
        <f aca="false">IF(A849="","",COUNTIFS('Weekly Log'!$A:$A,'Grocery List'!$B$3,'Weekly Log'!$C:$C,A849,'Weekly Log'!$E:$E,"Yes"))</f>
        <v/>
      </c>
      <c r="H849" s="12" t="str">
        <f aca="false">IF(OR(A849="",D849=""),"",D849*G849)</f>
        <v/>
      </c>
    </row>
    <row r="850" customFormat="false" ht="15" hidden="false" customHeight="false" outlineLevel="0" collapsed="false">
      <c r="B850" s="12" t="str">
        <f aca="false">IF(A850="","",IFERROR(INDEX(Recipes!$B:$B,MATCH(A850,Recipes!$A:$A,0)),"⚠ unknown recipe_id"))</f>
        <v/>
      </c>
      <c r="E850" s="12" t="str">
        <f aca="false">IF(C850="","",IFERROR(INDEX('Ingredient Catalog'!$C:$C,MATCH(C850,'Ingredient Catalog'!$A:$A,0)),"⚠ not in catalog"))</f>
        <v/>
      </c>
      <c r="G850" s="12" t="str">
        <f aca="false">IF(A850="","",COUNTIFS('Weekly Log'!$A:$A,'Grocery List'!$B$3,'Weekly Log'!$C:$C,A850,'Weekly Log'!$E:$E,"Yes"))</f>
        <v/>
      </c>
      <c r="H850" s="12" t="str">
        <f aca="false">IF(OR(A850="",D850=""),"",D850*G850)</f>
        <v/>
      </c>
    </row>
    <row r="851" customFormat="false" ht="15" hidden="false" customHeight="false" outlineLevel="0" collapsed="false">
      <c r="B851" s="12" t="str">
        <f aca="false">IF(A851="","",IFERROR(INDEX(Recipes!$B:$B,MATCH(A851,Recipes!$A:$A,0)),"⚠ unknown recipe_id"))</f>
        <v/>
      </c>
      <c r="E851" s="12" t="str">
        <f aca="false">IF(C851="","",IFERROR(INDEX('Ingredient Catalog'!$C:$C,MATCH(C851,'Ingredient Catalog'!$A:$A,0)),"⚠ not in catalog"))</f>
        <v/>
      </c>
      <c r="G851" s="12" t="str">
        <f aca="false">IF(A851="","",COUNTIFS('Weekly Log'!$A:$A,'Grocery List'!$B$3,'Weekly Log'!$C:$C,A851,'Weekly Log'!$E:$E,"Yes"))</f>
        <v/>
      </c>
      <c r="H851" s="12" t="str">
        <f aca="false">IF(OR(A851="",D851=""),"",D851*G851)</f>
        <v/>
      </c>
    </row>
    <row r="852" customFormat="false" ht="15" hidden="false" customHeight="false" outlineLevel="0" collapsed="false">
      <c r="B852" s="12" t="str">
        <f aca="false">IF(A852="","",IFERROR(INDEX(Recipes!$B:$B,MATCH(A852,Recipes!$A:$A,0)),"⚠ unknown recipe_id"))</f>
        <v/>
      </c>
      <c r="E852" s="12" t="str">
        <f aca="false">IF(C852="","",IFERROR(INDEX('Ingredient Catalog'!$C:$C,MATCH(C852,'Ingredient Catalog'!$A:$A,0)),"⚠ not in catalog"))</f>
        <v/>
      </c>
      <c r="G852" s="12" t="str">
        <f aca="false">IF(A852="","",COUNTIFS('Weekly Log'!$A:$A,'Grocery List'!$B$3,'Weekly Log'!$C:$C,A852,'Weekly Log'!$E:$E,"Yes"))</f>
        <v/>
      </c>
      <c r="H852" s="12" t="str">
        <f aca="false">IF(OR(A852="",D852=""),"",D852*G852)</f>
        <v/>
      </c>
    </row>
    <row r="853" customFormat="false" ht="15" hidden="false" customHeight="false" outlineLevel="0" collapsed="false">
      <c r="B853" s="12" t="str">
        <f aca="false">IF(A853="","",IFERROR(INDEX(Recipes!$B:$B,MATCH(A853,Recipes!$A:$A,0)),"⚠ unknown recipe_id"))</f>
        <v/>
      </c>
      <c r="E853" s="12" t="str">
        <f aca="false">IF(C853="","",IFERROR(INDEX('Ingredient Catalog'!$C:$C,MATCH(C853,'Ingredient Catalog'!$A:$A,0)),"⚠ not in catalog"))</f>
        <v/>
      </c>
      <c r="G853" s="12" t="str">
        <f aca="false">IF(A853="","",COUNTIFS('Weekly Log'!$A:$A,'Grocery List'!$B$3,'Weekly Log'!$C:$C,A853,'Weekly Log'!$E:$E,"Yes"))</f>
        <v/>
      </c>
      <c r="H853" s="12" t="str">
        <f aca="false">IF(OR(A853="",D853=""),"",D853*G853)</f>
        <v/>
      </c>
    </row>
    <row r="854" customFormat="false" ht="15" hidden="false" customHeight="false" outlineLevel="0" collapsed="false">
      <c r="B854" s="12" t="str">
        <f aca="false">IF(A854="","",IFERROR(INDEX(Recipes!$B:$B,MATCH(A854,Recipes!$A:$A,0)),"⚠ unknown recipe_id"))</f>
        <v/>
      </c>
      <c r="E854" s="12" t="str">
        <f aca="false">IF(C854="","",IFERROR(INDEX('Ingredient Catalog'!$C:$C,MATCH(C854,'Ingredient Catalog'!$A:$A,0)),"⚠ not in catalog"))</f>
        <v/>
      </c>
      <c r="G854" s="12" t="str">
        <f aca="false">IF(A854="","",COUNTIFS('Weekly Log'!$A:$A,'Grocery List'!$B$3,'Weekly Log'!$C:$C,A854,'Weekly Log'!$E:$E,"Yes"))</f>
        <v/>
      </c>
      <c r="H854" s="12" t="str">
        <f aca="false">IF(OR(A854="",D854=""),"",D854*G854)</f>
        <v/>
      </c>
    </row>
    <row r="855" customFormat="false" ht="15" hidden="false" customHeight="false" outlineLevel="0" collapsed="false">
      <c r="B855" s="12" t="str">
        <f aca="false">IF(A855="","",IFERROR(INDEX(Recipes!$B:$B,MATCH(A855,Recipes!$A:$A,0)),"⚠ unknown recipe_id"))</f>
        <v/>
      </c>
      <c r="E855" s="12" t="str">
        <f aca="false">IF(C855="","",IFERROR(INDEX('Ingredient Catalog'!$C:$C,MATCH(C855,'Ingredient Catalog'!$A:$A,0)),"⚠ not in catalog"))</f>
        <v/>
      </c>
      <c r="G855" s="12" t="str">
        <f aca="false">IF(A855="","",COUNTIFS('Weekly Log'!$A:$A,'Grocery List'!$B$3,'Weekly Log'!$C:$C,A855,'Weekly Log'!$E:$E,"Yes"))</f>
        <v/>
      </c>
      <c r="H855" s="12" t="str">
        <f aca="false">IF(OR(A855="",D855=""),"",D855*G855)</f>
        <v/>
      </c>
    </row>
    <row r="856" customFormat="false" ht="15" hidden="false" customHeight="false" outlineLevel="0" collapsed="false">
      <c r="B856" s="12" t="str">
        <f aca="false">IF(A856="","",IFERROR(INDEX(Recipes!$B:$B,MATCH(A856,Recipes!$A:$A,0)),"⚠ unknown recipe_id"))</f>
        <v/>
      </c>
      <c r="E856" s="12" t="str">
        <f aca="false">IF(C856="","",IFERROR(INDEX('Ingredient Catalog'!$C:$C,MATCH(C856,'Ingredient Catalog'!$A:$A,0)),"⚠ not in catalog"))</f>
        <v/>
      </c>
      <c r="G856" s="12" t="str">
        <f aca="false">IF(A856="","",COUNTIFS('Weekly Log'!$A:$A,'Grocery List'!$B$3,'Weekly Log'!$C:$C,A856,'Weekly Log'!$E:$E,"Yes"))</f>
        <v/>
      </c>
      <c r="H856" s="12" t="str">
        <f aca="false">IF(OR(A856="",D856=""),"",D856*G856)</f>
        <v/>
      </c>
    </row>
    <row r="857" customFormat="false" ht="15" hidden="false" customHeight="false" outlineLevel="0" collapsed="false">
      <c r="B857" s="12" t="str">
        <f aca="false">IF(A857="","",IFERROR(INDEX(Recipes!$B:$B,MATCH(A857,Recipes!$A:$A,0)),"⚠ unknown recipe_id"))</f>
        <v/>
      </c>
      <c r="E857" s="12" t="str">
        <f aca="false">IF(C857="","",IFERROR(INDEX('Ingredient Catalog'!$C:$C,MATCH(C857,'Ingredient Catalog'!$A:$A,0)),"⚠ not in catalog"))</f>
        <v/>
      </c>
      <c r="G857" s="12" t="str">
        <f aca="false">IF(A857="","",COUNTIFS('Weekly Log'!$A:$A,'Grocery List'!$B$3,'Weekly Log'!$C:$C,A857,'Weekly Log'!$E:$E,"Yes"))</f>
        <v/>
      </c>
      <c r="H857" s="12" t="str">
        <f aca="false">IF(OR(A857="",D857=""),"",D857*G857)</f>
        <v/>
      </c>
    </row>
    <row r="858" customFormat="false" ht="15" hidden="false" customHeight="false" outlineLevel="0" collapsed="false">
      <c r="B858" s="12" t="str">
        <f aca="false">IF(A858="","",IFERROR(INDEX(Recipes!$B:$B,MATCH(A858,Recipes!$A:$A,0)),"⚠ unknown recipe_id"))</f>
        <v/>
      </c>
      <c r="E858" s="12" t="str">
        <f aca="false">IF(C858="","",IFERROR(INDEX('Ingredient Catalog'!$C:$C,MATCH(C858,'Ingredient Catalog'!$A:$A,0)),"⚠ not in catalog"))</f>
        <v/>
      </c>
      <c r="G858" s="12" t="str">
        <f aca="false">IF(A858="","",COUNTIFS('Weekly Log'!$A:$A,'Grocery List'!$B$3,'Weekly Log'!$C:$C,A858,'Weekly Log'!$E:$E,"Yes"))</f>
        <v/>
      </c>
      <c r="H858" s="12" t="str">
        <f aca="false">IF(OR(A858="",D858=""),"",D858*G858)</f>
        <v/>
      </c>
    </row>
    <row r="859" customFormat="false" ht="15" hidden="false" customHeight="false" outlineLevel="0" collapsed="false">
      <c r="B859" s="12" t="str">
        <f aca="false">IF(A859="","",IFERROR(INDEX(Recipes!$B:$B,MATCH(A859,Recipes!$A:$A,0)),"⚠ unknown recipe_id"))</f>
        <v/>
      </c>
      <c r="E859" s="12" t="str">
        <f aca="false">IF(C859="","",IFERROR(INDEX('Ingredient Catalog'!$C:$C,MATCH(C859,'Ingredient Catalog'!$A:$A,0)),"⚠ not in catalog"))</f>
        <v/>
      </c>
      <c r="G859" s="12" t="str">
        <f aca="false">IF(A859="","",COUNTIFS('Weekly Log'!$A:$A,'Grocery List'!$B$3,'Weekly Log'!$C:$C,A859,'Weekly Log'!$E:$E,"Yes"))</f>
        <v/>
      </c>
      <c r="H859" s="12" t="str">
        <f aca="false">IF(OR(A859="",D859=""),"",D859*G859)</f>
        <v/>
      </c>
    </row>
    <row r="860" customFormat="false" ht="15" hidden="false" customHeight="false" outlineLevel="0" collapsed="false">
      <c r="B860" s="12" t="str">
        <f aca="false">IF(A860="","",IFERROR(INDEX(Recipes!$B:$B,MATCH(A860,Recipes!$A:$A,0)),"⚠ unknown recipe_id"))</f>
        <v/>
      </c>
      <c r="E860" s="12" t="str">
        <f aca="false">IF(C860="","",IFERROR(INDEX('Ingredient Catalog'!$C:$C,MATCH(C860,'Ingredient Catalog'!$A:$A,0)),"⚠ not in catalog"))</f>
        <v/>
      </c>
      <c r="G860" s="12" t="str">
        <f aca="false">IF(A860="","",COUNTIFS('Weekly Log'!$A:$A,'Grocery List'!$B$3,'Weekly Log'!$C:$C,A860,'Weekly Log'!$E:$E,"Yes"))</f>
        <v/>
      </c>
      <c r="H860" s="12" t="str">
        <f aca="false">IF(OR(A860="",D860=""),"",D860*G860)</f>
        <v/>
      </c>
    </row>
    <row r="861" customFormat="false" ht="15" hidden="false" customHeight="false" outlineLevel="0" collapsed="false">
      <c r="B861" s="12" t="str">
        <f aca="false">IF(A861="","",IFERROR(INDEX(Recipes!$B:$B,MATCH(A861,Recipes!$A:$A,0)),"⚠ unknown recipe_id"))</f>
        <v/>
      </c>
      <c r="E861" s="12" t="str">
        <f aca="false">IF(C861="","",IFERROR(INDEX('Ingredient Catalog'!$C:$C,MATCH(C861,'Ingredient Catalog'!$A:$A,0)),"⚠ not in catalog"))</f>
        <v/>
      </c>
      <c r="G861" s="12" t="str">
        <f aca="false">IF(A861="","",COUNTIFS('Weekly Log'!$A:$A,'Grocery List'!$B$3,'Weekly Log'!$C:$C,A861,'Weekly Log'!$E:$E,"Yes"))</f>
        <v/>
      </c>
      <c r="H861" s="12" t="str">
        <f aca="false">IF(OR(A861="",D861=""),"",D861*G861)</f>
        <v/>
      </c>
    </row>
    <row r="862" customFormat="false" ht="15" hidden="false" customHeight="false" outlineLevel="0" collapsed="false">
      <c r="B862" s="12" t="str">
        <f aca="false">IF(A862="","",IFERROR(INDEX(Recipes!$B:$B,MATCH(A862,Recipes!$A:$A,0)),"⚠ unknown recipe_id"))</f>
        <v/>
      </c>
      <c r="E862" s="12" t="str">
        <f aca="false">IF(C862="","",IFERROR(INDEX('Ingredient Catalog'!$C:$C,MATCH(C862,'Ingredient Catalog'!$A:$A,0)),"⚠ not in catalog"))</f>
        <v/>
      </c>
      <c r="G862" s="12" t="str">
        <f aca="false">IF(A862="","",COUNTIFS('Weekly Log'!$A:$A,'Grocery List'!$B$3,'Weekly Log'!$C:$C,A862,'Weekly Log'!$E:$E,"Yes"))</f>
        <v/>
      </c>
      <c r="H862" s="12" t="str">
        <f aca="false">IF(OR(A862="",D862=""),"",D862*G862)</f>
        <v/>
      </c>
    </row>
    <row r="863" customFormat="false" ht="15" hidden="false" customHeight="false" outlineLevel="0" collapsed="false">
      <c r="B863" s="12" t="str">
        <f aca="false">IF(A863="","",IFERROR(INDEX(Recipes!$B:$B,MATCH(A863,Recipes!$A:$A,0)),"⚠ unknown recipe_id"))</f>
        <v/>
      </c>
      <c r="E863" s="12" t="str">
        <f aca="false">IF(C863="","",IFERROR(INDEX('Ingredient Catalog'!$C:$C,MATCH(C863,'Ingredient Catalog'!$A:$A,0)),"⚠ not in catalog"))</f>
        <v/>
      </c>
      <c r="G863" s="12" t="str">
        <f aca="false">IF(A863="","",COUNTIFS('Weekly Log'!$A:$A,'Grocery List'!$B$3,'Weekly Log'!$C:$C,A863,'Weekly Log'!$E:$E,"Yes"))</f>
        <v/>
      </c>
      <c r="H863" s="12" t="str">
        <f aca="false">IF(OR(A863="",D863=""),"",D863*G863)</f>
        <v/>
      </c>
    </row>
    <row r="864" customFormat="false" ht="15" hidden="false" customHeight="false" outlineLevel="0" collapsed="false">
      <c r="B864" s="12" t="str">
        <f aca="false">IF(A864="","",IFERROR(INDEX(Recipes!$B:$B,MATCH(A864,Recipes!$A:$A,0)),"⚠ unknown recipe_id"))</f>
        <v/>
      </c>
      <c r="E864" s="12" t="str">
        <f aca="false">IF(C864="","",IFERROR(INDEX('Ingredient Catalog'!$C:$C,MATCH(C864,'Ingredient Catalog'!$A:$A,0)),"⚠ not in catalog"))</f>
        <v/>
      </c>
      <c r="G864" s="12" t="str">
        <f aca="false">IF(A864="","",COUNTIFS('Weekly Log'!$A:$A,'Grocery List'!$B$3,'Weekly Log'!$C:$C,A864,'Weekly Log'!$E:$E,"Yes"))</f>
        <v/>
      </c>
      <c r="H864" s="12" t="str">
        <f aca="false">IF(OR(A864="",D864=""),"",D864*G864)</f>
        <v/>
      </c>
    </row>
    <row r="865" customFormat="false" ht="15" hidden="false" customHeight="false" outlineLevel="0" collapsed="false">
      <c r="B865" s="12" t="str">
        <f aca="false">IF(A865="","",IFERROR(INDEX(Recipes!$B:$B,MATCH(A865,Recipes!$A:$A,0)),"⚠ unknown recipe_id"))</f>
        <v/>
      </c>
      <c r="E865" s="12" t="str">
        <f aca="false">IF(C865="","",IFERROR(INDEX('Ingredient Catalog'!$C:$C,MATCH(C865,'Ingredient Catalog'!$A:$A,0)),"⚠ not in catalog"))</f>
        <v/>
      </c>
      <c r="G865" s="12" t="str">
        <f aca="false">IF(A865="","",COUNTIFS('Weekly Log'!$A:$A,'Grocery List'!$B$3,'Weekly Log'!$C:$C,A865,'Weekly Log'!$E:$E,"Yes"))</f>
        <v/>
      </c>
      <c r="H865" s="12" t="str">
        <f aca="false">IF(OR(A865="",D865=""),"",D865*G865)</f>
        <v/>
      </c>
    </row>
    <row r="866" customFormat="false" ht="15" hidden="false" customHeight="false" outlineLevel="0" collapsed="false">
      <c r="B866" s="12" t="str">
        <f aca="false">IF(A866="","",IFERROR(INDEX(Recipes!$B:$B,MATCH(A866,Recipes!$A:$A,0)),"⚠ unknown recipe_id"))</f>
        <v/>
      </c>
      <c r="E866" s="12" t="str">
        <f aca="false">IF(C866="","",IFERROR(INDEX('Ingredient Catalog'!$C:$C,MATCH(C866,'Ingredient Catalog'!$A:$A,0)),"⚠ not in catalog"))</f>
        <v/>
      </c>
      <c r="G866" s="12" t="str">
        <f aca="false">IF(A866="","",COUNTIFS('Weekly Log'!$A:$A,'Grocery List'!$B$3,'Weekly Log'!$C:$C,A866,'Weekly Log'!$E:$E,"Yes"))</f>
        <v/>
      </c>
      <c r="H866" s="12" t="str">
        <f aca="false">IF(OR(A866="",D866=""),"",D866*G866)</f>
        <v/>
      </c>
    </row>
    <row r="867" customFormat="false" ht="15" hidden="false" customHeight="false" outlineLevel="0" collapsed="false">
      <c r="B867" s="12" t="str">
        <f aca="false">IF(A867="","",IFERROR(INDEX(Recipes!$B:$B,MATCH(A867,Recipes!$A:$A,0)),"⚠ unknown recipe_id"))</f>
        <v/>
      </c>
      <c r="E867" s="12" t="str">
        <f aca="false">IF(C867="","",IFERROR(INDEX('Ingredient Catalog'!$C:$C,MATCH(C867,'Ingredient Catalog'!$A:$A,0)),"⚠ not in catalog"))</f>
        <v/>
      </c>
      <c r="G867" s="12" t="str">
        <f aca="false">IF(A867="","",COUNTIFS('Weekly Log'!$A:$A,'Grocery List'!$B$3,'Weekly Log'!$C:$C,A867,'Weekly Log'!$E:$E,"Yes"))</f>
        <v/>
      </c>
      <c r="H867" s="12" t="str">
        <f aca="false">IF(OR(A867="",D867=""),"",D867*G867)</f>
        <v/>
      </c>
    </row>
    <row r="868" customFormat="false" ht="15" hidden="false" customHeight="false" outlineLevel="0" collapsed="false">
      <c r="B868" s="12" t="str">
        <f aca="false">IF(A868="","",IFERROR(INDEX(Recipes!$B:$B,MATCH(A868,Recipes!$A:$A,0)),"⚠ unknown recipe_id"))</f>
        <v/>
      </c>
      <c r="E868" s="12" t="str">
        <f aca="false">IF(C868="","",IFERROR(INDEX('Ingredient Catalog'!$C:$C,MATCH(C868,'Ingredient Catalog'!$A:$A,0)),"⚠ not in catalog"))</f>
        <v/>
      </c>
      <c r="G868" s="12" t="str">
        <f aca="false">IF(A868="","",COUNTIFS('Weekly Log'!$A:$A,'Grocery List'!$B$3,'Weekly Log'!$C:$C,A868,'Weekly Log'!$E:$E,"Yes"))</f>
        <v/>
      </c>
      <c r="H868" s="12" t="str">
        <f aca="false">IF(OR(A868="",D868=""),"",D868*G868)</f>
        <v/>
      </c>
    </row>
    <row r="869" customFormat="false" ht="15" hidden="false" customHeight="false" outlineLevel="0" collapsed="false">
      <c r="B869" s="12" t="str">
        <f aca="false">IF(A869="","",IFERROR(INDEX(Recipes!$B:$B,MATCH(A869,Recipes!$A:$A,0)),"⚠ unknown recipe_id"))</f>
        <v/>
      </c>
      <c r="E869" s="12" t="str">
        <f aca="false">IF(C869="","",IFERROR(INDEX('Ingredient Catalog'!$C:$C,MATCH(C869,'Ingredient Catalog'!$A:$A,0)),"⚠ not in catalog"))</f>
        <v/>
      </c>
      <c r="G869" s="12" t="str">
        <f aca="false">IF(A869="","",COUNTIFS('Weekly Log'!$A:$A,'Grocery List'!$B$3,'Weekly Log'!$C:$C,A869,'Weekly Log'!$E:$E,"Yes"))</f>
        <v/>
      </c>
      <c r="H869" s="12" t="str">
        <f aca="false">IF(OR(A869="",D869=""),"",D869*G869)</f>
        <v/>
      </c>
    </row>
    <row r="870" customFormat="false" ht="15" hidden="false" customHeight="false" outlineLevel="0" collapsed="false">
      <c r="B870" s="12" t="str">
        <f aca="false">IF(A870="","",IFERROR(INDEX(Recipes!$B:$B,MATCH(A870,Recipes!$A:$A,0)),"⚠ unknown recipe_id"))</f>
        <v/>
      </c>
      <c r="E870" s="12" t="str">
        <f aca="false">IF(C870="","",IFERROR(INDEX('Ingredient Catalog'!$C:$C,MATCH(C870,'Ingredient Catalog'!$A:$A,0)),"⚠ not in catalog"))</f>
        <v/>
      </c>
      <c r="G870" s="12" t="str">
        <f aca="false">IF(A870="","",COUNTIFS('Weekly Log'!$A:$A,'Grocery List'!$B$3,'Weekly Log'!$C:$C,A870,'Weekly Log'!$E:$E,"Yes"))</f>
        <v/>
      </c>
      <c r="H870" s="12" t="str">
        <f aca="false">IF(OR(A870="",D870=""),"",D870*G870)</f>
        <v/>
      </c>
    </row>
    <row r="871" customFormat="false" ht="15" hidden="false" customHeight="false" outlineLevel="0" collapsed="false">
      <c r="B871" s="12" t="str">
        <f aca="false">IF(A871="","",IFERROR(INDEX(Recipes!$B:$B,MATCH(A871,Recipes!$A:$A,0)),"⚠ unknown recipe_id"))</f>
        <v/>
      </c>
      <c r="E871" s="12" t="str">
        <f aca="false">IF(C871="","",IFERROR(INDEX('Ingredient Catalog'!$C:$C,MATCH(C871,'Ingredient Catalog'!$A:$A,0)),"⚠ not in catalog"))</f>
        <v/>
      </c>
      <c r="G871" s="12" t="str">
        <f aca="false">IF(A871="","",COUNTIFS('Weekly Log'!$A:$A,'Grocery List'!$B$3,'Weekly Log'!$C:$C,A871,'Weekly Log'!$E:$E,"Yes"))</f>
        <v/>
      </c>
      <c r="H871" s="12" t="str">
        <f aca="false">IF(OR(A871="",D871=""),"",D871*G871)</f>
        <v/>
      </c>
    </row>
    <row r="872" customFormat="false" ht="15" hidden="false" customHeight="false" outlineLevel="0" collapsed="false">
      <c r="B872" s="12" t="str">
        <f aca="false">IF(A872="","",IFERROR(INDEX(Recipes!$B:$B,MATCH(A872,Recipes!$A:$A,0)),"⚠ unknown recipe_id"))</f>
        <v/>
      </c>
      <c r="E872" s="12" t="str">
        <f aca="false">IF(C872="","",IFERROR(INDEX('Ingredient Catalog'!$C:$C,MATCH(C872,'Ingredient Catalog'!$A:$A,0)),"⚠ not in catalog"))</f>
        <v/>
      </c>
      <c r="G872" s="12" t="str">
        <f aca="false">IF(A872="","",COUNTIFS('Weekly Log'!$A:$A,'Grocery List'!$B$3,'Weekly Log'!$C:$C,A872,'Weekly Log'!$E:$E,"Yes"))</f>
        <v/>
      </c>
      <c r="H872" s="12" t="str">
        <f aca="false">IF(OR(A872="",D872=""),"",D872*G872)</f>
        <v/>
      </c>
    </row>
    <row r="873" customFormat="false" ht="15" hidden="false" customHeight="false" outlineLevel="0" collapsed="false">
      <c r="B873" s="12" t="str">
        <f aca="false">IF(A873="","",IFERROR(INDEX(Recipes!$B:$B,MATCH(A873,Recipes!$A:$A,0)),"⚠ unknown recipe_id"))</f>
        <v/>
      </c>
      <c r="E873" s="12" t="str">
        <f aca="false">IF(C873="","",IFERROR(INDEX('Ingredient Catalog'!$C:$C,MATCH(C873,'Ingredient Catalog'!$A:$A,0)),"⚠ not in catalog"))</f>
        <v/>
      </c>
      <c r="G873" s="12" t="str">
        <f aca="false">IF(A873="","",COUNTIFS('Weekly Log'!$A:$A,'Grocery List'!$B$3,'Weekly Log'!$C:$C,A873,'Weekly Log'!$E:$E,"Yes"))</f>
        <v/>
      </c>
      <c r="H873" s="12" t="str">
        <f aca="false">IF(OR(A873="",D873=""),"",D873*G873)</f>
        <v/>
      </c>
    </row>
    <row r="874" customFormat="false" ht="15" hidden="false" customHeight="false" outlineLevel="0" collapsed="false">
      <c r="B874" s="12" t="str">
        <f aca="false">IF(A874="","",IFERROR(INDEX(Recipes!$B:$B,MATCH(A874,Recipes!$A:$A,0)),"⚠ unknown recipe_id"))</f>
        <v/>
      </c>
      <c r="E874" s="12" t="str">
        <f aca="false">IF(C874="","",IFERROR(INDEX('Ingredient Catalog'!$C:$C,MATCH(C874,'Ingredient Catalog'!$A:$A,0)),"⚠ not in catalog"))</f>
        <v/>
      </c>
      <c r="G874" s="12" t="str">
        <f aca="false">IF(A874="","",COUNTIFS('Weekly Log'!$A:$A,'Grocery List'!$B$3,'Weekly Log'!$C:$C,A874,'Weekly Log'!$E:$E,"Yes"))</f>
        <v/>
      </c>
      <c r="H874" s="12" t="str">
        <f aca="false">IF(OR(A874="",D874=""),"",D874*G874)</f>
        <v/>
      </c>
    </row>
    <row r="875" customFormat="false" ht="15" hidden="false" customHeight="false" outlineLevel="0" collapsed="false">
      <c r="B875" s="12" t="str">
        <f aca="false">IF(A875="","",IFERROR(INDEX(Recipes!$B:$B,MATCH(A875,Recipes!$A:$A,0)),"⚠ unknown recipe_id"))</f>
        <v/>
      </c>
      <c r="E875" s="12" t="str">
        <f aca="false">IF(C875="","",IFERROR(INDEX('Ingredient Catalog'!$C:$C,MATCH(C875,'Ingredient Catalog'!$A:$A,0)),"⚠ not in catalog"))</f>
        <v/>
      </c>
      <c r="G875" s="12" t="str">
        <f aca="false">IF(A875="","",COUNTIFS('Weekly Log'!$A:$A,'Grocery List'!$B$3,'Weekly Log'!$C:$C,A875,'Weekly Log'!$E:$E,"Yes"))</f>
        <v/>
      </c>
      <c r="H875" s="12" t="str">
        <f aca="false">IF(OR(A875="",D875=""),"",D875*G875)</f>
        <v/>
      </c>
    </row>
    <row r="876" customFormat="false" ht="15" hidden="false" customHeight="false" outlineLevel="0" collapsed="false">
      <c r="B876" s="12" t="str">
        <f aca="false">IF(A876="","",IFERROR(INDEX(Recipes!$B:$B,MATCH(A876,Recipes!$A:$A,0)),"⚠ unknown recipe_id"))</f>
        <v/>
      </c>
      <c r="E876" s="12" t="str">
        <f aca="false">IF(C876="","",IFERROR(INDEX('Ingredient Catalog'!$C:$C,MATCH(C876,'Ingredient Catalog'!$A:$A,0)),"⚠ not in catalog"))</f>
        <v/>
      </c>
      <c r="G876" s="12" t="str">
        <f aca="false">IF(A876="","",COUNTIFS('Weekly Log'!$A:$A,'Grocery List'!$B$3,'Weekly Log'!$C:$C,A876,'Weekly Log'!$E:$E,"Yes"))</f>
        <v/>
      </c>
      <c r="H876" s="12" t="str">
        <f aca="false">IF(OR(A876="",D876=""),"",D876*G876)</f>
        <v/>
      </c>
    </row>
    <row r="877" customFormat="false" ht="15" hidden="false" customHeight="false" outlineLevel="0" collapsed="false">
      <c r="B877" s="12" t="str">
        <f aca="false">IF(A877="","",IFERROR(INDEX(Recipes!$B:$B,MATCH(A877,Recipes!$A:$A,0)),"⚠ unknown recipe_id"))</f>
        <v/>
      </c>
      <c r="E877" s="12" t="str">
        <f aca="false">IF(C877="","",IFERROR(INDEX('Ingredient Catalog'!$C:$C,MATCH(C877,'Ingredient Catalog'!$A:$A,0)),"⚠ not in catalog"))</f>
        <v/>
      </c>
      <c r="G877" s="12" t="str">
        <f aca="false">IF(A877="","",COUNTIFS('Weekly Log'!$A:$A,'Grocery List'!$B$3,'Weekly Log'!$C:$C,A877,'Weekly Log'!$E:$E,"Yes"))</f>
        <v/>
      </c>
      <c r="H877" s="12" t="str">
        <f aca="false">IF(OR(A877="",D877=""),"",D877*G877)</f>
        <v/>
      </c>
    </row>
    <row r="878" customFormat="false" ht="15" hidden="false" customHeight="false" outlineLevel="0" collapsed="false">
      <c r="B878" s="12" t="str">
        <f aca="false">IF(A878="","",IFERROR(INDEX(Recipes!$B:$B,MATCH(A878,Recipes!$A:$A,0)),"⚠ unknown recipe_id"))</f>
        <v/>
      </c>
      <c r="E878" s="12" t="str">
        <f aca="false">IF(C878="","",IFERROR(INDEX('Ingredient Catalog'!$C:$C,MATCH(C878,'Ingredient Catalog'!$A:$A,0)),"⚠ not in catalog"))</f>
        <v/>
      </c>
      <c r="G878" s="12" t="str">
        <f aca="false">IF(A878="","",COUNTIFS('Weekly Log'!$A:$A,'Grocery List'!$B$3,'Weekly Log'!$C:$C,A878,'Weekly Log'!$E:$E,"Yes"))</f>
        <v/>
      </c>
      <c r="H878" s="12" t="str">
        <f aca="false">IF(OR(A878="",D878=""),"",D878*G878)</f>
        <v/>
      </c>
    </row>
    <row r="879" customFormat="false" ht="15" hidden="false" customHeight="false" outlineLevel="0" collapsed="false">
      <c r="B879" s="12" t="str">
        <f aca="false">IF(A879="","",IFERROR(INDEX(Recipes!$B:$B,MATCH(A879,Recipes!$A:$A,0)),"⚠ unknown recipe_id"))</f>
        <v/>
      </c>
      <c r="E879" s="12" t="str">
        <f aca="false">IF(C879="","",IFERROR(INDEX('Ingredient Catalog'!$C:$C,MATCH(C879,'Ingredient Catalog'!$A:$A,0)),"⚠ not in catalog"))</f>
        <v/>
      </c>
      <c r="G879" s="12" t="str">
        <f aca="false">IF(A879="","",COUNTIFS('Weekly Log'!$A:$A,'Grocery List'!$B$3,'Weekly Log'!$C:$C,A879,'Weekly Log'!$E:$E,"Yes"))</f>
        <v/>
      </c>
      <c r="H879" s="12" t="str">
        <f aca="false">IF(OR(A879="",D879=""),"",D879*G879)</f>
        <v/>
      </c>
    </row>
    <row r="880" customFormat="false" ht="15" hidden="false" customHeight="false" outlineLevel="0" collapsed="false">
      <c r="B880" s="12" t="str">
        <f aca="false">IF(A880="","",IFERROR(INDEX(Recipes!$B:$B,MATCH(A880,Recipes!$A:$A,0)),"⚠ unknown recipe_id"))</f>
        <v/>
      </c>
      <c r="E880" s="12" t="str">
        <f aca="false">IF(C880="","",IFERROR(INDEX('Ingredient Catalog'!$C:$C,MATCH(C880,'Ingredient Catalog'!$A:$A,0)),"⚠ not in catalog"))</f>
        <v/>
      </c>
      <c r="G880" s="12" t="str">
        <f aca="false">IF(A880="","",COUNTIFS('Weekly Log'!$A:$A,'Grocery List'!$B$3,'Weekly Log'!$C:$C,A880,'Weekly Log'!$E:$E,"Yes"))</f>
        <v/>
      </c>
      <c r="H880" s="12" t="str">
        <f aca="false">IF(OR(A880="",D880=""),"",D880*G880)</f>
        <v/>
      </c>
    </row>
    <row r="881" customFormat="false" ht="15" hidden="false" customHeight="false" outlineLevel="0" collapsed="false">
      <c r="B881" s="12" t="str">
        <f aca="false">IF(A881="","",IFERROR(INDEX(Recipes!$B:$B,MATCH(A881,Recipes!$A:$A,0)),"⚠ unknown recipe_id"))</f>
        <v/>
      </c>
      <c r="E881" s="12" t="str">
        <f aca="false">IF(C881="","",IFERROR(INDEX('Ingredient Catalog'!$C:$C,MATCH(C881,'Ingredient Catalog'!$A:$A,0)),"⚠ not in catalog"))</f>
        <v/>
      </c>
      <c r="G881" s="12" t="str">
        <f aca="false">IF(A881="","",COUNTIFS('Weekly Log'!$A:$A,'Grocery List'!$B$3,'Weekly Log'!$C:$C,A881,'Weekly Log'!$E:$E,"Yes"))</f>
        <v/>
      </c>
      <c r="H881" s="12" t="str">
        <f aca="false">IF(OR(A881="",D881=""),"",D881*G881)</f>
        <v/>
      </c>
    </row>
    <row r="882" customFormat="false" ht="15" hidden="false" customHeight="false" outlineLevel="0" collapsed="false">
      <c r="B882" s="12" t="str">
        <f aca="false">IF(A882="","",IFERROR(INDEX(Recipes!$B:$B,MATCH(A882,Recipes!$A:$A,0)),"⚠ unknown recipe_id"))</f>
        <v/>
      </c>
      <c r="E882" s="12" t="str">
        <f aca="false">IF(C882="","",IFERROR(INDEX('Ingredient Catalog'!$C:$C,MATCH(C882,'Ingredient Catalog'!$A:$A,0)),"⚠ not in catalog"))</f>
        <v/>
      </c>
      <c r="G882" s="12" t="str">
        <f aca="false">IF(A882="","",COUNTIFS('Weekly Log'!$A:$A,'Grocery List'!$B$3,'Weekly Log'!$C:$C,A882,'Weekly Log'!$E:$E,"Yes"))</f>
        <v/>
      </c>
      <c r="H882" s="12" t="str">
        <f aca="false">IF(OR(A882="",D882=""),"",D882*G882)</f>
        <v/>
      </c>
    </row>
    <row r="883" customFormat="false" ht="15" hidden="false" customHeight="false" outlineLevel="0" collapsed="false">
      <c r="B883" s="12" t="str">
        <f aca="false">IF(A883="","",IFERROR(INDEX(Recipes!$B:$B,MATCH(A883,Recipes!$A:$A,0)),"⚠ unknown recipe_id"))</f>
        <v/>
      </c>
      <c r="E883" s="12" t="str">
        <f aca="false">IF(C883="","",IFERROR(INDEX('Ingredient Catalog'!$C:$C,MATCH(C883,'Ingredient Catalog'!$A:$A,0)),"⚠ not in catalog"))</f>
        <v/>
      </c>
      <c r="G883" s="12" t="str">
        <f aca="false">IF(A883="","",COUNTIFS('Weekly Log'!$A:$A,'Grocery List'!$B$3,'Weekly Log'!$C:$C,A883,'Weekly Log'!$E:$E,"Yes"))</f>
        <v/>
      </c>
      <c r="H883" s="12" t="str">
        <f aca="false">IF(OR(A883="",D883=""),"",D883*G883)</f>
        <v/>
      </c>
    </row>
    <row r="884" customFormat="false" ht="15" hidden="false" customHeight="false" outlineLevel="0" collapsed="false">
      <c r="B884" s="12" t="str">
        <f aca="false">IF(A884="","",IFERROR(INDEX(Recipes!$B:$B,MATCH(A884,Recipes!$A:$A,0)),"⚠ unknown recipe_id"))</f>
        <v/>
      </c>
      <c r="E884" s="12" t="str">
        <f aca="false">IF(C884="","",IFERROR(INDEX('Ingredient Catalog'!$C:$C,MATCH(C884,'Ingredient Catalog'!$A:$A,0)),"⚠ not in catalog"))</f>
        <v/>
      </c>
      <c r="G884" s="12" t="str">
        <f aca="false">IF(A884="","",COUNTIFS('Weekly Log'!$A:$A,'Grocery List'!$B$3,'Weekly Log'!$C:$C,A884,'Weekly Log'!$E:$E,"Yes"))</f>
        <v/>
      </c>
      <c r="H884" s="12" t="str">
        <f aca="false">IF(OR(A884="",D884=""),"",D884*G884)</f>
        <v/>
      </c>
    </row>
    <row r="885" customFormat="false" ht="15" hidden="false" customHeight="false" outlineLevel="0" collapsed="false">
      <c r="B885" s="12" t="str">
        <f aca="false">IF(A885="","",IFERROR(INDEX(Recipes!$B:$B,MATCH(A885,Recipes!$A:$A,0)),"⚠ unknown recipe_id"))</f>
        <v/>
      </c>
      <c r="E885" s="12" t="str">
        <f aca="false">IF(C885="","",IFERROR(INDEX('Ingredient Catalog'!$C:$C,MATCH(C885,'Ingredient Catalog'!$A:$A,0)),"⚠ not in catalog"))</f>
        <v/>
      </c>
      <c r="G885" s="12" t="str">
        <f aca="false">IF(A885="","",COUNTIFS('Weekly Log'!$A:$A,'Grocery List'!$B$3,'Weekly Log'!$C:$C,A885,'Weekly Log'!$E:$E,"Yes"))</f>
        <v/>
      </c>
      <c r="H885" s="12" t="str">
        <f aca="false">IF(OR(A885="",D885=""),"",D885*G885)</f>
        <v/>
      </c>
    </row>
    <row r="886" customFormat="false" ht="15" hidden="false" customHeight="false" outlineLevel="0" collapsed="false">
      <c r="B886" s="12" t="str">
        <f aca="false">IF(A886="","",IFERROR(INDEX(Recipes!$B:$B,MATCH(A886,Recipes!$A:$A,0)),"⚠ unknown recipe_id"))</f>
        <v/>
      </c>
      <c r="E886" s="12" t="str">
        <f aca="false">IF(C886="","",IFERROR(INDEX('Ingredient Catalog'!$C:$C,MATCH(C886,'Ingredient Catalog'!$A:$A,0)),"⚠ not in catalog"))</f>
        <v/>
      </c>
      <c r="G886" s="12" t="str">
        <f aca="false">IF(A886="","",COUNTIFS('Weekly Log'!$A:$A,'Grocery List'!$B$3,'Weekly Log'!$C:$C,A886,'Weekly Log'!$E:$E,"Yes"))</f>
        <v/>
      </c>
      <c r="H886" s="12" t="str">
        <f aca="false">IF(OR(A886="",D886=""),"",D886*G886)</f>
        <v/>
      </c>
    </row>
    <row r="887" customFormat="false" ht="15" hidden="false" customHeight="false" outlineLevel="0" collapsed="false">
      <c r="B887" s="12" t="str">
        <f aca="false">IF(A887="","",IFERROR(INDEX(Recipes!$B:$B,MATCH(A887,Recipes!$A:$A,0)),"⚠ unknown recipe_id"))</f>
        <v/>
      </c>
      <c r="E887" s="12" t="str">
        <f aca="false">IF(C887="","",IFERROR(INDEX('Ingredient Catalog'!$C:$C,MATCH(C887,'Ingredient Catalog'!$A:$A,0)),"⚠ not in catalog"))</f>
        <v/>
      </c>
      <c r="G887" s="12" t="str">
        <f aca="false">IF(A887="","",COUNTIFS('Weekly Log'!$A:$A,'Grocery List'!$B$3,'Weekly Log'!$C:$C,A887,'Weekly Log'!$E:$E,"Yes"))</f>
        <v/>
      </c>
      <c r="H887" s="12" t="str">
        <f aca="false">IF(OR(A887="",D887=""),"",D887*G887)</f>
        <v/>
      </c>
    </row>
    <row r="888" customFormat="false" ht="15" hidden="false" customHeight="false" outlineLevel="0" collapsed="false">
      <c r="B888" s="12" t="str">
        <f aca="false">IF(A888="","",IFERROR(INDEX(Recipes!$B:$B,MATCH(A888,Recipes!$A:$A,0)),"⚠ unknown recipe_id"))</f>
        <v/>
      </c>
      <c r="E888" s="12" t="str">
        <f aca="false">IF(C888="","",IFERROR(INDEX('Ingredient Catalog'!$C:$C,MATCH(C888,'Ingredient Catalog'!$A:$A,0)),"⚠ not in catalog"))</f>
        <v/>
      </c>
      <c r="G888" s="12" t="str">
        <f aca="false">IF(A888="","",COUNTIFS('Weekly Log'!$A:$A,'Grocery List'!$B$3,'Weekly Log'!$C:$C,A888,'Weekly Log'!$E:$E,"Yes"))</f>
        <v/>
      </c>
      <c r="H888" s="12" t="str">
        <f aca="false">IF(OR(A888="",D888=""),"",D888*G888)</f>
        <v/>
      </c>
    </row>
    <row r="889" customFormat="false" ht="15" hidden="false" customHeight="false" outlineLevel="0" collapsed="false">
      <c r="B889" s="12" t="str">
        <f aca="false">IF(A889="","",IFERROR(INDEX(Recipes!$B:$B,MATCH(A889,Recipes!$A:$A,0)),"⚠ unknown recipe_id"))</f>
        <v/>
      </c>
      <c r="E889" s="12" t="str">
        <f aca="false">IF(C889="","",IFERROR(INDEX('Ingredient Catalog'!$C:$C,MATCH(C889,'Ingredient Catalog'!$A:$A,0)),"⚠ not in catalog"))</f>
        <v/>
      </c>
      <c r="G889" s="12" t="str">
        <f aca="false">IF(A889="","",COUNTIFS('Weekly Log'!$A:$A,'Grocery List'!$B$3,'Weekly Log'!$C:$C,A889,'Weekly Log'!$E:$E,"Yes"))</f>
        <v/>
      </c>
      <c r="H889" s="12" t="str">
        <f aca="false">IF(OR(A889="",D889=""),"",D889*G889)</f>
        <v/>
      </c>
    </row>
    <row r="890" customFormat="false" ht="15" hidden="false" customHeight="false" outlineLevel="0" collapsed="false">
      <c r="B890" s="12" t="str">
        <f aca="false">IF(A890="","",IFERROR(INDEX(Recipes!$B:$B,MATCH(A890,Recipes!$A:$A,0)),"⚠ unknown recipe_id"))</f>
        <v/>
      </c>
      <c r="E890" s="12" t="str">
        <f aca="false">IF(C890="","",IFERROR(INDEX('Ingredient Catalog'!$C:$C,MATCH(C890,'Ingredient Catalog'!$A:$A,0)),"⚠ not in catalog"))</f>
        <v/>
      </c>
      <c r="G890" s="12" t="str">
        <f aca="false">IF(A890="","",COUNTIFS('Weekly Log'!$A:$A,'Grocery List'!$B$3,'Weekly Log'!$C:$C,A890,'Weekly Log'!$E:$E,"Yes"))</f>
        <v/>
      </c>
      <c r="H890" s="12" t="str">
        <f aca="false">IF(OR(A890="",D890=""),"",D890*G890)</f>
        <v/>
      </c>
    </row>
    <row r="891" customFormat="false" ht="15" hidden="false" customHeight="false" outlineLevel="0" collapsed="false">
      <c r="B891" s="12" t="str">
        <f aca="false">IF(A891="","",IFERROR(INDEX(Recipes!$B:$B,MATCH(A891,Recipes!$A:$A,0)),"⚠ unknown recipe_id"))</f>
        <v/>
      </c>
      <c r="E891" s="12" t="str">
        <f aca="false">IF(C891="","",IFERROR(INDEX('Ingredient Catalog'!$C:$C,MATCH(C891,'Ingredient Catalog'!$A:$A,0)),"⚠ not in catalog"))</f>
        <v/>
      </c>
      <c r="G891" s="12" t="str">
        <f aca="false">IF(A891="","",COUNTIFS('Weekly Log'!$A:$A,'Grocery List'!$B$3,'Weekly Log'!$C:$C,A891,'Weekly Log'!$E:$E,"Yes"))</f>
        <v/>
      </c>
      <c r="H891" s="12" t="str">
        <f aca="false">IF(OR(A891="",D891=""),"",D891*G891)</f>
        <v/>
      </c>
    </row>
    <row r="892" customFormat="false" ht="15" hidden="false" customHeight="false" outlineLevel="0" collapsed="false">
      <c r="B892" s="12" t="str">
        <f aca="false">IF(A892="","",IFERROR(INDEX(Recipes!$B:$B,MATCH(A892,Recipes!$A:$A,0)),"⚠ unknown recipe_id"))</f>
        <v/>
      </c>
      <c r="E892" s="12" t="str">
        <f aca="false">IF(C892="","",IFERROR(INDEX('Ingredient Catalog'!$C:$C,MATCH(C892,'Ingredient Catalog'!$A:$A,0)),"⚠ not in catalog"))</f>
        <v/>
      </c>
      <c r="G892" s="12" t="str">
        <f aca="false">IF(A892="","",COUNTIFS('Weekly Log'!$A:$A,'Grocery List'!$B$3,'Weekly Log'!$C:$C,A892,'Weekly Log'!$E:$E,"Yes"))</f>
        <v/>
      </c>
      <c r="H892" s="12" t="str">
        <f aca="false">IF(OR(A892="",D892=""),"",D892*G892)</f>
        <v/>
      </c>
    </row>
    <row r="893" customFormat="false" ht="15" hidden="false" customHeight="false" outlineLevel="0" collapsed="false">
      <c r="B893" s="12" t="str">
        <f aca="false">IF(A893="","",IFERROR(INDEX(Recipes!$B:$B,MATCH(A893,Recipes!$A:$A,0)),"⚠ unknown recipe_id"))</f>
        <v/>
      </c>
      <c r="E893" s="12" t="str">
        <f aca="false">IF(C893="","",IFERROR(INDEX('Ingredient Catalog'!$C:$C,MATCH(C893,'Ingredient Catalog'!$A:$A,0)),"⚠ not in catalog"))</f>
        <v/>
      </c>
      <c r="G893" s="12" t="str">
        <f aca="false">IF(A893="","",COUNTIFS('Weekly Log'!$A:$A,'Grocery List'!$B$3,'Weekly Log'!$C:$C,A893,'Weekly Log'!$E:$E,"Yes"))</f>
        <v/>
      </c>
      <c r="H893" s="12" t="str">
        <f aca="false">IF(OR(A893="",D893=""),"",D893*G893)</f>
        <v/>
      </c>
    </row>
    <row r="894" customFormat="false" ht="15" hidden="false" customHeight="false" outlineLevel="0" collapsed="false">
      <c r="B894" s="12" t="str">
        <f aca="false">IF(A894="","",IFERROR(INDEX(Recipes!$B:$B,MATCH(A894,Recipes!$A:$A,0)),"⚠ unknown recipe_id"))</f>
        <v/>
      </c>
      <c r="E894" s="12" t="str">
        <f aca="false">IF(C894="","",IFERROR(INDEX('Ingredient Catalog'!$C:$C,MATCH(C894,'Ingredient Catalog'!$A:$A,0)),"⚠ not in catalog"))</f>
        <v/>
      </c>
      <c r="G894" s="12" t="str">
        <f aca="false">IF(A894="","",COUNTIFS('Weekly Log'!$A:$A,'Grocery List'!$B$3,'Weekly Log'!$C:$C,A894,'Weekly Log'!$E:$E,"Yes"))</f>
        <v/>
      </c>
      <c r="H894" s="12" t="str">
        <f aca="false">IF(OR(A894="",D894=""),"",D894*G894)</f>
        <v/>
      </c>
    </row>
    <row r="895" customFormat="false" ht="15" hidden="false" customHeight="false" outlineLevel="0" collapsed="false">
      <c r="B895" s="12" t="str">
        <f aca="false">IF(A895="","",IFERROR(INDEX(Recipes!$B:$B,MATCH(A895,Recipes!$A:$A,0)),"⚠ unknown recipe_id"))</f>
        <v/>
      </c>
      <c r="E895" s="12" t="str">
        <f aca="false">IF(C895="","",IFERROR(INDEX('Ingredient Catalog'!$C:$C,MATCH(C895,'Ingredient Catalog'!$A:$A,0)),"⚠ not in catalog"))</f>
        <v/>
      </c>
      <c r="G895" s="12" t="str">
        <f aca="false">IF(A895="","",COUNTIFS('Weekly Log'!$A:$A,'Grocery List'!$B$3,'Weekly Log'!$C:$C,A895,'Weekly Log'!$E:$E,"Yes"))</f>
        <v/>
      </c>
      <c r="H895" s="12" t="str">
        <f aca="false">IF(OR(A895="",D895=""),"",D895*G895)</f>
        <v/>
      </c>
    </row>
    <row r="896" customFormat="false" ht="15" hidden="false" customHeight="false" outlineLevel="0" collapsed="false">
      <c r="B896" s="12" t="str">
        <f aca="false">IF(A896="","",IFERROR(INDEX(Recipes!$B:$B,MATCH(A896,Recipes!$A:$A,0)),"⚠ unknown recipe_id"))</f>
        <v/>
      </c>
      <c r="E896" s="12" t="str">
        <f aca="false">IF(C896="","",IFERROR(INDEX('Ingredient Catalog'!$C:$C,MATCH(C896,'Ingredient Catalog'!$A:$A,0)),"⚠ not in catalog"))</f>
        <v/>
      </c>
      <c r="G896" s="12" t="str">
        <f aca="false">IF(A896="","",COUNTIFS('Weekly Log'!$A:$A,'Grocery List'!$B$3,'Weekly Log'!$C:$C,A896,'Weekly Log'!$E:$E,"Yes"))</f>
        <v/>
      </c>
      <c r="H896" s="12" t="str">
        <f aca="false">IF(OR(A896="",D896=""),"",D896*G896)</f>
        <v/>
      </c>
    </row>
    <row r="897" customFormat="false" ht="15" hidden="false" customHeight="false" outlineLevel="0" collapsed="false">
      <c r="B897" s="12" t="str">
        <f aca="false">IF(A897="","",IFERROR(INDEX(Recipes!$B:$B,MATCH(A897,Recipes!$A:$A,0)),"⚠ unknown recipe_id"))</f>
        <v/>
      </c>
      <c r="E897" s="12" t="str">
        <f aca="false">IF(C897="","",IFERROR(INDEX('Ingredient Catalog'!$C:$C,MATCH(C897,'Ingredient Catalog'!$A:$A,0)),"⚠ not in catalog"))</f>
        <v/>
      </c>
      <c r="G897" s="12" t="str">
        <f aca="false">IF(A897="","",COUNTIFS('Weekly Log'!$A:$A,'Grocery List'!$B$3,'Weekly Log'!$C:$C,A897,'Weekly Log'!$E:$E,"Yes"))</f>
        <v/>
      </c>
      <c r="H897" s="12" t="str">
        <f aca="false">IF(OR(A897="",D897=""),"",D897*G897)</f>
        <v/>
      </c>
    </row>
    <row r="898" customFormat="false" ht="15" hidden="false" customHeight="false" outlineLevel="0" collapsed="false">
      <c r="B898" s="12" t="str">
        <f aca="false">IF(A898="","",IFERROR(INDEX(Recipes!$B:$B,MATCH(A898,Recipes!$A:$A,0)),"⚠ unknown recipe_id"))</f>
        <v/>
      </c>
      <c r="E898" s="12" t="str">
        <f aca="false">IF(C898="","",IFERROR(INDEX('Ingredient Catalog'!$C:$C,MATCH(C898,'Ingredient Catalog'!$A:$A,0)),"⚠ not in catalog"))</f>
        <v/>
      </c>
      <c r="G898" s="12" t="str">
        <f aca="false">IF(A898="","",COUNTIFS('Weekly Log'!$A:$A,'Grocery List'!$B$3,'Weekly Log'!$C:$C,A898,'Weekly Log'!$E:$E,"Yes"))</f>
        <v/>
      </c>
      <c r="H898" s="12" t="str">
        <f aca="false">IF(OR(A898="",D898=""),"",D898*G898)</f>
        <v/>
      </c>
    </row>
    <row r="899" customFormat="false" ht="15" hidden="false" customHeight="false" outlineLevel="0" collapsed="false">
      <c r="B899" s="12" t="str">
        <f aca="false">IF(A899="","",IFERROR(INDEX(Recipes!$B:$B,MATCH(A899,Recipes!$A:$A,0)),"⚠ unknown recipe_id"))</f>
        <v/>
      </c>
      <c r="E899" s="12" t="str">
        <f aca="false">IF(C899="","",IFERROR(INDEX('Ingredient Catalog'!$C:$C,MATCH(C899,'Ingredient Catalog'!$A:$A,0)),"⚠ not in catalog"))</f>
        <v/>
      </c>
      <c r="G899" s="12" t="str">
        <f aca="false">IF(A899="","",COUNTIFS('Weekly Log'!$A:$A,'Grocery List'!$B$3,'Weekly Log'!$C:$C,A899,'Weekly Log'!$E:$E,"Yes"))</f>
        <v/>
      </c>
      <c r="H899" s="12" t="str">
        <f aca="false">IF(OR(A899="",D899=""),"",D899*G899)</f>
        <v/>
      </c>
    </row>
    <row r="900" customFormat="false" ht="15" hidden="false" customHeight="false" outlineLevel="0" collapsed="false">
      <c r="B900" s="12" t="str">
        <f aca="false">IF(A900="","",IFERROR(INDEX(Recipes!$B:$B,MATCH(A900,Recipes!$A:$A,0)),"⚠ unknown recipe_id"))</f>
        <v/>
      </c>
      <c r="E900" s="12" t="str">
        <f aca="false">IF(C900="","",IFERROR(INDEX('Ingredient Catalog'!$C:$C,MATCH(C900,'Ingredient Catalog'!$A:$A,0)),"⚠ not in catalog"))</f>
        <v/>
      </c>
      <c r="G900" s="12" t="str">
        <f aca="false">IF(A900="","",COUNTIFS('Weekly Log'!$A:$A,'Grocery List'!$B$3,'Weekly Log'!$C:$C,A900,'Weekly Log'!$E:$E,"Yes"))</f>
        <v/>
      </c>
      <c r="H900" s="12" t="str">
        <f aca="false">IF(OR(A900="",D900=""),"",D900*G900)</f>
        <v/>
      </c>
    </row>
    <row r="901" customFormat="false" ht="15" hidden="false" customHeight="false" outlineLevel="0" collapsed="false">
      <c r="B901" s="12" t="str">
        <f aca="false">IF(A901="","",IFERROR(INDEX(Recipes!$B:$B,MATCH(A901,Recipes!$A:$A,0)),"⚠ unknown recipe_id"))</f>
        <v/>
      </c>
      <c r="E901" s="12" t="str">
        <f aca="false">IF(C901="","",IFERROR(INDEX('Ingredient Catalog'!$C:$C,MATCH(C901,'Ingredient Catalog'!$A:$A,0)),"⚠ not in catalog"))</f>
        <v/>
      </c>
      <c r="G901" s="12" t="str">
        <f aca="false">IF(A901="","",COUNTIFS('Weekly Log'!$A:$A,'Grocery List'!$B$3,'Weekly Log'!$C:$C,A901,'Weekly Log'!$E:$E,"Yes"))</f>
        <v/>
      </c>
      <c r="H901" s="12" t="str">
        <f aca="false">IF(OR(A901="",D901=""),"",D901*G901)</f>
        <v/>
      </c>
    </row>
    <row r="902" customFormat="false" ht="15" hidden="false" customHeight="false" outlineLevel="0" collapsed="false">
      <c r="B902" s="12" t="str">
        <f aca="false">IF(A902="","",IFERROR(INDEX(Recipes!$B:$B,MATCH(A902,Recipes!$A:$A,0)),"⚠ unknown recipe_id"))</f>
        <v/>
      </c>
      <c r="E902" s="12" t="str">
        <f aca="false">IF(C902="","",IFERROR(INDEX('Ingredient Catalog'!$C:$C,MATCH(C902,'Ingredient Catalog'!$A:$A,0)),"⚠ not in catalog"))</f>
        <v/>
      </c>
      <c r="G902" s="12" t="str">
        <f aca="false">IF(A902="","",COUNTIFS('Weekly Log'!$A:$A,'Grocery List'!$B$3,'Weekly Log'!$C:$C,A902,'Weekly Log'!$E:$E,"Yes"))</f>
        <v/>
      </c>
      <c r="H902" s="12" t="str">
        <f aca="false">IF(OR(A902="",D902=""),"",D902*G902)</f>
        <v/>
      </c>
    </row>
    <row r="903" customFormat="false" ht="15" hidden="false" customHeight="false" outlineLevel="0" collapsed="false">
      <c r="B903" s="12" t="str">
        <f aca="false">IF(A903="","",IFERROR(INDEX(Recipes!$B:$B,MATCH(A903,Recipes!$A:$A,0)),"⚠ unknown recipe_id"))</f>
        <v/>
      </c>
      <c r="E903" s="12" t="str">
        <f aca="false">IF(C903="","",IFERROR(INDEX('Ingredient Catalog'!$C:$C,MATCH(C903,'Ingredient Catalog'!$A:$A,0)),"⚠ not in catalog"))</f>
        <v/>
      </c>
      <c r="G903" s="12" t="str">
        <f aca="false">IF(A903="","",COUNTIFS('Weekly Log'!$A:$A,'Grocery List'!$B$3,'Weekly Log'!$C:$C,A903,'Weekly Log'!$E:$E,"Yes"))</f>
        <v/>
      </c>
      <c r="H903" s="12" t="str">
        <f aca="false">IF(OR(A903="",D903=""),"",D903*G903)</f>
        <v/>
      </c>
    </row>
    <row r="904" customFormat="false" ht="15" hidden="false" customHeight="false" outlineLevel="0" collapsed="false">
      <c r="B904" s="12" t="str">
        <f aca="false">IF(A904="","",IFERROR(INDEX(Recipes!$B:$B,MATCH(A904,Recipes!$A:$A,0)),"⚠ unknown recipe_id"))</f>
        <v/>
      </c>
      <c r="E904" s="12" t="str">
        <f aca="false">IF(C904="","",IFERROR(INDEX('Ingredient Catalog'!$C:$C,MATCH(C904,'Ingredient Catalog'!$A:$A,0)),"⚠ not in catalog"))</f>
        <v/>
      </c>
      <c r="G904" s="12" t="str">
        <f aca="false">IF(A904="","",COUNTIFS('Weekly Log'!$A:$A,'Grocery List'!$B$3,'Weekly Log'!$C:$C,A904,'Weekly Log'!$E:$E,"Yes"))</f>
        <v/>
      </c>
      <c r="H904" s="12" t="str">
        <f aca="false">IF(OR(A904="",D904=""),"",D904*G904)</f>
        <v/>
      </c>
    </row>
    <row r="905" customFormat="false" ht="15" hidden="false" customHeight="false" outlineLevel="0" collapsed="false">
      <c r="B905" s="12" t="str">
        <f aca="false">IF(A905="","",IFERROR(INDEX(Recipes!$B:$B,MATCH(A905,Recipes!$A:$A,0)),"⚠ unknown recipe_id"))</f>
        <v/>
      </c>
      <c r="E905" s="12" t="str">
        <f aca="false">IF(C905="","",IFERROR(INDEX('Ingredient Catalog'!$C:$C,MATCH(C905,'Ingredient Catalog'!$A:$A,0)),"⚠ not in catalog"))</f>
        <v/>
      </c>
      <c r="G905" s="12" t="str">
        <f aca="false">IF(A905="","",COUNTIFS('Weekly Log'!$A:$A,'Grocery List'!$B$3,'Weekly Log'!$C:$C,A905,'Weekly Log'!$E:$E,"Yes"))</f>
        <v/>
      </c>
      <c r="H905" s="12" t="str">
        <f aca="false">IF(OR(A905="",D905=""),"",D905*G905)</f>
        <v/>
      </c>
    </row>
    <row r="906" customFormat="false" ht="15" hidden="false" customHeight="false" outlineLevel="0" collapsed="false">
      <c r="B906" s="12" t="str">
        <f aca="false">IF(A906="","",IFERROR(INDEX(Recipes!$B:$B,MATCH(A906,Recipes!$A:$A,0)),"⚠ unknown recipe_id"))</f>
        <v/>
      </c>
      <c r="E906" s="12" t="str">
        <f aca="false">IF(C906="","",IFERROR(INDEX('Ingredient Catalog'!$C:$C,MATCH(C906,'Ingredient Catalog'!$A:$A,0)),"⚠ not in catalog"))</f>
        <v/>
      </c>
      <c r="G906" s="12" t="str">
        <f aca="false">IF(A906="","",COUNTIFS('Weekly Log'!$A:$A,'Grocery List'!$B$3,'Weekly Log'!$C:$C,A906,'Weekly Log'!$E:$E,"Yes"))</f>
        <v/>
      </c>
      <c r="H906" s="12" t="str">
        <f aca="false">IF(OR(A906="",D906=""),"",D906*G906)</f>
        <v/>
      </c>
    </row>
    <row r="907" customFormat="false" ht="15" hidden="false" customHeight="false" outlineLevel="0" collapsed="false">
      <c r="B907" s="12" t="str">
        <f aca="false">IF(A907="","",IFERROR(INDEX(Recipes!$B:$B,MATCH(A907,Recipes!$A:$A,0)),"⚠ unknown recipe_id"))</f>
        <v/>
      </c>
      <c r="E907" s="12" t="str">
        <f aca="false">IF(C907="","",IFERROR(INDEX('Ingredient Catalog'!$C:$C,MATCH(C907,'Ingredient Catalog'!$A:$A,0)),"⚠ not in catalog"))</f>
        <v/>
      </c>
      <c r="G907" s="12" t="str">
        <f aca="false">IF(A907="","",COUNTIFS('Weekly Log'!$A:$A,'Grocery List'!$B$3,'Weekly Log'!$C:$C,A907,'Weekly Log'!$E:$E,"Yes"))</f>
        <v/>
      </c>
      <c r="H907" s="12" t="str">
        <f aca="false">IF(OR(A907="",D907=""),"",D907*G907)</f>
        <v/>
      </c>
    </row>
    <row r="908" customFormat="false" ht="15" hidden="false" customHeight="false" outlineLevel="0" collapsed="false">
      <c r="B908" s="12" t="str">
        <f aca="false">IF(A908="","",IFERROR(INDEX(Recipes!$B:$B,MATCH(A908,Recipes!$A:$A,0)),"⚠ unknown recipe_id"))</f>
        <v/>
      </c>
      <c r="E908" s="12" t="str">
        <f aca="false">IF(C908="","",IFERROR(INDEX('Ingredient Catalog'!$C:$C,MATCH(C908,'Ingredient Catalog'!$A:$A,0)),"⚠ not in catalog"))</f>
        <v/>
      </c>
      <c r="G908" s="12" t="str">
        <f aca="false">IF(A908="","",COUNTIFS('Weekly Log'!$A:$A,'Grocery List'!$B$3,'Weekly Log'!$C:$C,A908,'Weekly Log'!$E:$E,"Yes"))</f>
        <v/>
      </c>
      <c r="H908" s="12" t="str">
        <f aca="false">IF(OR(A908="",D908=""),"",D908*G908)</f>
        <v/>
      </c>
    </row>
    <row r="909" customFormat="false" ht="15" hidden="false" customHeight="false" outlineLevel="0" collapsed="false">
      <c r="B909" s="12" t="str">
        <f aca="false">IF(A909="","",IFERROR(INDEX(Recipes!$B:$B,MATCH(A909,Recipes!$A:$A,0)),"⚠ unknown recipe_id"))</f>
        <v/>
      </c>
      <c r="E909" s="12" t="str">
        <f aca="false">IF(C909="","",IFERROR(INDEX('Ingredient Catalog'!$C:$C,MATCH(C909,'Ingredient Catalog'!$A:$A,0)),"⚠ not in catalog"))</f>
        <v/>
      </c>
      <c r="G909" s="12" t="str">
        <f aca="false">IF(A909="","",COUNTIFS('Weekly Log'!$A:$A,'Grocery List'!$B$3,'Weekly Log'!$C:$C,A909,'Weekly Log'!$E:$E,"Yes"))</f>
        <v/>
      </c>
      <c r="H909" s="12" t="str">
        <f aca="false">IF(OR(A909="",D909=""),"",D909*G909)</f>
        <v/>
      </c>
    </row>
    <row r="910" customFormat="false" ht="15" hidden="false" customHeight="false" outlineLevel="0" collapsed="false">
      <c r="B910" s="12" t="str">
        <f aca="false">IF(A910="","",IFERROR(INDEX(Recipes!$B:$B,MATCH(A910,Recipes!$A:$A,0)),"⚠ unknown recipe_id"))</f>
        <v/>
      </c>
      <c r="E910" s="12" t="str">
        <f aca="false">IF(C910="","",IFERROR(INDEX('Ingredient Catalog'!$C:$C,MATCH(C910,'Ingredient Catalog'!$A:$A,0)),"⚠ not in catalog"))</f>
        <v/>
      </c>
      <c r="G910" s="12" t="str">
        <f aca="false">IF(A910="","",COUNTIFS('Weekly Log'!$A:$A,'Grocery List'!$B$3,'Weekly Log'!$C:$C,A910,'Weekly Log'!$E:$E,"Yes"))</f>
        <v/>
      </c>
      <c r="H910" s="12" t="str">
        <f aca="false">IF(OR(A910="",D910=""),"",D910*G910)</f>
        <v/>
      </c>
    </row>
    <row r="911" customFormat="false" ht="15" hidden="false" customHeight="false" outlineLevel="0" collapsed="false">
      <c r="B911" s="12" t="str">
        <f aca="false">IF(A911="","",IFERROR(INDEX(Recipes!$B:$B,MATCH(A911,Recipes!$A:$A,0)),"⚠ unknown recipe_id"))</f>
        <v/>
      </c>
      <c r="E911" s="12" t="str">
        <f aca="false">IF(C911="","",IFERROR(INDEX('Ingredient Catalog'!$C:$C,MATCH(C911,'Ingredient Catalog'!$A:$A,0)),"⚠ not in catalog"))</f>
        <v/>
      </c>
      <c r="G911" s="12" t="str">
        <f aca="false">IF(A911="","",COUNTIFS('Weekly Log'!$A:$A,'Grocery List'!$B$3,'Weekly Log'!$C:$C,A911,'Weekly Log'!$E:$E,"Yes"))</f>
        <v/>
      </c>
      <c r="H911" s="12" t="str">
        <f aca="false">IF(OR(A911="",D911=""),"",D911*G911)</f>
        <v/>
      </c>
    </row>
    <row r="912" customFormat="false" ht="15" hidden="false" customHeight="false" outlineLevel="0" collapsed="false">
      <c r="B912" s="12" t="str">
        <f aca="false">IF(A912="","",IFERROR(INDEX(Recipes!$B:$B,MATCH(A912,Recipes!$A:$A,0)),"⚠ unknown recipe_id"))</f>
        <v/>
      </c>
      <c r="E912" s="12" t="str">
        <f aca="false">IF(C912="","",IFERROR(INDEX('Ingredient Catalog'!$C:$C,MATCH(C912,'Ingredient Catalog'!$A:$A,0)),"⚠ not in catalog"))</f>
        <v/>
      </c>
      <c r="G912" s="12" t="str">
        <f aca="false">IF(A912="","",COUNTIFS('Weekly Log'!$A:$A,'Grocery List'!$B$3,'Weekly Log'!$C:$C,A912,'Weekly Log'!$E:$E,"Yes"))</f>
        <v/>
      </c>
      <c r="H912" s="12" t="str">
        <f aca="false">IF(OR(A912="",D912=""),"",D912*G912)</f>
        <v/>
      </c>
    </row>
    <row r="913" customFormat="false" ht="15" hidden="false" customHeight="false" outlineLevel="0" collapsed="false">
      <c r="B913" s="12" t="str">
        <f aca="false">IF(A913="","",IFERROR(INDEX(Recipes!$B:$B,MATCH(A913,Recipes!$A:$A,0)),"⚠ unknown recipe_id"))</f>
        <v/>
      </c>
      <c r="E913" s="12" t="str">
        <f aca="false">IF(C913="","",IFERROR(INDEX('Ingredient Catalog'!$C:$C,MATCH(C913,'Ingredient Catalog'!$A:$A,0)),"⚠ not in catalog"))</f>
        <v/>
      </c>
      <c r="G913" s="12" t="str">
        <f aca="false">IF(A913="","",COUNTIFS('Weekly Log'!$A:$A,'Grocery List'!$B$3,'Weekly Log'!$C:$C,A913,'Weekly Log'!$E:$E,"Yes"))</f>
        <v/>
      </c>
      <c r="H913" s="12" t="str">
        <f aca="false">IF(OR(A913="",D913=""),"",D913*G913)</f>
        <v/>
      </c>
    </row>
    <row r="914" customFormat="false" ht="15" hidden="false" customHeight="false" outlineLevel="0" collapsed="false">
      <c r="B914" s="12" t="str">
        <f aca="false">IF(A914="","",IFERROR(INDEX(Recipes!$B:$B,MATCH(A914,Recipes!$A:$A,0)),"⚠ unknown recipe_id"))</f>
        <v/>
      </c>
      <c r="E914" s="12" t="str">
        <f aca="false">IF(C914="","",IFERROR(INDEX('Ingredient Catalog'!$C:$C,MATCH(C914,'Ingredient Catalog'!$A:$A,0)),"⚠ not in catalog"))</f>
        <v/>
      </c>
      <c r="G914" s="12" t="str">
        <f aca="false">IF(A914="","",COUNTIFS('Weekly Log'!$A:$A,'Grocery List'!$B$3,'Weekly Log'!$C:$C,A914,'Weekly Log'!$E:$E,"Yes"))</f>
        <v/>
      </c>
      <c r="H914" s="12" t="str">
        <f aca="false">IF(OR(A914="",D914=""),"",D914*G914)</f>
        <v/>
      </c>
    </row>
    <row r="915" customFormat="false" ht="15" hidden="false" customHeight="false" outlineLevel="0" collapsed="false">
      <c r="B915" s="12" t="str">
        <f aca="false">IF(A915="","",IFERROR(INDEX(Recipes!$B:$B,MATCH(A915,Recipes!$A:$A,0)),"⚠ unknown recipe_id"))</f>
        <v/>
      </c>
      <c r="E915" s="12" t="str">
        <f aca="false">IF(C915="","",IFERROR(INDEX('Ingredient Catalog'!$C:$C,MATCH(C915,'Ingredient Catalog'!$A:$A,0)),"⚠ not in catalog"))</f>
        <v/>
      </c>
      <c r="G915" s="12" t="str">
        <f aca="false">IF(A915="","",COUNTIFS('Weekly Log'!$A:$A,'Grocery List'!$B$3,'Weekly Log'!$C:$C,A915,'Weekly Log'!$E:$E,"Yes"))</f>
        <v/>
      </c>
      <c r="H915" s="12" t="str">
        <f aca="false">IF(OR(A915="",D915=""),"",D915*G915)</f>
        <v/>
      </c>
    </row>
    <row r="916" customFormat="false" ht="15" hidden="false" customHeight="false" outlineLevel="0" collapsed="false">
      <c r="B916" s="12" t="str">
        <f aca="false">IF(A916="","",IFERROR(INDEX(Recipes!$B:$B,MATCH(A916,Recipes!$A:$A,0)),"⚠ unknown recipe_id"))</f>
        <v/>
      </c>
      <c r="E916" s="12" t="str">
        <f aca="false">IF(C916="","",IFERROR(INDEX('Ingredient Catalog'!$C:$C,MATCH(C916,'Ingredient Catalog'!$A:$A,0)),"⚠ not in catalog"))</f>
        <v/>
      </c>
      <c r="G916" s="12" t="str">
        <f aca="false">IF(A916="","",COUNTIFS('Weekly Log'!$A:$A,'Grocery List'!$B$3,'Weekly Log'!$C:$C,A916,'Weekly Log'!$E:$E,"Yes"))</f>
        <v/>
      </c>
      <c r="H916" s="12" t="str">
        <f aca="false">IF(OR(A916="",D916=""),"",D916*G916)</f>
        <v/>
      </c>
    </row>
    <row r="917" customFormat="false" ht="15" hidden="false" customHeight="false" outlineLevel="0" collapsed="false">
      <c r="B917" s="12" t="str">
        <f aca="false">IF(A917="","",IFERROR(INDEX(Recipes!$B:$B,MATCH(A917,Recipes!$A:$A,0)),"⚠ unknown recipe_id"))</f>
        <v/>
      </c>
      <c r="E917" s="12" t="str">
        <f aca="false">IF(C917="","",IFERROR(INDEX('Ingredient Catalog'!$C:$C,MATCH(C917,'Ingredient Catalog'!$A:$A,0)),"⚠ not in catalog"))</f>
        <v/>
      </c>
      <c r="G917" s="12" t="str">
        <f aca="false">IF(A917="","",COUNTIFS('Weekly Log'!$A:$A,'Grocery List'!$B$3,'Weekly Log'!$C:$C,A917,'Weekly Log'!$E:$E,"Yes"))</f>
        <v/>
      </c>
      <c r="H917" s="12" t="str">
        <f aca="false">IF(OR(A917="",D917=""),"",D917*G917)</f>
        <v/>
      </c>
    </row>
    <row r="918" customFormat="false" ht="15" hidden="false" customHeight="false" outlineLevel="0" collapsed="false">
      <c r="B918" s="12" t="str">
        <f aca="false">IF(A918="","",IFERROR(INDEX(Recipes!$B:$B,MATCH(A918,Recipes!$A:$A,0)),"⚠ unknown recipe_id"))</f>
        <v/>
      </c>
      <c r="E918" s="12" t="str">
        <f aca="false">IF(C918="","",IFERROR(INDEX('Ingredient Catalog'!$C:$C,MATCH(C918,'Ingredient Catalog'!$A:$A,0)),"⚠ not in catalog"))</f>
        <v/>
      </c>
      <c r="G918" s="12" t="str">
        <f aca="false">IF(A918="","",COUNTIFS('Weekly Log'!$A:$A,'Grocery List'!$B$3,'Weekly Log'!$C:$C,A918,'Weekly Log'!$E:$E,"Yes"))</f>
        <v/>
      </c>
      <c r="H918" s="12" t="str">
        <f aca="false">IF(OR(A918="",D918=""),"",D918*G918)</f>
        <v/>
      </c>
    </row>
    <row r="919" customFormat="false" ht="15" hidden="false" customHeight="false" outlineLevel="0" collapsed="false">
      <c r="B919" s="12" t="str">
        <f aca="false">IF(A919="","",IFERROR(INDEX(Recipes!$B:$B,MATCH(A919,Recipes!$A:$A,0)),"⚠ unknown recipe_id"))</f>
        <v/>
      </c>
      <c r="E919" s="12" t="str">
        <f aca="false">IF(C919="","",IFERROR(INDEX('Ingredient Catalog'!$C:$C,MATCH(C919,'Ingredient Catalog'!$A:$A,0)),"⚠ not in catalog"))</f>
        <v/>
      </c>
      <c r="G919" s="12" t="str">
        <f aca="false">IF(A919="","",COUNTIFS('Weekly Log'!$A:$A,'Grocery List'!$B$3,'Weekly Log'!$C:$C,A919,'Weekly Log'!$E:$E,"Yes"))</f>
        <v/>
      </c>
      <c r="H919" s="12" t="str">
        <f aca="false">IF(OR(A919="",D919=""),"",D919*G919)</f>
        <v/>
      </c>
    </row>
    <row r="920" customFormat="false" ht="15" hidden="false" customHeight="false" outlineLevel="0" collapsed="false">
      <c r="B920" s="12" t="str">
        <f aca="false">IF(A920="","",IFERROR(INDEX(Recipes!$B:$B,MATCH(A920,Recipes!$A:$A,0)),"⚠ unknown recipe_id"))</f>
        <v/>
      </c>
      <c r="E920" s="12" t="str">
        <f aca="false">IF(C920="","",IFERROR(INDEX('Ingredient Catalog'!$C:$C,MATCH(C920,'Ingredient Catalog'!$A:$A,0)),"⚠ not in catalog"))</f>
        <v/>
      </c>
      <c r="G920" s="12" t="str">
        <f aca="false">IF(A920="","",COUNTIFS('Weekly Log'!$A:$A,'Grocery List'!$B$3,'Weekly Log'!$C:$C,A920,'Weekly Log'!$E:$E,"Yes"))</f>
        <v/>
      </c>
      <c r="H920" s="12" t="str">
        <f aca="false">IF(OR(A920="",D920=""),"",D920*G920)</f>
        <v/>
      </c>
    </row>
    <row r="921" customFormat="false" ht="15" hidden="false" customHeight="false" outlineLevel="0" collapsed="false">
      <c r="B921" s="12" t="str">
        <f aca="false">IF(A921="","",IFERROR(INDEX(Recipes!$B:$B,MATCH(A921,Recipes!$A:$A,0)),"⚠ unknown recipe_id"))</f>
        <v/>
      </c>
      <c r="E921" s="12" t="str">
        <f aca="false">IF(C921="","",IFERROR(INDEX('Ingredient Catalog'!$C:$C,MATCH(C921,'Ingredient Catalog'!$A:$A,0)),"⚠ not in catalog"))</f>
        <v/>
      </c>
      <c r="G921" s="12" t="str">
        <f aca="false">IF(A921="","",COUNTIFS('Weekly Log'!$A:$A,'Grocery List'!$B$3,'Weekly Log'!$C:$C,A921,'Weekly Log'!$E:$E,"Yes"))</f>
        <v/>
      </c>
      <c r="H921" s="12" t="str">
        <f aca="false">IF(OR(A921="",D921=""),"",D921*G921)</f>
        <v/>
      </c>
    </row>
    <row r="922" customFormat="false" ht="15" hidden="false" customHeight="false" outlineLevel="0" collapsed="false">
      <c r="B922" s="12" t="str">
        <f aca="false">IF(A922="","",IFERROR(INDEX(Recipes!$B:$B,MATCH(A922,Recipes!$A:$A,0)),"⚠ unknown recipe_id"))</f>
        <v/>
      </c>
      <c r="E922" s="12" t="str">
        <f aca="false">IF(C922="","",IFERROR(INDEX('Ingredient Catalog'!$C:$C,MATCH(C922,'Ingredient Catalog'!$A:$A,0)),"⚠ not in catalog"))</f>
        <v/>
      </c>
      <c r="G922" s="12" t="str">
        <f aca="false">IF(A922="","",COUNTIFS('Weekly Log'!$A:$A,'Grocery List'!$B$3,'Weekly Log'!$C:$C,A922,'Weekly Log'!$E:$E,"Yes"))</f>
        <v/>
      </c>
      <c r="H922" s="12" t="str">
        <f aca="false">IF(OR(A922="",D922=""),"",D922*G922)</f>
        <v/>
      </c>
    </row>
    <row r="923" customFormat="false" ht="15" hidden="false" customHeight="false" outlineLevel="0" collapsed="false">
      <c r="B923" s="12" t="str">
        <f aca="false">IF(A923="","",IFERROR(INDEX(Recipes!$B:$B,MATCH(A923,Recipes!$A:$A,0)),"⚠ unknown recipe_id"))</f>
        <v/>
      </c>
      <c r="E923" s="12" t="str">
        <f aca="false">IF(C923="","",IFERROR(INDEX('Ingredient Catalog'!$C:$C,MATCH(C923,'Ingredient Catalog'!$A:$A,0)),"⚠ not in catalog"))</f>
        <v/>
      </c>
      <c r="G923" s="12" t="str">
        <f aca="false">IF(A923="","",COUNTIFS('Weekly Log'!$A:$A,'Grocery List'!$B$3,'Weekly Log'!$C:$C,A923,'Weekly Log'!$E:$E,"Yes"))</f>
        <v/>
      </c>
      <c r="H923" s="12" t="str">
        <f aca="false">IF(OR(A923="",D923=""),"",D923*G923)</f>
        <v/>
      </c>
    </row>
    <row r="924" customFormat="false" ht="15" hidden="false" customHeight="false" outlineLevel="0" collapsed="false">
      <c r="B924" s="12" t="str">
        <f aca="false">IF(A924="","",IFERROR(INDEX(Recipes!$B:$B,MATCH(A924,Recipes!$A:$A,0)),"⚠ unknown recipe_id"))</f>
        <v/>
      </c>
      <c r="E924" s="12" t="str">
        <f aca="false">IF(C924="","",IFERROR(INDEX('Ingredient Catalog'!$C:$C,MATCH(C924,'Ingredient Catalog'!$A:$A,0)),"⚠ not in catalog"))</f>
        <v/>
      </c>
      <c r="G924" s="12" t="str">
        <f aca="false">IF(A924="","",COUNTIFS('Weekly Log'!$A:$A,'Grocery List'!$B$3,'Weekly Log'!$C:$C,A924,'Weekly Log'!$E:$E,"Yes"))</f>
        <v/>
      </c>
      <c r="H924" s="12" t="str">
        <f aca="false">IF(OR(A924="",D924=""),"",D924*G924)</f>
        <v/>
      </c>
    </row>
    <row r="925" customFormat="false" ht="15" hidden="false" customHeight="false" outlineLevel="0" collapsed="false">
      <c r="B925" s="12" t="str">
        <f aca="false">IF(A925="","",IFERROR(INDEX(Recipes!$B:$B,MATCH(A925,Recipes!$A:$A,0)),"⚠ unknown recipe_id"))</f>
        <v/>
      </c>
      <c r="E925" s="12" t="str">
        <f aca="false">IF(C925="","",IFERROR(INDEX('Ingredient Catalog'!$C:$C,MATCH(C925,'Ingredient Catalog'!$A:$A,0)),"⚠ not in catalog"))</f>
        <v/>
      </c>
      <c r="G925" s="12" t="str">
        <f aca="false">IF(A925="","",COUNTIFS('Weekly Log'!$A:$A,'Grocery List'!$B$3,'Weekly Log'!$C:$C,A925,'Weekly Log'!$E:$E,"Yes"))</f>
        <v/>
      </c>
      <c r="H925" s="12" t="str">
        <f aca="false">IF(OR(A925="",D925=""),"",D925*G925)</f>
        <v/>
      </c>
    </row>
    <row r="926" customFormat="false" ht="15" hidden="false" customHeight="false" outlineLevel="0" collapsed="false">
      <c r="B926" s="12" t="str">
        <f aca="false">IF(A926="","",IFERROR(INDEX(Recipes!$B:$B,MATCH(A926,Recipes!$A:$A,0)),"⚠ unknown recipe_id"))</f>
        <v/>
      </c>
      <c r="E926" s="12" t="str">
        <f aca="false">IF(C926="","",IFERROR(INDEX('Ingredient Catalog'!$C:$C,MATCH(C926,'Ingredient Catalog'!$A:$A,0)),"⚠ not in catalog"))</f>
        <v/>
      </c>
      <c r="G926" s="12" t="str">
        <f aca="false">IF(A926="","",COUNTIFS('Weekly Log'!$A:$A,'Grocery List'!$B$3,'Weekly Log'!$C:$C,A926,'Weekly Log'!$E:$E,"Yes"))</f>
        <v/>
      </c>
      <c r="H926" s="12" t="str">
        <f aca="false">IF(OR(A926="",D926=""),"",D926*G926)</f>
        <v/>
      </c>
    </row>
    <row r="927" customFormat="false" ht="15" hidden="false" customHeight="false" outlineLevel="0" collapsed="false">
      <c r="B927" s="12" t="str">
        <f aca="false">IF(A927="","",IFERROR(INDEX(Recipes!$B:$B,MATCH(A927,Recipes!$A:$A,0)),"⚠ unknown recipe_id"))</f>
        <v/>
      </c>
      <c r="E927" s="12" t="str">
        <f aca="false">IF(C927="","",IFERROR(INDEX('Ingredient Catalog'!$C:$C,MATCH(C927,'Ingredient Catalog'!$A:$A,0)),"⚠ not in catalog"))</f>
        <v/>
      </c>
      <c r="G927" s="12" t="str">
        <f aca="false">IF(A927="","",COUNTIFS('Weekly Log'!$A:$A,'Grocery List'!$B$3,'Weekly Log'!$C:$C,A927,'Weekly Log'!$E:$E,"Yes"))</f>
        <v/>
      </c>
      <c r="H927" s="12" t="str">
        <f aca="false">IF(OR(A927="",D927=""),"",D927*G927)</f>
        <v/>
      </c>
    </row>
    <row r="928" customFormat="false" ht="15" hidden="false" customHeight="false" outlineLevel="0" collapsed="false">
      <c r="B928" s="12" t="str">
        <f aca="false">IF(A928="","",IFERROR(INDEX(Recipes!$B:$B,MATCH(A928,Recipes!$A:$A,0)),"⚠ unknown recipe_id"))</f>
        <v/>
      </c>
      <c r="E928" s="12" t="str">
        <f aca="false">IF(C928="","",IFERROR(INDEX('Ingredient Catalog'!$C:$C,MATCH(C928,'Ingredient Catalog'!$A:$A,0)),"⚠ not in catalog"))</f>
        <v/>
      </c>
      <c r="G928" s="12" t="str">
        <f aca="false">IF(A928="","",COUNTIFS('Weekly Log'!$A:$A,'Grocery List'!$B$3,'Weekly Log'!$C:$C,A928,'Weekly Log'!$E:$E,"Yes"))</f>
        <v/>
      </c>
      <c r="H928" s="12" t="str">
        <f aca="false">IF(OR(A928="",D928=""),"",D928*G928)</f>
        <v/>
      </c>
    </row>
    <row r="929" customFormat="false" ht="15" hidden="false" customHeight="false" outlineLevel="0" collapsed="false">
      <c r="B929" s="12" t="str">
        <f aca="false">IF(A929="","",IFERROR(INDEX(Recipes!$B:$B,MATCH(A929,Recipes!$A:$A,0)),"⚠ unknown recipe_id"))</f>
        <v/>
      </c>
      <c r="E929" s="12" t="str">
        <f aca="false">IF(C929="","",IFERROR(INDEX('Ingredient Catalog'!$C:$C,MATCH(C929,'Ingredient Catalog'!$A:$A,0)),"⚠ not in catalog"))</f>
        <v/>
      </c>
      <c r="G929" s="12" t="str">
        <f aca="false">IF(A929="","",COUNTIFS('Weekly Log'!$A:$A,'Grocery List'!$B$3,'Weekly Log'!$C:$C,A929,'Weekly Log'!$E:$E,"Yes"))</f>
        <v/>
      </c>
      <c r="H929" s="12" t="str">
        <f aca="false">IF(OR(A929="",D929=""),"",D929*G929)</f>
        <v/>
      </c>
    </row>
    <row r="930" customFormat="false" ht="15" hidden="false" customHeight="false" outlineLevel="0" collapsed="false">
      <c r="B930" s="12" t="str">
        <f aca="false">IF(A930="","",IFERROR(INDEX(Recipes!$B:$B,MATCH(A930,Recipes!$A:$A,0)),"⚠ unknown recipe_id"))</f>
        <v/>
      </c>
      <c r="E930" s="12" t="str">
        <f aca="false">IF(C930="","",IFERROR(INDEX('Ingredient Catalog'!$C:$C,MATCH(C930,'Ingredient Catalog'!$A:$A,0)),"⚠ not in catalog"))</f>
        <v/>
      </c>
      <c r="G930" s="12" t="str">
        <f aca="false">IF(A930="","",COUNTIFS('Weekly Log'!$A:$A,'Grocery List'!$B$3,'Weekly Log'!$C:$C,A930,'Weekly Log'!$E:$E,"Yes"))</f>
        <v/>
      </c>
      <c r="H930" s="12" t="str">
        <f aca="false">IF(OR(A930="",D930=""),"",D930*G930)</f>
        <v/>
      </c>
    </row>
    <row r="931" customFormat="false" ht="15" hidden="false" customHeight="false" outlineLevel="0" collapsed="false">
      <c r="B931" s="12" t="str">
        <f aca="false">IF(A931="","",IFERROR(INDEX(Recipes!$B:$B,MATCH(A931,Recipes!$A:$A,0)),"⚠ unknown recipe_id"))</f>
        <v/>
      </c>
      <c r="E931" s="12" t="str">
        <f aca="false">IF(C931="","",IFERROR(INDEX('Ingredient Catalog'!$C:$C,MATCH(C931,'Ingredient Catalog'!$A:$A,0)),"⚠ not in catalog"))</f>
        <v/>
      </c>
      <c r="G931" s="12" t="str">
        <f aca="false">IF(A931="","",COUNTIFS('Weekly Log'!$A:$A,'Grocery List'!$B$3,'Weekly Log'!$C:$C,A931,'Weekly Log'!$E:$E,"Yes"))</f>
        <v/>
      </c>
      <c r="H931" s="12" t="str">
        <f aca="false">IF(OR(A931="",D931=""),"",D931*G931)</f>
        <v/>
      </c>
    </row>
    <row r="932" customFormat="false" ht="15" hidden="false" customHeight="false" outlineLevel="0" collapsed="false">
      <c r="B932" s="12" t="str">
        <f aca="false">IF(A932="","",IFERROR(INDEX(Recipes!$B:$B,MATCH(A932,Recipes!$A:$A,0)),"⚠ unknown recipe_id"))</f>
        <v/>
      </c>
      <c r="E932" s="12" t="str">
        <f aca="false">IF(C932="","",IFERROR(INDEX('Ingredient Catalog'!$C:$C,MATCH(C932,'Ingredient Catalog'!$A:$A,0)),"⚠ not in catalog"))</f>
        <v/>
      </c>
      <c r="G932" s="12" t="str">
        <f aca="false">IF(A932="","",COUNTIFS('Weekly Log'!$A:$A,'Grocery List'!$B$3,'Weekly Log'!$C:$C,A932,'Weekly Log'!$E:$E,"Yes"))</f>
        <v/>
      </c>
      <c r="H932" s="12" t="str">
        <f aca="false">IF(OR(A932="",D932=""),"",D932*G932)</f>
        <v/>
      </c>
    </row>
    <row r="933" customFormat="false" ht="15" hidden="false" customHeight="false" outlineLevel="0" collapsed="false">
      <c r="B933" s="12" t="str">
        <f aca="false">IF(A933="","",IFERROR(INDEX(Recipes!$B:$B,MATCH(A933,Recipes!$A:$A,0)),"⚠ unknown recipe_id"))</f>
        <v/>
      </c>
      <c r="E933" s="12" t="str">
        <f aca="false">IF(C933="","",IFERROR(INDEX('Ingredient Catalog'!$C:$C,MATCH(C933,'Ingredient Catalog'!$A:$A,0)),"⚠ not in catalog"))</f>
        <v/>
      </c>
      <c r="G933" s="12" t="str">
        <f aca="false">IF(A933="","",COUNTIFS('Weekly Log'!$A:$A,'Grocery List'!$B$3,'Weekly Log'!$C:$C,A933,'Weekly Log'!$E:$E,"Yes"))</f>
        <v/>
      </c>
      <c r="H933" s="12" t="str">
        <f aca="false">IF(OR(A933="",D933=""),"",D933*G933)</f>
        <v/>
      </c>
    </row>
    <row r="934" customFormat="false" ht="15" hidden="false" customHeight="false" outlineLevel="0" collapsed="false">
      <c r="B934" s="12" t="str">
        <f aca="false">IF(A934="","",IFERROR(INDEX(Recipes!$B:$B,MATCH(A934,Recipes!$A:$A,0)),"⚠ unknown recipe_id"))</f>
        <v/>
      </c>
      <c r="E934" s="12" t="str">
        <f aca="false">IF(C934="","",IFERROR(INDEX('Ingredient Catalog'!$C:$C,MATCH(C934,'Ingredient Catalog'!$A:$A,0)),"⚠ not in catalog"))</f>
        <v/>
      </c>
      <c r="G934" s="12" t="str">
        <f aca="false">IF(A934="","",COUNTIFS('Weekly Log'!$A:$A,'Grocery List'!$B$3,'Weekly Log'!$C:$C,A934,'Weekly Log'!$E:$E,"Yes"))</f>
        <v/>
      </c>
      <c r="H934" s="12" t="str">
        <f aca="false">IF(OR(A934="",D934=""),"",D934*G934)</f>
        <v/>
      </c>
    </row>
    <row r="935" customFormat="false" ht="15" hidden="false" customHeight="false" outlineLevel="0" collapsed="false">
      <c r="B935" s="12" t="str">
        <f aca="false">IF(A935="","",IFERROR(INDEX(Recipes!$B:$B,MATCH(A935,Recipes!$A:$A,0)),"⚠ unknown recipe_id"))</f>
        <v/>
      </c>
      <c r="E935" s="12" t="str">
        <f aca="false">IF(C935="","",IFERROR(INDEX('Ingredient Catalog'!$C:$C,MATCH(C935,'Ingredient Catalog'!$A:$A,0)),"⚠ not in catalog"))</f>
        <v/>
      </c>
      <c r="G935" s="12" t="str">
        <f aca="false">IF(A935="","",COUNTIFS('Weekly Log'!$A:$A,'Grocery List'!$B$3,'Weekly Log'!$C:$C,A935,'Weekly Log'!$E:$E,"Yes"))</f>
        <v/>
      </c>
      <c r="H935" s="12" t="str">
        <f aca="false">IF(OR(A935="",D935=""),"",D935*G935)</f>
        <v/>
      </c>
    </row>
    <row r="936" customFormat="false" ht="15" hidden="false" customHeight="false" outlineLevel="0" collapsed="false">
      <c r="B936" s="12" t="str">
        <f aca="false">IF(A936="","",IFERROR(INDEX(Recipes!$B:$B,MATCH(A936,Recipes!$A:$A,0)),"⚠ unknown recipe_id"))</f>
        <v/>
      </c>
      <c r="E936" s="12" t="str">
        <f aca="false">IF(C936="","",IFERROR(INDEX('Ingredient Catalog'!$C:$C,MATCH(C936,'Ingredient Catalog'!$A:$A,0)),"⚠ not in catalog"))</f>
        <v/>
      </c>
      <c r="G936" s="12" t="str">
        <f aca="false">IF(A936="","",COUNTIFS('Weekly Log'!$A:$A,'Grocery List'!$B$3,'Weekly Log'!$C:$C,A936,'Weekly Log'!$E:$E,"Yes"))</f>
        <v/>
      </c>
      <c r="H936" s="12" t="str">
        <f aca="false">IF(OR(A936="",D936=""),"",D936*G936)</f>
        <v/>
      </c>
    </row>
    <row r="937" customFormat="false" ht="15" hidden="false" customHeight="false" outlineLevel="0" collapsed="false">
      <c r="B937" s="12" t="str">
        <f aca="false">IF(A937="","",IFERROR(INDEX(Recipes!$B:$B,MATCH(A937,Recipes!$A:$A,0)),"⚠ unknown recipe_id"))</f>
        <v/>
      </c>
      <c r="E937" s="12" t="str">
        <f aca="false">IF(C937="","",IFERROR(INDEX('Ingredient Catalog'!$C:$C,MATCH(C937,'Ingredient Catalog'!$A:$A,0)),"⚠ not in catalog"))</f>
        <v/>
      </c>
      <c r="G937" s="12" t="str">
        <f aca="false">IF(A937="","",COUNTIFS('Weekly Log'!$A:$A,'Grocery List'!$B$3,'Weekly Log'!$C:$C,A937,'Weekly Log'!$E:$E,"Yes"))</f>
        <v/>
      </c>
      <c r="H937" s="12" t="str">
        <f aca="false">IF(OR(A937="",D937=""),"",D937*G937)</f>
        <v/>
      </c>
    </row>
    <row r="938" customFormat="false" ht="15" hidden="false" customHeight="false" outlineLevel="0" collapsed="false">
      <c r="B938" s="12" t="str">
        <f aca="false">IF(A938="","",IFERROR(INDEX(Recipes!$B:$B,MATCH(A938,Recipes!$A:$A,0)),"⚠ unknown recipe_id"))</f>
        <v/>
      </c>
      <c r="E938" s="12" t="str">
        <f aca="false">IF(C938="","",IFERROR(INDEX('Ingredient Catalog'!$C:$C,MATCH(C938,'Ingredient Catalog'!$A:$A,0)),"⚠ not in catalog"))</f>
        <v/>
      </c>
      <c r="G938" s="12" t="str">
        <f aca="false">IF(A938="","",COUNTIFS('Weekly Log'!$A:$A,'Grocery List'!$B$3,'Weekly Log'!$C:$C,A938,'Weekly Log'!$E:$E,"Yes"))</f>
        <v/>
      </c>
      <c r="H938" s="12" t="str">
        <f aca="false">IF(OR(A938="",D938=""),"",D938*G938)</f>
        <v/>
      </c>
    </row>
    <row r="939" customFormat="false" ht="15" hidden="false" customHeight="false" outlineLevel="0" collapsed="false">
      <c r="B939" s="12" t="str">
        <f aca="false">IF(A939="","",IFERROR(INDEX(Recipes!$B:$B,MATCH(A939,Recipes!$A:$A,0)),"⚠ unknown recipe_id"))</f>
        <v/>
      </c>
      <c r="E939" s="12" t="str">
        <f aca="false">IF(C939="","",IFERROR(INDEX('Ingredient Catalog'!$C:$C,MATCH(C939,'Ingredient Catalog'!$A:$A,0)),"⚠ not in catalog"))</f>
        <v/>
      </c>
      <c r="G939" s="12" t="str">
        <f aca="false">IF(A939="","",COUNTIFS('Weekly Log'!$A:$A,'Grocery List'!$B$3,'Weekly Log'!$C:$C,A939,'Weekly Log'!$E:$E,"Yes"))</f>
        <v/>
      </c>
      <c r="H939" s="12" t="str">
        <f aca="false">IF(OR(A939="",D939=""),"",D939*G939)</f>
        <v/>
      </c>
    </row>
    <row r="940" customFormat="false" ht="15" hidden="false" customHeight="false" outlineLevel="0" collapsed="false">
      <c r="B940" s="12" t="str">
        <f aca="false">IF(A940="","",IFERROR(INDEX(Recipes!$B:$B,MATCH(A940,Recipes!$A:$A,0)),"⚠ unknown recipe_id"))</f>
        <v/>
      </c>
      <c r="E940" s="12" t="str">
        <f aca="false">IF(C940="","",IFERROR(INDEX('Ingredient Catalog'!$C:$C,MATCH(C940,'Ingredient Catalog'!$A:$A,0)),"⚠ not in catalog"))</f>
        <v/>
      </c>
      <c r="G940" s="12" t="str">
        <f aca="false">IF(A940="","",COUNTIFS('Weekly Log'!$A:$A,'Grocery List'!$B$3,'Weekly Log'!$C:$C,A940,'Weekly Log'!$E:$E,"Yes"))</f>
        <v/>
      </c>
      <c r="H940" s="12" t="str">
        <f aca="false">IF(OR(A940="",D940=""),"",D940*G940)</f>
        <v/>
      </c>
    </row>
    <row r="941" customFormat="false" ht="15" hidden="false" customHeight="false" outlineLevel="0" collapsed="false">
      <c r="B941" s="12" t="str">
        <f aca="false">IF(A941="","",IFERROR(INDEX(Recipes!$B:$B,MATCH(A941,Recipes!$A:$A,0)),"⚠ unknown recipe_id"))</f>
        <v/>
      </c>
      <c r="E941" s="12" t="str">
        <f aca="false">IF(C941="","",IFERROR(INDEX('Ingredient Catalog'!$C:$C,MATCH(C941,'Ingredient Catalog'!$A:$A,0)),"⚠ not in catalog"))</f>
        <v/>
      </c>
      <c r="G941" s="12" t="str">
        <f aca="false">IF(A941="","",COUNTIFS('Weekly Log'!$A:$A,'Grocery List'!$B$3,'Weekly Log'!$C:$C,A941,'Weekly Log'!$E:$E,"Yes"))</f>
        <v/>
      </c>
      <c r="H941" s="12" t="str">
        <f aca="false">IF(OR(A941="",D941=""),"",D941*G941)</f>
        <v/>
      </c>
    </row>
    <row r="942" customFormat="false" ht="15" hidden="false" customHeight="false" outlineLevel="0" collapsed="false">
      <c r="B942" s="12" t="str">
        <f aca="false">IF(A942="","",IFERROR(INDEX(Recipes!$B:$B,MATCH(A942,Recipes!$A:$A,0)),"⚠ unknown recipe_id"))</f>
        <v/>
      </c>
      <c r="E942" s="12" t="str">
        <f aca="false">IF(C942="","",IFERROR(INDEX('Ingredient Catalog'!$C:$C,MATCH(C942,'Ingredient Catalog'!$A:$A,0)),"⚠ not in catalog"))</f>
        <v/>
      </c>
      <c r="G942" s="12" t="str">
        <f aca="false">IF(A942="","",COUNTIFS('Weekly Log'!$A:$A,'Grocery List'!$B$3,'Weekly Log'!$C:$C,A942,'Weekly Log'!$E:$E,"Yes"))</f>
        <v/>
      </c>
      <c r="H942" s="12" t="str">
        <f aca="false">IF(OR(A942="",D942=""),"",D942*G942)</f>
        <v/>
      </c>
    </row>
    <row r="943" customFormat="false" ht="15" hidden="false" customHeight="false" outlineLevel="0" collapsed="false">
      <c r="B943" s="12" t="str">
        <f aca="false">IF(A943="","",IFERROR(INDEX(Recipes!$B:$B,MATCH(A943,Recipes!$A:$A,0)),"⚠ unknown recipe_id"))</f>
        <v/>
      </c>
      <c r="E943" s="12" t="str">
        <f aca="false">IF(C943="","",IFERROR(INDEX('Ingredient Catalog'!$C:$C,MATCH(C943,'Ingredient Catalog'!$A:$A,0)),"⚠ not in catalog"))</f>
        <v/>
      </c>
      <c r="G943" s="12" t="str">
        <f aca="false">IF(A943="","",COUNTIFS('Weekly Log'!$A:$A,'Grocery List'!$B$3,'Weekly Log'!$C:$C,A943,'Weekly Log'!$E:$E,"Yes"))</f>
        <v/>
      </c>
      <c r="H943" s="12" t="str">
        <f aca="false">IF(OR(A943="",D943=""),"",D943*G943)</f>
        <v/>
      </c>
    </row>
    <row r="944" customFormat="false" ht="15" hidden="false" customHeight="false" outlineLevel="0" collapsed="false">
      <c r="B944" s="12" t="str">
        <f aca="false">IF(A944="","",IFERROR(INDEX(Recipes!$B:$B,MATCH(A944,Recipes!$A:$A,0)),"⚠ unknown recipe_id"))</f>
        <v/>
      </c>
      <c r="E944" s="12" t="str">
        <f aca="false">IF(C944="","",IFERROR(INDEX('Ingredient Catalog'!$C:$C,MATCH(C944,'Ingredient Catalog'!$A:$A,0)),"⚠ not in catalog"))</f>
        <v/>
      </c>
      <c r="G944" s="12" t="str">
        <f aca="false">IF(A944="","",COUNTIFS('Weekly Log'!$A:$A,'Grocery List'!$B$3,'Weekly Log'!$C:$C,A944,'Weekly Log'!$E:$E,"Yes"))</f>
        <v/>
      </c>
      <c r="H944" s="12" t="str">
        <f aca="false">IF(OR(A944="",D944=""),"",D944*G944)</f>
        <v/>
      </c>
    </row>
    <row r="945" customFormat="false" ht="15" hidden="false" customHeight="false" outlineLevel="0" collapsed="false">
      <c r="B945" s="12" t="str">
        <f aca="false">IF(A945="","",IFERROR(INDEX(Recipes!$B:$B,MATCH(A945,Recipes!$A:$A,0)),"⚠ unknown recipe_id"))</f>
        <v/>
      </c>
      <c r="E945" s="12" t="str">
        <f aca="false">IF(C945="","",IFERROR(INDEX('Ingredient Catalog'!$C:$C,MATCH(C945,'Ingredient Catalog'!$A:$A,0)),"⚠ not in catalog"))</f>
        <v/>
      </c>
      <c r="G945" s="12" t="str">
        <f aca="false">IF(A945="","",COUNTIFS('Weekly Log'!$A:$A,'Grocery List'!$B$3,'Weekly Log'!$C:$C,A945,'Weekly Log'!$E:$E,"Yes"))</f>
        <v/>
      </c>
      <c r="H945" s="12" t="str">
        <f aca="false">IF(OR(A945="",D945=""),"",D945*G945)</f>
        <v/>
      </c>
    </row>
    <row r="946" customFormat="false" ht="15" hidden="false" customHeight="false" outlineLevel="0" collapsed="false">
      <c r="B946" s="12" t="str">
        <f aca="false">IF(A946="","",IFERROR(INDEX(Recipes!$B:$B,MATCH(A946,Recipes!$A:$A,0)),"⚠ unknown recipe_id"))</f>
        <v/>
      </c>
      <c r="E946" s="12" t="str">
        <f aca="false">IF(C946="","",IFERROR(INDEX('Ingredient Catalog'!$C:$C,MATCH(C946,'Ingredient Catalog'!$A:$A,0)),"⚠ not in catalog"))</f>
        <v/>
      </c>
      <c r="G946" s="12" t="str">
        <f aca="false">IF(A946="","",COUNTIFS('Weekly Log'!$A:$A,'Grocery List'!$B$3,'Weekly Log'!$C:$C,A946,'Weekly Log'!$E:$E,"Yes"))</f>
        <v/>
      </c>
      <c r="H946" s="12" t="str">
        <f aca="false">IF(OR(A946="",D946=""),"",D946*G946)</f>
        <v/>
      </c>
    </row>
    <row r="947" customFormat="false" ht="15" hidden="false" customHeight="false" outlineLevel="0" collapsed="false">
      <c r="B947" s="12" t="str">
        <f aca="false">IF(A947="","",IFERROR(INDEX(Recipes!$B:$B,MATCH(A947,Recipes!$A:$A,0)),"⚠ unknown recipe_id"))</f>
        <v/>
      </c>
      <c r="E947" s="12" t="str">
        <f aca="false">IF(C947="","",IFERROR(INDEX('Ingredient Catalog'!$C:$C,MATCH(C947,'Ingredient Catalog'!$A:$A,0)),"⚠ not in catalog"))</f>
        <v/>
      </c>
      <c r="G947" s="12" t="str">
        <f aca="false">IF(A947="","",COUNTIFS('Weekly Log'!$A:$A,'Grocery List'!$B$3,'Weekly Log'!$C:$C,A947,'Weekly Log'!$E:$E,"Yes"))</f>
        <v/>
      </c>
      <c r="H947" s="12" t="str">
        <f aca="false">IF(OR(A947="",D947=""),"",D947*G947)</f>
        <v/>
      </c>
    </row>
    <row r="948" customFormat="false" ht="15" hidden="false" customHeight="false" outlineLevel="0" collapsed="false">
      <c r="B948" s="12" t="str">
        <f aca="false">IF(A948="","",IFERROR(INDEX(Recipes!$B:$B,MATCH(A948,Recipes!$A:$A,0)),"⚠ unknown recipe_id"))</f>
        <v/>
      </c>
      <c r="E948" s="12" t="str">
        <f aca="false">IF(C948="","",IFERROR(INDEX('Ingredient Catalog'!$C:$C,MATCH(C948,'Ingredient Catalog'!$A:$A,0)),"⚠ not in catalog"))</f>
        <v/>
      </c>
      <c r="G948" s="12" t="str">
        <f aca="false">IF(A948="","",COUNTIFS('Weekly Log'!$A:$A,'Grocery List'!$B$3,'Weekly Log'!$C:$C,A948,'Weekly Log'!$E:$E,"Yes"))</f>
        <v/>
      </c>
      <c r="H948" s="12" t="str">
        <f aca="false">IF(OR(A948="",D948=""),"",D948*G948)</f>
        <v/>
      </c>
    </row>
    <row r="949" customFormat="false" ht="15" hidden="false" customHeight="false" outlineLevel="0" collapsed="false">
      <c r="B949" s="12" t="str">
        <f aca="false">IF(A949="","",IFERROR(INDEX(Recipes!$B:$B,MATCH(A949,Recipes!$A:$A,0)),"⚠ unknown recipe_id"))</f>
        <v/>
      </c>
      <c r="E949" s="12" t="str">
        <f aca="false">IF(C949="","",IFERROR(INDEX('Ingredient Catalog'!$C:$C,MATCH(C949,'Ingredient Catalog'!$A:$A,0)),"⚠ not in catalog"))</f>
        <v/>
      </c>
      <c r="G949" s="12" t="str">
        <f aca="false">IF(A949="","",COUNTIFS('Weekly Log'!$A:$A,'Grocery List'!$B$3,'Weekly Log'!$C:$C,A949,'Weekly Log'!$E:$E,"Yes"))</f>
        <v/>
      </c>
      <c r="H949" s="12" t="str">
        <f aca="false">IF(OR(A949="",D949=""),"",D949*G949)</f>
        <v/>
      </c>
    </row>
    <row r="950" customFormat="false" ht="15" hidden="false" customHeight="false" outlineLevel="0" collapsed="false">
      <c r="B950" s="12" t="str">
        <f aca="false">IF(A950="","",IFERROR(INDEX(Recipes!$B:$B,MATCH(A950,Recipes!$A:$A,0)),"⚠ unknown recipe_id"))</f>
        <v/>
      </c>
      <c r="E950" s="12" t="str">
        <f aca="false">IF(C950="","",IFERROR(INDEX('Ingredient Catalog'!$C:$C,MATCH(C950,'Ingredient Catalog'!$A:$A,0)),"⚠ not in catalog"))</f>
        <v/>
      </c>
      <c r="G950" s="12" t="str">
        <f aca="false">IF(A950="","",COUNTIFS('Weekly Log'!$A:$A,'Grocery List'!$B$3,'Weekly Log'!$C:$C,A950,'Weekly Log'!$E:$E,"Yes"))</f>
        <v/>
      </c>
      <c r="H950" s="12" t="str">
        <f aca="false">IF(OR(A950="",D950=""),"",D950*G950)</f>
        <v/>
      </c>
    </row>
    <row r="951" customFormat="false" ht="15" hidden="false" customHeight="false" outlineLevel="0" collapsed="false">
      <c r="B951" s="12" t="str">
        <f aca="false">IF(A951="","",IFERROR(INDEX(Recipes!$B:$B,MATCH(A951,Recipes!$A:$A,0)),"⚠ unknown recipe_id"))</f>
        <v/>
      </c>
      <c r="E951" s="12" t="str">
        <f aca="false">IF(C951="","",IFERROR(INDEX('Ingredient Catalog'!$C:$C,MATCH(C951,'Ingredient Catalog'!$A:$A,0)),"⚠ not in catalog"))</f>
        <v/>
      </c>
      <c r="G951" s="12" t="str">
        <f aca="false">IF(A951="","",COUNTIFS('Weekly Log'!$A:$A,'Grocery List'!$B$3,'Weekly Log'!$C:$C,A951,'Weekly Log'!$E:$E,"Yes"))</f>
        <v/>
      </c>
      <c r="H951" s="12" t="str">
        <f aca="false">IF(OR(A951="",D951=""),"",D951*G951)</f>
        <v/>
      </c>
    </row>
    <row r="952" customFormat="false" ht="15" hidden="false" customHeight="false" outlineLevel="0" collapsed="false">
      <c r="B952" s="12" t="str">
        <f aca="false">IF(A952="","",IFERROR(INDEX(Recipes!$B:$B,MATCH(A952,Recipes!$A:$A,0)),"⚠ unknown recipe_id"))</f>
        <v/>
      </c>
      <c r="E952" s="12" t="str">
        <f aca="false">IF(C952="","",IFERROR(INDEX('Ingredient Catalog'!$C:$C,MATCH(C952,'Ingredient Catalog'!$A:$A,0)),"⚠ not in catalog"))</f>
        <v/>
      </c>
      <c r="G952" s="12" t="str">
        <f aca="false">IF(A952="","",COUNTIFS('Weekly Log'!$A:$A,'Grocery List'!$B$3,'Weekly Log'!$C:$C,A952,'Weekly Log'!$E:$E,"Yes"))</f>
        <v/>
      </c>
      <c r="H952" s="12" t="str">
        <f aca="false">IF(OR(A952="",D952=""),"",D952*G952)</f>
        <v/>
      </c>
    </row>
    <row r="953" customFormat="false" ht="15" hidden="false" customHeight="false" outlineLevel="0" collapsed="false">
      <c r="B953" s="12" t="str">
        <f aca="false">IF(A953="","",IFERROR(INDEX(Recipes!$B:$B,MATCH(A953,Recipes!$A:$A,0)),"⚠ unknown recipe_id"))</f>
        <v/>
      </c>
      <c r="E953" s="12" t="str">
        <f aca="false">IF(C953="","",IFERROR(INDEX('Ingredient Catalog'!$C:$C,MATCH(C953,'Ingredient Catalog'!$A:$A,0)),"⚠ not in catalog"))</f>
        <v/>
      </c>
      <c r="G953" s="12" t="str">
        <f aca="false">IF(A953="","",COUNTIFS('Weekly Log'!$A:$A,'Grocery List'!$B$3,'Weekly Log'!$C:$C,A953,'Weekly Log'!$E:$E,"Yes"))</f>
        <v/>
      </c>
      <c r="H953" s="12" t="str">
        <f aca="false">IF(OR(A953="",D953=""),"",D953*G953)</f>
        <v/>
      </c>
    </row>
    <row r="954" customFormat="false" ht="15" hidden="false" customHeight="false" outlineLevel="0" collapsed="false">
      <c r="B954" s="12" t="str">
        <f aca="false">IF(A954="","",IFERROR(INDEX(Recipes!$B:$B,MATCH(A954,Recipes!$A:$A,0)),"⚠ unknown recipe_id"))</f>
        <v/>
      </c>
      <c r="E954" s="12" t="str">
        <f aca="false">IF(C954="","",IFERROR(INDEX('Ingredient Catalog'!$C:$C,MATCH(C954,'Ingredient Catalog'!$A:$A,0)),"⚠ not in catalog"))</f>
        <v/>
      </c>
      <c r="G954" s="12" t="str">
        <f aca="false">IF(A954="","",COUNTIFS('Weekly Log'!$A:$A,'Grocery List'!$B$3,'Weekly Log'!$C:$C,A954,'Weekly Log'!$E:$E,"Yes"))</f>
        <v/>
      </c>
      <c r="H954" s="12" t="str">
        <f aca="false">IF(OR(A954="",D954=""),"",D954*G954)</f>
        <v/>
      </c>
    </row>
    <row r="955" customFormat="false" ht="15" hidden="false" customHeight="false" outlineLevel="0" collapsed="false">
      <c r="B955" s="12" t="str">
        <f aca="false">IF(A955="","",IFERROR(INDEX(Recipes!$B:$B,MATCH(A955,Recipes!$A:$A,0)),"⚠ unknown recipe_id"))</f>
        <v/>
      </c>
      <c r="E955" s="12" t="str">
        <f aca="false">IF(C955="","",IFERROR(INDEX('Ingredient Catalog'!$C:$C,MATCH(C955,'Ingredient Catalog'!$A:$A,0)),"⚠ not in catalog"))</f>
        <v/>
      </c>
      <c r="G955" s="12" t="str">
        <f aca="false">IF(A955="","",COUNTIFS('Weekly Log'!$A:$A,'Grocery List'!$B$3,'Weekly Log'!$C:$C,A955,'Weekly Log'!$E:$E,"Yes"))</f>
        <v/>
      </c>
      <c r="H955" s="12" t="str">
        <f aca="false">IF(OR(A955="",D955=""),"",D955*G955)</f>
        <v/>
      </c>
    </row>
    <row r="956" customFormat="false" ht="15" hidden="false" customHeight="false" outlineLevel="0" collapsed="false">
      <c r="B956" s="12" t="str">
        <f aca="false">IF(A956="","",IFERROR(INDEX(Recipes!$B:$B,MATCH(A956,Recipes!$A:$A,0)),"⚠ unknown recipe_id"))</f>
        <v/>
      </c>
      <c r="E956" s="12" t="str">
        <f aca="false">IF(C956="","",IFERROR(INDEX('Ingredient Catalog'!$C:$C,MATCH(C956,'Ingredient Catalog'!$A:$A,0)),"⚠ not in catalog"))</f>
        <v/>
      </c>
      <c r="G956" s="12" t="str">
        <f aca="false">IF(A956="","",COUNTIFS('Weekly Log'!$A:$A,'Grocery List'!$B$3,'Weekly Log'!$C:$C,A956,'Weekly Log'!$E:$E,"Yes"))</f>
        <v/>
      </c>
      <c r="H956" s="12" t="str">
        <f aca="false">IF(OR(A956="",D956=""),"",D956*G956)</f>
        <v/>
      </c>
    </row>
    <row r="957" customFormat="false" ht="15" hidden="false" customHeight="false" outlineLevel="0" collapsed="false">
      <c r="B957" s="12" t="str">
        <f aca="false">IF(A957="","",IFERROR(INDEX(Recipes!$B:$B,MATCH(A957,Recipes!$A:$A,0)),"⚠ unknown recipe_id"))</f>
        <v/>
      </c>
      <c r="E957" s="12" t="str">
        <f aca="false">IF(C957="","",IFERROR(INDEX('Ingredient Catalog'!$C:$C,MATCH(C957,'Ingredient Catalog'!$A:$A,0)),"⚠ not in catalog"))</f>
        <v/>
      </c>
      <c r="G957" s="12" t="str">
        <f aca="false">IF(A957="","",COUNTIFS('Weekly Log'!$A:$A,'Grocery List'!$B$3,'Weekly Log'!$C:$C,A957,'Weekly Log'!$E:$E,"Yes"))</f>
        <v/>
      </c>
      <c r="H957" s="12" t="str">
        <f aca="false">IF(OR(A957="",D957=""),"",D957*G957)</f>
        <v/>
      </c>
    </row>
    <row r="958" customFormat="false" ht="15" hidden="false" customHeight="false" outlineLevel="0" collapsed="false">
      <c r="B958" s="12" t="str">
        <f aca="false">IF(A958="","",IFERROR(INDEX(Recipes!$B:$B,MATCH(A958,Recipes!$A:$A,0)),"⚠ unknown recipe_id"))</f>
        <v/>
      </c>
      <c r="E958" s="12" t="str">
        <f aca="false">IF(C958="","",IFERROR(INDEX('Ingredient Catalog'!$C:$C,MATCH(C958,'Ingredient Catalog'!$A:$A,0)),"⚠ not in catalog"))</f>
        <v/>
      </c>
      <c r="G958" s="12" t="str">
        <f aca="false">IF(A958="","",COUNTIFS('Weekly Log'!$A:$A,'Grocery List'!$B$3,'Weekly Log'!$C:$C,A958,'Weekly Log'!$E:$E,"Yes"))</f>
        <v/>
      </c>
      <c r="H958" s="12" t="str">
        <f aca="false">IF(OR(A958="",D958=""),"",D958*G958)</f>
        <v/>
      </c>
    </row>
    <row r="959" customFormat="false" ht="15" hidden="false" customHeight="false" outlineLevel="0" collapsed="false">
      <c r="B959" s="12" t="str">
        <f aca="false">IF(A959="","",IFERROR(INDEX(Recipes!$B:$B,MATCH(A959,Recipes!$A:$A,0)),"⚠ unknown recipe_id"))</f>
        <v/>
      </c>
      <c r="E959" s="12" t="str">
        <f aca="false">IF(C959="","",IFERROR(INDEX('Ingredient Catalog'!$C:$C,MATCH(C959,'Ingredient Catalog'!$A:$A,0)),"⚠ not in catalog"))</f>
        <v/>
      </c>
      <c r="G959" s="12" t="str">
        <f aca="false">IF(A959="","",COUNTIFS('Weekly Log'!$A:$A,'Grocery List'!$B$3,'Weekly Log'!$C:$C,A959,'Weekly Log'!$E:$E,"Yes"))</f>
        <v/>
      </c>
      <c r="H959" s="12" t="str">
        <f aca="false">IF(OR(A959="",D959=""),"",D959*G959)</f>
        <v/>
      </c>
    </row>
    <row r="960" customFormat="false" ht="15" hidden="false" customHeight="false" outlineLevel="0" collapsed="false">
      <c r="B960" s="12" t="str">
        <f aca="false">IF(A960="","",IFERROR(INDEX(Recipes!$B:$B,MATCH(A960,Recipes!$A:$A,0)),"⚠ unknown recipe_id"))</f>
        <v/>
      </c>
      <c r="E960" s="12" t="str">
        <f aca="false">IF(C960="","",IFERROR(INDEX('Ingredient Catalog'!$C:$C,MATCH(C960,'Ingredient Catalog'!$A:$A,0)),"⚠ not in catalog"))</f>
        <v/>
      </c>
      <c r="G960" s="12" t="str">
        <f aca="false">IF(A960="","",COUNTIFS('Weekly Log'!$A:$A,'Grocery List'!$B$3,'Weekly Log'!$C:$C,A960,'Weekly Log'!$E:$E,"Yes"))</f>
        <v/>
      </c>
      <c r="H960" s="12" t="str">
        <f aca="false">IF(OR(A960="",D960=""),"",D960*G960)</f>
        <v/>
      </c>
    </row>
    <row r="961" customFormat="false" ht="15" hidden="false" customHeight="false" outlineLevel="0" collapsed="false">
      <c r="B961" s="12" t="str">
        <f aca="false">IF(A961="","",IFERROR(INDEX(Recipes!$B:$B,MATCH(A961,Recipes!$A:$A,0)),"⚠ unknown recipe_id"))</f>
        <v/>
      </c>
      <c r="E961" s="12" t="str">
        <f aca="false">IF(C961="","",IFERROR(INDEX('Ingredient Catalog'!$C:$C,MATCH(C961,'Ingredient Catalog'!$A:$A,0)),"⚠ not in catalog"))</f>
        <v/>
      </c>
      <c r="G961" s="12" t="str">
        <f aca="false">IF(A961="","",COUNTIFS('Weekly Log'!$A:$A,'Grocery List'!$B$3,'Weekly Log'!$C:$C,A961,'Weekly Log'!$E:$E,"Yes"))</f>
        <v/>
      </c>
      <c r="H961" s="12" t="str">
        <f aca="false">IF(OR(A961="",D961=""),"",D961*G961)</f>
        <v/>
      </c>
    </row>
    <row r="962" customFormat="false" ht="15" hidden="false" customHeight="false" outlineLevel="0" collapsed="false">
      <c r="B962" s="12" t="str">
        <f aca="false">IF(A962="","",IFERROR(INDEX(Recipes!$B:$B,MATCH(A962,Recipes!$A:$A,0)),"⚠ unknown recipe_id"))</f>
        <v/>
      </c>
      <c r="E962" s="12" t="str">
        <f aca="false">IF(C962="","",IFERROR(INDEX('Ingredient Catalog'!$C:$C,MATCH(C962,'Ingredient Catalog'!$A:$A,0)),"⚠ not in catalog"))</f>
        <v/>
      </c>
      <c r="G962" s="12" t="str">
        <f aca="false">IF(A962="","",COUNTIFS('Weekly Log'!$A:$A,'Grocery List'!$B$3,'Weekly Log'!$C:$C,A962,'Weekly Log'!$E:$E,"Yes"))</f>
        <v/>
      </c>
      <c r="H962" s="12" t="str">
        <f aca="false">IF(OR(A962="",D962=""),"",D962*G962)</f>
        <v/>
      </c>
    </row>
    <row r="963" customFormat="false" ht="15" hidden="false" customHeight="false" outlineLevel="0" collapsed="false">
      <c r="B963" s="12" t="str">
        <f aca="false">IF(A963="","",IFERROR(INDEX(Recipes!$B:$B,MATCH(A963,Recipes!$A:$A,0)),"⚠ unknown recipe_id"))</f>
        <v/>
      </c>
      <c r="E963" s="12" t="str">
        <f aca="false">IF(C963="","",IFERROR(INDEX('Ingredient Catalog'!$C:$C,MATCH(C963,'Ingredient Catalog'!$A:$A,0)),"⚠ not in catalog"))</f>
        <v/>
      </c>
      <c r="G963" s="12" t="str">
        <f aca="false">IF(A963="","",COUNTIFS('Weekly Log'!$A:$A,'Grocery List'!$B$3,'Weekly Log'!$C:$C,A963,'Weekly Log'!$E:$E,"Yes"))</f>
        <v/>
      </c>
      <c r="H963" s="12" t="str">
        <f aca="false">IF(OR(A963="",D963=""),"",D963*G963)</f>
        <v/>
      </c>
    </row>
    <row r="964" customFormat="false" ht="15" hidden="false" customHeight="false" outlineLevel="0" collapsed="false">
      <c r="B964" s="12" t="str">
        <f aca="false">IF(A964="","",IFERROR(INDEX(Recipes!$B:$B,MATCH(A964,Recipes!$A:$A,0)),"⚠ unknown recipe_id"))</f>
        <v/>
      </c>
      <c r="E964" s="12" t="str">
        <f aca="false">IF(C964="","",IFERROR(INDEX('Ingredient Catalog'!$C:$C,MATCH(C964,'Ingredient Catalog'!$A:$A,0)),"⚠ not in catalog"))</f>
        <v/>
      </c>
      <c r="G964" s="12" t="str">
        <f aca="false">IF(A964="","",COUNTIFS('Weekly Log'!$A:$A,'Grocery List'!$B$3,'Weekly Log'!$C:$C,A964,'Weekly Log'!$E:$E,"Yes"))</f>
        <v/>
      </c>
      <c r="H964" s="12" t="str">
        <f aca="false">IF(OR(A964="",D964=""),"",D964*G964)</f>
        <v/>
      </c>
    </row>
    <row r="965" customFormat="false" ht="15" hidden="false" customHeight="false" outlineLevel="0" collapsed="false">
      <c r="B965" s="12" t="str">
        <f aca="false">IF(A965="","",IFERROR(INDEX(Recipes!$B:$B,MATCH(A965,Recipes!$A:$A,0)),"⚠ unknown recipe_id"))</f>
        <v/>
      </c>
      <c r="E965" s="12" t="str">
        <f aca="false">IF(C965="","",IFERROR(INDEX('Ingredient Catalog'!$C:$C,MATCH(C965,'Ingredient Catalog'!$A:$A,0)),"⚠ not in catalog"))</f>
        <v/>
      </c>
      <c r="G965" s="12" t="str">
        <f aca="false">IF(A965="","",COUNTIFS('Weekly Log'!$A:$A,'Grocery List'!$B$3,'Weekly Log'!$C:$C,A965,'Weekly Log'!$E:$E,"Yes"))</f>
        <v/>
      </c>
      <c r="H965" s="12" t="str">
        <f aca="false">IF(OR(A965="",D965=""),"",D965*G965)</f>
        <v/>
      </c>
    </row>
    <row r="966" customFormat="false" ht="15" hidden="false" customHeight="false" outlineLevel="0" collapsed="false">
      <c r="B966" s="12" t="str">
        <f aca="false">IF(A966="","",IFERROR(INDEX(Recipes!$B:$B,MATCH(A966,Recipes!$A:$A,0)),"⚠ unknown recipe_id"))</f>
        <v/>
      </c>
      <c r="E966" s="12" t="str">
        <f aca="false">IF(C966="","",IFERROR(INDEX('Ingredient Catalog'!$C:$C,MATCH(C966,'Ingredient Catalog'!$A:$A,0)),"⚠ not in catalog"))</f>
        <v/>
      </c>
      <c r="G966" s="12" t="str">
        <f aca="false">IF(A966="","",COUNTIFS('Weekly Log'!$A:$A,'Grocery List'!$B$3,'Weekly Log'!$C:$C,A966,'Weekly Log'!$E:$E,"Yes"))</f>
        <v/>
      </c>
      <c r="H966" s="12" t="str">
        <f aca="false">IF(OR(A966="",D966=""),"",D966*G966)</f>
        <v/>
      </c>
    </row>
    <row r="967" customFormat="false" ht="15" hidden="false" customHeight="false" outlineLevel="0" collapsed="false">
      <c r="B967" s="12" t="str">
        <f aca="false">IF(A967="","",IFERROR(INDEX(Recipes!$B:$B,MATCH(A967,Recipes!$A:$A,0)),"⚠ unknown recipe_id"))</f>
        <v/>
      </c>
      <c r="E967" s="12" t="str">
        <f aca="false">IF(C967="","",IFERROR(INDEX('Ingredient Catalog'!$C:$C,MATCH(C967,'Ingredient Catalog'!$A:$A,0)),"⚠ not in catalog"))</f>
        <v/>
      </c>
      <c r="G967" s="12" t="str">
        <f aca="false">IF(A967="","",COUNTIFS('Weekly Log'!$A:$A,'Grocery List'!$B$3,'Weekly Log'!$C:$C,A967,'Weekly Log'!$E:$E,"Yes"))</f>
        <v/>
      </c>
      <c r="H967" s="12" t="str">
        <f aca="false">IF(OR(A967="",D967=""),"",D967*G967)</f>
        <v/>
      </c>
    </row>
    <row r="968" customFormat="false" ht="15" hidden="false" customHeight="false" outlineLevel="0" collapsed="false">
      <c r="B968" s="12" t="str">
        <f aca="false">IF(A968="","",IFERROR(INDEX(Recipes!$B:$B,MATCH(A968,Recipes!$A:$A,0)),"⚠ unknown recipe_id"))</f>
        <v/>
      </c>
      <c r="E968" s="12" t="str">
        <f aca="false">IF(C968="","",IFERROR(INDEX('Ingredient Catalog'!$C:$C,MATCH(C968,'Ingredient Catalog'!$A:$A,0)),"⚠ not in catalog"))</f>
        <v/>
      </c>
      <c r="G968" s="12" t="str">
        <f aca="false">IF(A968="","",COUNTIFS('Weekly Log'!$A:$A,'Grocery List'!$B$3,'Weekly Log'!$C:$C,A968,'Weekly Log'!$E:$E,"Yes"))</f>
        <v/>
      </c>
      <c r="H968" s="12" t="str">
        <f aca="false">IF(OR(A968="",D968=""),"",D968*G968)</f>
        <v/>
      </c>
    </row>
    <row r="969" customFormat="false" ht="15" hidden="false" customHeight="false" outlineLevel="0" collapsed="false">
      <c r="B969" s="12" t="str">
        <f aca="false">IF(A969="","",IFERROR(INDEX(Recipes!$B:$B,MATCH(A969,Recipes!$A:$A,0)),"⚠ unknown recipe_id"))</f>
        <v/>
      </c>
      <c r="E969" s="12" t="str">
        <f aca="false">IF(C969="","",IFERROR(INDEX('Ingredient Catalog'!$C:$C,MATCH(C969,'Ingredient Catalog'!$A:$A,0)),"⚠ not in catalog"))</f>
        <v/>
      </c>
      <c r="G969" s="12" t="str">
        <f aca="false">IF(A969="","",COUNTIFS('Weekly Log'!$A:$A,'Grocery List'!$B$3,'Weekly Log'!$C:$C,A969,'Weekly Log'!$E:$E,"Yes"))</f>
        <v/>
      </c>
      <c r="H969" s="12" t="str">
        <f aca="false">IF(OR(A969="",D969=""),"",D969*G969)</f>
        <v/>
      </c>
    </row>
    <row r="970" customFormat="false" ht="15" hidden="false" customHeight="false" outlineLevel="0" collapsed="false">
      <c r="B970" s="12" t="str">
        <f aca="false">IF(A970="","",IFERROR(INDEX(Recipes!$B:$B,MATCH(A970,Recipes!$A:$A,0)),"⚠ unknown recipe_id"))</f>
        <v/>
      </c>
      <c r="E970" s="12" t="str">
        <f aca="false">IF(C970="","",IFERROR(INDEX('Ingredient Catalog'!$C:$C,MATCH(C970,'Ingredient Catalog'!$A:$A,0)),"⚠ not in catalog"))</f>
        <v/>
      </c>
      <c r="G970" s="12" t="str">
        <f aca="false">IF(A970="","",COUNTIFS('Weekly Log'!$A:$A,'Grocery List'!$B$3,'Weekly Log'!$C:$C,A970,'Weekly Log'!$E:$E,"Yes"))</f>
        <v/>
      </c>
      <c r="H970" s="12" t="str">
        <f aca="false">IF(OR(A970="",D970=""),"",D970*G970)</f>
        <v/>
      </c>
    </row>
    <row r="971" customFormat="false" ht="15" hidden="false" customHeight="false" outlineLevel="0" collapsed="false">
      <c r="B971" s="12" t="str">
        <f aca="false">IF(A971="","",IFERROR(INDEX(Recipes!$B:$B,MATCH(A971,Recipes!$A:$A,0)),"⚠ unknown recipe_id"))</f>
        <v/>
      </c>
      <c r="E971" s="12" t="str">
        <f aca="false">IF(C971="","",IFERROR(INDEX('Ingredient Catalog'!$C:$C,MATCH(C971,'Ingredient Catalog'!$A:$A,0)),"⚠ not in catalog"))</f>
        <v/>
      </c>
      <c r="G971" s="12" t="str">
        <f aca="false">IF(A971="","",COUNTIFS('Weekly Log'!$A:$A,'Grocery List'!$B$3,'Weekly Log'!$C:$C,A971,'Weekly Log'!$E:$E,"Yes"))</f>
        <v/>
      </c>
      <c r="H971" s="12" t="str">
        <f aca="false">IF(OR(A971="",D971=""),"",D971*G971)</f>
        <v/>
      </c>
    </row>
    <row r="972" customFormat="false" ht="15" hidden="false" customHeight="false" outlineLevel="0" collapsed="false">
      <c r="B972" s="12" t="str">
        <f aca="false">IF(A972="","",IFERROR(INDEX(Recipes!$B:$B,MATCH(A972,Recipes!$A:$A,0)),"⚠ unknown recipe_id"))</f>
        <v/>
      </c>
      <c r="E972" s="12" t="str">
        <f aca="false">IF(C972="","",IFERROR(INDEX('Ingredient Catalog'!$C:$C,MATCH(C972,'Ingredient Catalog'!$A:$A,0)),"⚠ not in catalog"))</f>
        <v/>
      </c>
      <c r="G972" s="12" t="str">
        <f aca="false">IF(A972="","",COUNTIFS('Weekly Log'!$A:$A,'Grocery List'!$B$3,'Weekly Log'!$C:$C,A972,'Weekly Log'!$E:$E,"Yes"))</f>
        <v/>
      </c>
      <c r="H972" s="12" t="str">
        <f aca="false">IF(OR(A972="",D972=""),"",D972*G972)</f>
        <v/>
      </c>
    </row>
    <row r="973" customFormat="false" ht="15" hidden="false" customHeight="false" outlineLevel="0" collapsed="false">
      <c r="B973" s="12" t="str">
        <f aca="false">IF(A973="","",IFERROR(INDEX(Recipes!$B:$B,MATCH(A973,Recipes!$A:$A,0)),"⚠ unknown recipe_id"))</f>
        <v/>
      </c>
      <c r="E973" s="12" t="str">
        <f aca="false">IF(C973="","",IFERROR(INDEX('Ingredient Catalog'!$C:$C,MATCH(C973,'Ingredient Catalog'!$A:$A,0)),"⚠ not in catalog"))</f>
        <v/>
      </c>
      <c r="G973" s="12" t="str">
        <f aca="false">IF(A973="","",COUNTIFS('Weekly Log'!$A:$A,'Grocery List'!$B$3,'Weekly Log'!$C:$C,A973,'Weekly Log'!$E:$E,"Yes"))</f>
        <v/>
      </c>
      <c r="H973" s="12" t="str">
        <f aca="false">IF(OR(A973="",D973=""),"",D973*G973)</f>
        <v/>
      </c>
    </row>
    <row r="974" customFormat="false" ht="15" hidden="false" customHeight="false" outlineLevel="0" collapsed="false">
      <c r="B974" s="12" t="str">
        <f aca="false">IF(A974="","",IFERROR(INDEX(Recipes!$B:$B,MATCH(A974,Recipes!$A:$A,0)),"⚠ unknown recipe_id"))</f>
        <v/>
      </c>
      <c r="E974" s="12" t="str">
        <f aca="false">IF(C974="","",IFERROR(INDEX('Ingredient Catalog'!$C:$C,MATCH(C974,'Ingredient Catalog'!$A:$A,0)),"⚠ not in catalog"))</f>
        <v/>
      </c>
      <c r="G974" s="12" t="str">
        <f aca="false">IF(A974="","",COUNTIFS('Weekly Log'!$A:$A,'Grocery List'!$B$3,'Weekly Log'!$C:$C,A974,'Weekly Log'!$E:$E,"Yes"))</f>
        <v/>
      </c>
      <c r="H974" s="12" t="str">
        <f aca="false">IF(OR(A974="",D974=""),"",D974*G974)</f>
        <v/>
      </c>
    </row>
    <row r="975" customFormat="false" ht="15" hidden="false" customHeight="false" outlineLevel="0" collapsed="false">
      <c r="B975" s="12" t="str">
        <f aca="false">IF(A975="","",IFERROR(INDEX(Recipes!$B:$B,MATCH(A975,Recipes!$A:$A,0)),"⚠ unknown recipe_id"))</f>
        <v/>
      </c>
      <c r="E975" s="12" t="str">
        <f aca="false">IF(C975="","",IFERROR(INDEX('Ingredient Catalog'!$C:$C,MATCH(C975,'Ingredient Catalog'!$A:$A,0)),"⚠ not in catalog"))</f>
        <v/>
      </c>
      <c r="G975" s="12" t="str">
        <f aca="false">IF(A975="","",COUNTIFS('Weekly Log'!$A:$A,'Grocery List'!$B$3,'Weekly Log'!$C:$C,A975,'Weekly Log'!$E:$E,"Yes"))</f>
        <v/>
      </c>
      <c r="H975" s="12" t="str">
        <f aca="false">IF(OR(A975="",D975=""),"",D975*G975)</f>
        <v/>
      </c>
    </row>
    <row r="976" customFormat="false" ht="15" hidden="false" customHeight="false" outlineLevel="0" collapsed="false">
      <c r="B976" s="12" t="str">
        <f aca="false">IF(A976="","",IFERROR(INDEX(Recipes!$B:$B,MATCH(A976,Recipes!$A:$A,0)),"⚠ unknown recipe_id"))</f>
        <v/>
      </c>
      <c r="E976" s="12" t="str">
        <f aca="false">IF(C976="","",IFERROR(INDEX('Ingredient Catalog'!$C:$C,MATCH(C976,'Ingredient Catalog'!$A:$A,0)),"⚠ not in catalog"))</f>
        <v/>
      </c>
      <c r="G976" s="12" t="str">
        <f aca="false">IF(A976="","",COUNTIFS('Weekly Log'!$A:$A,'Grocery List'!$B$3,'Weekly Log'!$C:$C,A976,'Weekly Log'!$E:$E,"Yes"))</f>
        <v/>
      </c>
      <c r="H976" s="12" t="str">
        <f aca="false">IF(OR(A976="",D976=""),"",D976*G976)</f>
        <v/>
      </c>
    </row>
    <row r="977" customFormat="false" ht="15" hidden="false" customHeight="false" outlineLevel="0" collapsed="false">
      <c r="B977" s="12" t="str">
        <f aca="false">IF(A977="","",IFERROR(INDEX(Recipes!$B:$B,MATCH(A977,Recipes!$A:$A,0)),"⚠ unknown recipe_id"))</f>
        <v/>
      </c>
      <c r="E977" s="12" t="str">
        <f aca="false">IF(C977="","",IFERROR(INDEX('Ingredient Catalog'!$C:$C,MATCH(C977,'Ingredient Catalog'!$A:$A,0)),"⚠ not in catalog"))</f>
        <v/>
      </c>
      <c r="G977" s="12" t="str">
        <f aca="false">IF(A977="","",COUNTIFS('Weekly Log'!$A:$A,'Grocery List'!$B$3,'Weekly Log'!$C:$C,A977,'Weekly Log'!$E:$E,"Yes"))</f>
        <v/>
      </c>
      <c r="H977" s="12" t="str">
        <f aca="false">IF(OR(A977="",D977=""),"",D977*G977)</f>
        <v/>
      </c>
    </row>
    <row r="978" customFormat="false" ht="15" hidden="false" customHeight="false" outlineLevel="0" collapsed="false">
      <c r="B978" s="12" t="str">
        <f aca="false">IF(A978="","",IFERROR(INDEX(Recipes!$B:$B,MATCH(A978,Recipes!$A:$A,0)),"⚠ unknown recipe_id"))</f>
        <v/>
      </c>
      <c r="E978" s="12" t="str">
        <f aca="false">IF(C978="","",IFERROR(INDEX('Ingredient Catalog'!$C:$C,MATCH(C978,'Ingredient Catalog'!$A:$A,0)),"⚠ not in catalog"))</f>
        <v/>
      </c>
      <c r="G978" s="12" t="str">
        <f aca="false">IF(A978="","",COUNTIFS('Weekly Log'!$A:$A,'Grocery List'!$B$3,'Weekly Log'!$C:$C,A978,'Weekly Log'!$E:$E,"Yes"))</f>
        <v/>
      </c>
      <c r="H978" s="12" t="str">
        <f aca="false">IF(OR(A978="",D978=""),"",D978*G978)</f>
        <v/>
      </c>
    </row>
    <row r="979" customFormat="false" ht="15" hidden="false" customHeight="false" outlineLevel="0" collapsed="false">
      <c r="B979" s="12" t="str">
        <f aca="false">IF(A979="","",IFERROR(INDEX(Recipes!$B:$B,MATCH(A979,Recipes!$A:$A,0)),"⚠ unknown recipe_id"))</f>
        <v/>
      </c>
      <c r="E979" s="12" t="str">
        <f aca="false">IF(C979="","",IFERROR(INDEX('Ingredient Catalog'!$C:$C,MATCH(C979,'Ingredient Catalog'!$A:$A,0)),"⚠ not in catalog"))</f>
        <v/>
      </c>
      <c r="G979" s="12" t="str">
        <f aca="false">IF(A979="","",COUNTIFS('Weekly Log'!$A:$A,'Grocery List'!$B$3,'Weekly Log'!$C:$C,A979,'Weekly Log'!$E:$E,"Yes"))</f>
        <v/>
      </c>
      <c r="H979" s="12" t="str">
        <f aca="false">IF(OR(A979="",D979=""),"",D979*G979)</f>
        <v/>
      </c>
    </row>
    <row r="980" customFormat="false" ht="15" hidden="false" customHeight="false" outlineLevel="0" collapsed="false">
      <c r="B980" s="12" t="str">
        <f aca="false">IF(A980="","",IFERROR(INDEX(Recipes!$B:$B,MATCH(A980,Recipes!$A:$A,0)),"⚠ unknown recipe_id"))</f>
        <v/>
      </c>
      <c r="E980" s="12" t="str">
        <f aca="false">IF(C980="","",IFERROR(INDEX('Ingredient Catalog'!$C:$C,MATCH(C980,'Ingredient Catalog'!$A:$A,0)),"⚠ not in catalog"))</f>
        <v/>
      </c>
      <c r="G980" s="12" t="str">
        <f aca="false">IF(A980="","",COUNTIFS('Weekly Log'!$A:$A,'Grocery List'!$B$3,'Weekly Log'!$C:$C,A980,'Weekly Log'!$E:$E,"Yes"))</f>
        <v/>
      </c>
      <c r="H980" s="12" t="str">
        <f aca="false">IF(OR(A980="",D980=""),"",D980*G980)</f>
        <v/>
      </c>
    </row>
    <row r="981" customFormat="false" ht="15" hidden="false" customHeight="false" outlineLevel="0" collapsed="false">
      <c r="B981" s="12" t="str">
        <f aca="false">IF(A981="","",IFERROR(INDEX(Recipes!$B:$B,MATCH(A981,Recipes!$A:$A,0)),"⚠ unknown recipe_id"))</f>
        <v/>
      </c>
      <c r="E981" s="12" t="str">
        <f aca="false">IF(C981="","",IFERROR(INDEX('Ingredient Catalog'!$C:$C,MATCH(C981,'Ingredient Catalog'!$A:$A,0)),"⚠ not in catalog"))</f>
        <v/>
      </c>
      <c r="G981" s="12" t="str">
        <f aca="false">IF(A981="","",COUNTIFS('Weekly Log'!$A:$A,'Grocery List'!$B$3,'Weekly Log'!$C:$C,A981,'Weekly Log'!$E:$E,"Yes"))</f>
        <v/>
      </c>
      <c r="H981" s="12" t="str">
        <f aca="false">IF(OR(A981="",D981=""),"",D981*G981)</f>
        <v/>
      </c>
    </row>
    <row r="982" customFormat="false" ht="15" hidden="false" customHeight="false" outlineLevel="0" collapsed="false">
      <c r="B982" s="12" t="str">
        <f aca="false">IF(A982="","",IFERROR(INDEX(Recipes!$B:$B,MATCH(A982,Recipes!$A:$A,0)),"⚠ unknown recipe_id"))</f>
        <v/>
      </c>
      <c r="E982" s="12" t="str">
        <f aca="false">IF(C982="","",IFERROR(INDEX('Ingredient Catalog'!$C:$C,MATCH(C982,'Ingredient Catalog'!$A:$A,0)),"⚠ not in catalog"))</f>
        <v/>
      </c>
      <c r="G982" s="12" t="str">
        <f aca="false">IF(A982="","",COUNTIFS('Weekly Log'!$A:$A,'Grocery List'!$B$3,'Weekly Log'!$C:$C,A982,'Weekly Log'!$E:$E,"Yes"))</f>
        <v/>
      </c>
      <c r="H982" s="12" t="str">
        <f aca="false">IF(OR(A982="",D982=""),"",D982*G982)</f>
        <v/>
      </c>
    </row>
    <row r="983" customFormat="false" ht="15" hidden="false" customHeight="false" outlineLevel="0" collapsed="false">
      <c r="B983" s="12" t="str">
        <f aca="false">IF(A983="","",IFERROR(INDEX(Recipes!$B:$B,MATCH(A983,Recipes!$A:$A,0)),"⚠ unknown recipe_id"))</f>
        <v/>
      </c>
      <c r="E983" s="12" t="str">
        <f aca="false">IF(C983="","",IFERROR(INDEX('Ingredient Catalog'!$C:$C,MATCH(C983,'Ingredient Catalog'!$A:$A,0)),"⚠ not in catalog"))</f>
        <v/>
      </c>
      <c r="G983" s="12" t="str">
        <f aca="false">IF(A983="","",COUNTIFS('Weekly Log'!$A:$A,'Grocery List'!$B$3,'Weekly Log'!$C:$C,A983,'Weekly Log'!$E:$E,"Yes"))</f>
        <v/>
      </c>
      <c r="H983" s="12" t="str">
        <f aca="false">IF(OR(A983="",D983=""),"",D983*G983)</f>
        <v/>
      </c>
    </row>
    <row r="984" customFormat="false" ht="15" hidden="false" customHeight="false" outlineLevel="0" collapsed="false">
      <c r="B984" s="12" t="str">
        <f aca="false">IF(A984="","",IFERROR(INDEX(Recipes!$B:$B,MATCH(A984,Recipes!$A:$A,0)),"⚠ unknown recipe_id"))</f>
        <v/>
      </c>
      <c r="E984" s="12" t="str">
        <f aca="false">IF(C984="","",IFERROR(INDEX('Ingredient Catalog'!$C:$C,MATCH(C984,'Ingredient Catalog'!$A:$A,0)),"⚠ not in catalog"))</f>
        <v/>
      </c>
      <c r="G984" s="12" t="str">
        <f aca="false">IF(A984="","",COUNTIFS('Weekly Log'!$A:$A,'Grocery List'!$B$3,'Weekly Log'!$C:$C,A984,'Weekly Log'!$E:$E,"Yes"))</f>
        <v/>
      </c>
      <c r="H984" s="12" t="str">
        <f aca="false">IF(OR(A984="",D984=""),"",D984*G984)</f>
        <v/>
      </c>
    </row>
    <row r="985" customFormat="false" ht="15" hidden="false" customHeight="false" outlineLevel="0" collapsed="false">
      <c r="B985" s="12" t="str">
        <f aca="false">IF(A985="","",IFERROR(INDEX(Recipes!$B:$B,MATCH(A985,Recipes!$A:$A,0)),"⚠ unknown recipe_id"))</f>
        <v/>
      </c>
      <c r="E985" s="12" t="str">
        <f aca="false">IF(C985="","",IFERROR(INDEX('Ingredient Catalog'!$C:$C,MATCH(C985,'Ingredient Catalog'!$A:$A,0)),"⚠ not in catalog"))</f>
        <v/>
      </c>
      <c r="G985" s="12" t="str">
        <f aca="false">IF(A985="","",COUNTIFS('Weekly Log'!$A:$A,'Grocery List'!$B$3,'Weekly Log'!$C:$C,A985,'Weekly Log'!$E:$E,"Yes"))</f>
        <v/>
      </c>
      <c r="H985" s="12" t="str">
        <f aca="false">IF(OR(A985="",D985=""),"",D985*G985)</f>
        <v/>
      </c>
    </row>
    <row r="986" customFormat="false" ht="15" hidden="false" customHeight="false" outlineLevel="0" collapsed="false">
      <c r="B986" s="12" t="str">
        <f aca="false">IF(A986="","",IFERROR(INDEX(Recipes!$B:$B,MATCH(A986,Recipes!$A:$A,0)),"⚠ unknown recipe_id"))</f>
        <v/>
      </c>
      <c r="E986" s="12" t="str">
        <f aca="false">IF(C986="","",IFERROR(INDEX('Ingredient Catalog'!$C:$C,MATCH(C986,'Ingredient Catalog'!$A:$A,0)),"⚠ not in catalog"))</f>
        <v/>
      </c>
      <c r="G986" s="12" t="str">
        <f aca="false">IF(A986="","",COUNTIFS('Weekly Log'!$A:$A,'Grocery List'!$B$3,'Weekly Log'!$C:$C,A986,'Weekly Log'!$E:$E,"Yes"))</f>
        <v/>
      </c>
      <c r="H986" s="12" t="str">
        <f aca="false">IF(OR(A986="",D986=""),"",D986*G986)</f>
        <v/>
      </c>
    </row>
    <row r="987" customFormat="false" ht="15" hidden="false" customHeight="false" outlineLevel="0" collapsed="false">
      <c r="B987" s="12" t="str">
        <f aca="false">IF(A987="","",IFERROR(INDEX(Recipes!$B:$B,MATCH(A987,Recipes!$A:$A,0)),"⚠ unknown recipe_id"))</f>
        <v/>
      </c>
      <c r="E987" s="12" t="str">
        <f aca="false">IF(C987="","",IFERROR(INDEX('Ingredient Catalog'!$C:$C,MATCH(C987,'Ingredient Catalog'!$A:$A,0)),"⚠ not in catalog"))</f>
        <v/>
      </c>
      <c r="G987" s="12" t="str">
        <f aca="false">IF(A987="","",COUNTIFS('Weekly Log'!$A:$A,'Grocery List'!$B$3,'Weekly Log'!$C:$C,A987,'Weekly Log'!$E:$E,"Yes"))</f>
        <v/>
      </c>
      <c r="H987" s="12" t="str">
        <f aca="false">IF(OR(A987="",D987=""),"",D987*G987)</f>
        <v/>
      </c>
    </row>
    <row r="988" customFormat="false" ht="15" hidden="false" customHeight="false" outlineLevel="0" collapsed="false">
      <c r="B988" s="12" t="str">
        <f aca="false">IF(A988="","",IFERROR(INDEX(Recipes!$B:$B,MATCH(A988,Recipes!$A:$A,0)),"⚠ unknown recipe_id"))</f>
        <v/>
      </c>
      <c r="E988" s="12" t="str">
        <f aca="false">IF(C988="","",IFERROR(INDEX('Ingredient Catalog'!$C:$C,MATCH(C988,'Ingredient Catalog'!$A:$A,0)),"⚠ not in catalog"))</f>
        <v/>
      </c>
      <c r="G988" s="12" t="str">
        <f aca="false">IF(A988="","",COUNTIFS('Weekly Log'!$A:$A,'Grocery List'!$B$3,'Weekly Log'!$C:$C,A988,'Weekly Log'!$E:$E,"Yes"))</f>
        <v/>
      </c>
      <c r="H988" s="12" t="str">
        <f aca="false">IF(OR(A988="",D988=""),"",D988*G988)</f>
        <v/>
      </c>
    </row>
    <row r="989" customFormat="false" ht="15" hidden="false" customHeight="false" outlineLevel="0" collapsed="false">
      <c r="B989" s="12" t="str">
        <f aca="false">IF(A989="","",IFERROR(INDEX(Recipes!$B:$B,MATCH(A989,Recipes!$A:$A,0)),"⚠ unknown recipe_id"))</f>
        <v/>
      </c>
      <c r="E989" s="12" t="str">
        <f aca="false">IF(C989="","",IFERROR(INDEX('Ingredient Catalog'!$C:$C,MATCH(C989,'Ingredient Catalog'!$A:$A,0)),"⚠ not in catalog"))</f>
        <v/>
      </c>
      <c r="G989" s="12" t="str">
        <f aca="false">IF(A989="","",COUNTIFS('Weekly Log'!$A:$A,'Grocery List'!$B$3,'Weekly Log'!$C:$C,A989,'Weekly Log'!$E:$E,"Yes"))</f>
        <v/>
      </c>
      <c r="H989" s="12" t="str">
        <f aca="false">IF(OR(A989="",D989=""),"",D989*G989)</f>
        <v/>
      </c>
    </row>
    <row r="990" customFormat="false" ht="15" hidden="false" customHeight="false" outlineLevel="0" collapsed="false">
      <c r="B990" s="12" t="str">
        <f aca="false">IF(A990="","",IFERROR(INDEX(Recipes!$B:$B,MATCH(A990,Recipes!$A:$A,0)),"⚠ unknown recipe_id"))</f>
        <v/>
      </c>
      <c r="E990" s="12" t="str">
        <f aca="false">IF(C990="","",IFERROR(INDEX('Ingredient Catalog'!$C:$C,MATCH(C990,'Ingredient Catalog'!$A:$A,0)),"⚠ not in catalog"))</f>
        <v/>
      </c>
      <c r="G990" s="12" t="str">
        <f aca="false">IF(A990="","",COUNTIFS('Weekly Log'!$A:$A,'Grocery List'!$B$3,'Weekly Log'!$C:$C,A990,'Weekly Log'!$E:$E,"Yes"))</f>
        <v/>
      </c>
      <c r="H990" s="12" t="str">
        <f aca="false">IF(OR(A990="",D990=""),"",D990*G990)</f>
        <v/>
      </c>
    </row>
    <row r="991" customFormat="false" ht="15" hidden="false" customHeight="false" outlineLevel="0" collapsed="false">
      <c r="B991" s="12" t="str">
        <f aca="false">IF(A991="","",IFERROR(INDEX(Recipes!$B:$B,MATCH(A991,Recipes!$A:$A,0)),"⚠ unknown recipe_id"))</f>
        <v/>
      </c>
      <c r="E991" s="12" t="str">
        <f aca="false">IF(C991="","",IFERROR(INDEX('Ingredient Catalog'!$C:$C,MATCH(C991,'Ingredient Catalog'!$A:$A,0)),"⚠ not in catalog"))</f>
        <v/>
      </c>
      <c r="G991" s="12" t="str">
        <f aca="false">IF(A991="","",COUNTIFS('Weekly Log'!$A:$A,'Grocery List'!$B$3,'Weekly Log'!$C:$C,A991,'Weekly Log'!$E:$E,"Yes"))</f>
        <v/>
      </c>
      <c r="H991" s="12" t="str">
        <f aca="false">IF(OR(A991="",D991=""),"",D991*G991)</f>
        <v/>
      </c>
    </row>
    <row r="992" customFormat="false" ht="15" hidden="false" customHeight="false" outlineLevel="0" collapsed="false">
      <c r="B992" s="12" t="str">
        <f aca="false">IF(A992="","",IFERROR(INDEX(Recipes!$B:$B,MATCH(A992,Recipes!$A:$A,0)),"⚠ unknown recipe_id"))</f>
        <v/>
      </c>
      <c r="E992" s="12" t="str">
        <f aca="false">IF(C992="","",IFERROR(INDEX('Ingredient Catalog'!$C:$C,MATCH(C992,'Ingredient Catalog'!$A:$A,0)),"⚠ not in catalog"))</f>
        <v/>
      </c>
      <c r="G992" s="12" t="str">
        <f aca="false">IF(A992="","",COUNTIFS('Weekly Log'!$A:$A,'Grocery List'!$B$3,'Weekly Log'!$C:$C,A992,'Weekly Log'!$E:$E,"Yes"))</f>
        <v/>
      </c>
      <c r="H992" s="12" t="str">
        <f aca="false">IF(OR(A992="",D992=""),"",D992*G992)</f>
        <v/>
      </c>
    </row>
    <row r="993" customFormat="false" ht="15" hidden="false" customHeight="false" outlineLevel="0" collapsed="false">
      <c r="B993" s="12" t="str">
        <f aca="false">IF(A993="","",IFERROR(INDEX(Recipes!$B:$B,MATCH(A993,Recipes!$A:$A,0)),"⚠ unknown recipe_id"))</f>
        <v/>
      </c>
      <c r="E993" s="12" t="str">
        <f aca="false">IF(C993="","",IFERROR(INDEX('Ingredient Catalog'!$C:$C,MATCH(C993,'Ingredient Catalog'!$A:$A,0)),"⚠ not in catalog"))</f>
        <v/>
      </c>
      <c r="G993" s="12" t="str">
        <f aca="false">IF(A993="","",COUNTIFS('Weekly Log'!$A:$A,'Grocery List'!$B$3,'Weekly Log'!$C:$C,A993,'Weekly Log'!$E:$E,"Yes"))</f>
        <v/>
      </c>
      <c r="H993" s="12" t="str">
        <f aca="false">IF(OR(A993="",D993=""),"",D993*G993)</f>
        <v/>
      </c>
    </row>
    <row r="994" customFormat="false" ht="15" hidden="false" customHeight="false" outlineLevel="0" collapsed="false">
      <c r="B994" s="12" t="str">
        <f aca="false">IF(A994="","",IFERROR(INDEX(Recipes!$B:$B,MATCH(A994,Recipes!$A:$A,0)),"⚠ unknown recipe_id"))</f>
        <v/>
      </c>
      <c r="E994" s="12" t="str">
        <f aca="false">IF(C994="","",IFERROR(INDEX('Ingredient Catalog'!$C:$C,MATCH(C994,'Ingredient Catalog'!$A:$A,0)),"⚠ not in catalog"))</f>
        <v/>
      </c>
      <c r="G994" s="12" t="str">
        <f aca="false">IF(A994="","",COUNTIFS('Weekly Log'!$A:$A,'Grocery List'!$B$3,'Weekly Log'!$C:$C,A994,'Weekly Log'!$E:$E,"Yes"))</f>
        <v/>
      </c>
      <c r="H994" s="12" t="str">
        <f aca="false">IF(OR(A994="",D994=""),"",D994*G994)</f>
        <v/>
      </c>
    </row>
    <row r="995" customFormat="false" ht="15" hidden="false" customHeight="false" outlineLevel="0" collapsed="false">
      <c r="B995" s="12" t="str">
        <f aca="false">IF(A995="","",IFERROR(INDEX(Recipes!$B:$B,MATCH(A995,Recipes!$A:$A,0)),"⚠ unknown recipe_id"))</f>
        <v/>
      </c>
      <c r="E995" s="12" t="str">
        <f aca="false">IF(C995="","",IFERROR(INDEX('Ingredient Catalog'!$C:$C,MATCH(C995,'Ingredient Catalog'!$A:$A,0)),"⚠ not in catalog"))</f>
        <v/>
      </c>
      <c r="G995" s="12" t="str">
        <f aca="false">IF(A995="","",COUNTIFS('Weekly Log'!$A:$A,'Grocery List'!$B$3,'Weekly Log'!$C:$C,A995,'Weekly Log'!$E:$E,"Yes"))</f>
        <v/>
      </c>
      <c r="H995" s="12" t="str">
        <f aca="false">IF(OR(A995="",D995=""),"",D995*G995)</f>
        <v/>
      </c>
    </row>
    <row r="996" customFormat="false" ht="15" hidden="false" customHeight="false" outlineLevel="0" collapsed="false">
      <c r="B996" s="12" t="str">
        <f aca="false">IF(A996="","",IFERROR(INDEX(Recipes!$B:$B,MATCH(A996,Recipes!$A:$A,0)),"⚠ unknown recipe_id"))</f>
        <v/>
      </c>
      <c r="E996" s="12" t="str">
        <f aca="false">IF(C996="","",IFERROR(INDEX('Ingredient Catalog'!$C:$C,MATCH(C996,'Ingredient Catalog'!$A:$A,0)),"⚠ not in catalog"))</f>
        <v/>
      </c>
      <c r="G996" s="12" t="str">
        <f aca="false">IF(A996="","",COUNTIFS('Weekly Log'!$A:$A,'Grocery List'!$B$3,'Weekly Log'!$C:$C,A996,'Weekly Log'!$E:$E,"Yes"))</f>
        <v/>
      </c>
      <c r="H996" s="12" t="str">
        <f aca="false">IF(OR(A996="",D996=""),"",D996*G996)</f>
        <v/>
      </c>
    </row>
    <row r="997" customFormat="false" ht="15" hidden="false" customHeight="false" outlineLevel="0" collapsed="false">
      <c r="B997" s="12" t="str">
        <f aca="false">IF(A997="","",IFERROR(INDEX(Recipes!$B:$B,MATCH(A997,Recipes!$A:$A,0)),"⚠ unknown recipe_id"))</f>
        <v/>
      </c>
      <c r="E997" s="12" t="str">
        <f aca="false">IF(C997="","",IFERROR(INDEX('Ingredient Catalog'!$C:$C,MATCH(C997,'Ingredient Catalog'!$A:$A,0)),"⚠ not in catalog"))</f>
        <v/>
      </c>
      <c r="G997" s="12" t="str">
        <f aca="false">IF(A997="","",COUNTIFS('Weekly Log'!$A:$A,'Grocery List'!$B$3,'Weekly Log'!$C:$C,A997,'Weekly Log'!$E:$E,"Yes"))</f>
        <v/>
      </c>
      <c r="H997" s="12" t="str">
        <f aca="false">IF(OR(A997="",D997=""),"",D997*G997)</f>
        <v/>
      </c>
    </row>
    <row r="998" customFormat="false" ht="15" hidden="false" customHeight="false" outlineLevel="0" collapsed="false">
      <c r="B998" s="12" t="str">
        <f aca="false">IF(A998="","",IFERROR(INDEX(Recipes!$B:$B,MATCH(A998,Recipes!$A:$A,0)),"⚠ unknown recipe_id"))</f>
        <v/>
      </c>
      <c r="E998" s="12" t="str">
        <f aca="false">IF(C998="","",IFERROR(INDEX('Ingredient Catalog'!$C:$C,MATCH(C998,'Ingredient Catalog'!$A:$A,0)),"⚠ not in catalog"))</f>
        <v/>
      </c>
      <c r="G998" s="12" t="str">
        <f aca="false">IF(A998="","",COUNTIFS('Weekly Log'!$A:$A,'Grocery List'!$B$3,'Weekly Log'!$C:$C,A998,'Weekly Log'!$E:$E,"Yes"))</f>
        <v/>
      </c>
      <c r="H998" s="12" t="str">
        <f aca="false">IF(OR(A998="",D998=""),"",D998*G998)</f>
        <v/>
      </c>
    </row>
    <row r="999" customFormat="false" ht="15" hidden="false" customHeight="false" outlineLevel="0" collapsed="false">
      <c r="B999" s="12" t="str">
        <f aca="false">IF(A999="","",IFERROR(INDEX(Recipes!$B:$B,MATCH(A999,Recipes!$A:$A,0)),"⚠ unknown recipe_id"))</f>
        <v/>
      </c>
      <c r="E999" s="12" t="str">
        <f aca="false">IF(C999="","",IFERROR(INDEX('Ingredient Catalog'!$C:$C,MATCH(C999,'Ingredient Catalog'!$A:$A,0)),"⚠ not in catalog"))</f>
        <v/>
      </c>
      <c r="G999" s="12" t="str">
        <f aca="false">IF(A999="","",COUNTIFS('Weekly Log'!$A:$A,'Grocery List'!$B$3,'Weekly Log'!$C:$C,A999,'Weekly Log'!$E:$E,"Yes"))</f>
        <v/>
      </c>
      <c r="H999" s="12" t="str">
        <f aca="false">IF(OR(A999="",D999=""),"",D999*G999)</f>
        <v/>
      </c>
    </row>
    <row r="1000" customFormat="false" ht="15" hidden="false" customHeight="false" outlineLevel="0" collapsed="false">
      <c r="B1000" s="12" t="str">
        <f aca="false">IF(A1000="","",IFERROR(INDEX(Recipes!$B:$B,MATCH(A1000,Recipes!$A:$A,0)),"⚠ unknown recipe_id"))</f>
        <v/>
      </c>
      <c r="E1000" s="12" t="str">
        <f aca="false">IF(C1000="","",IFERROR(INDEX('Ingredient Catalog'!$C:$C,MATCH(C1000,'Ingredient Catalog'!$A:$A,0)),"⚠ not in catalog"))</f>
        <v/>
      </c>
      <c r="G1000" s="12" t="str">
        <f aca="false">IF(A1000="","",COUNTIFS('Weekly Log'!$A:$A,'Grocery List'!$B$3,'Weekly Log'!$C:$C,A1000,'Weekly Log'!$E:$E,"Yes"))</f>
        <v/>
      </c>
      <c r="H1000" s="12" t="str">
        <f aca="false">IF(OR(A1000="",D1000=""),"",D1000*G1000)</f>
        <v/>
      </c>
    </row>
    <row r="1001" customFormat="false" ht="15" hidden="false" customHeight="false" outlineLevel="0" collapsed="false">
      <c r="B1001" s="12" t="str">
        <f aca="false">IF(A1001="","",IFERROR(INDEX(Recipes!$B:$B,MATCH(A1001,Recipes!$A:$A,0)),"⚠ unknown recipe_id"))</f>
        <v/>
      </c>
      <c r="E1001" s="12" t="str">
        <f aca="false">IF(C1001="","",IFERROR(INDEX('Ingredient Catalog'!$C:$C,MATCH(C1001,'Ingredient Catalog'!$A:$A,0)),"⚠ not in catalog"))</f>
        <v/>
      </c>
      <c r="G1001" s="12" t="str">
        <f aca="false">IF(A1001="","",COUNTIFS('Weekly Log'!$A:$A,'Grocery List'!$B$3,'Weekly Log'!$C:$C,A1001,'Weekly Log'!$E:$E,"Yes"))</f>
        <v/>
      </c>
      <c r="H1001" s="12" t="str">
        <f aca="false">IF(OR(A1001="",D1001=""),"",D1001*G1001)</f>
        <v/>
      </c>
    </row>
    <row r="1002" customFormat="false" ht="15" hidden="false" customHeight="false" outlineLevel="0" collapsed="false">
      <c r="B1002" s="12" t="str">
        <f aca="false">IF(A1002="","",IFERROR(INDEX(Recipes!$B:$B,MATCH(A1002,Recipes!$A:$A,0)),"⚠ unknown recipe_id"))</f>
        <v/>
      </c>
      <c r="E1002" s="12" t="str">
        <f aca="false">IF(C1002="","",IFERROR(INDEX('Ingredient Catalog'!$C:$C,MATCH(C1002,'Ingredient Catalog'!$A:$A,0)),"⚠ not in catalog"))</f>
        <v/>
      </c>
      <c r="G1002" s="12" t="str">
        <f aca="false">IF(A1002="","",COUNTIFS('Weekly Log'!$A:$A,'Grocery List'!$B$3,'Weekly Log'!$C:$C,A1002,'Weekly Log'!$E:$E,"Yes"))</f>
        <v/>
      </c>
      <c r="H1002" s="12" t="str">
        <f aca="false">IF(OR(A1002="",D1002=""),"",D1002*G1002)</f>
        <v/>
      </c>
    </row>
    <row r="1003" customFormat="false" ht="15" hidden="false" customHeight="false" outlineLevel="0" collapsed="false">
      <c r="B1003" s="12" t="str">
        <f aca="false">IF(A1003="","",IFERROR(INDEX(Recipes!$B:$B,MATCH(A1003,Recipes!$A:$A,0)),"⚠ unknown recipe_id"))</f>
        <v/>
      </c>
      <c r="E1003" s="12" t="str">
        <f aca="false">IF(C1003="","",IFERROR(INDEX('Ingredient Catalog'!$C:$C,MATCH(C1003,'Ingredient Catalog'!$A:$A,0)),"⚠ not in catalog"))</f>
        <v/>
      </c>
      <c r="G1003" s="12" t="str">
        <f aca="false">IF(A1003="","",COUNTIFS('Weekly Log'!$A:$A,'Grocery List'!$B$3,'Weekly Log'!$C:$C,A1003,'Weekly Log'!$E:$E,"Yes"))</f>
        <v/>
      </c>
      <c r="H1003" s="12" t="str">
        <f aca="false">IF(OR(A1003="",D1003=""),"",D1003*G1003)</f>
        <v/>
      </c>
    </row>
    <row r="1004" customFormat="false" ht="15" hidden="false" customHeight="false" outlineLevel="0" collapsed="false">
      <c r="B1004" s="12" t="str">
        <f aca="false">IF(A1004="","",IFERROR(INDEX(Recipes!$B:$B,MATCH(A1004,Recipes!$A:$A,0)),"⚠ unknown recipe_id"))</f>
        <v/>
      </c>
      <c r="E1004" s="12" t="str">
        <f aca="false">IF(C1004="","",IFERROR(INDEX('Ingredient Catalog'!$C:$C,MATCH(C1004,'Ingredient Catalog'!$A:$A,0)),"⚠ not in catalog"))</f>
        <v/>
      </c>
      <c r="G1004" s="12" t="str">
        <f aca="false">IF(A1004="","",COUNTIFS('Weekly Log'!$A:$A,'Grocery List'!$B$3,'Weekly Log'!$C:$C,A1004,'Weekly Log'!$E:$E,"Yes"))</f>
        <v/>
      </c>
      <c r="H1004" s="12" t="str">
        <f aca="false">IF(OR(A1004="",D1004=""),"",D1004*G1004)</f>
        <v/>
      </c>
    </row>
    <row r="1005" customFormat="false" ht="15" hidden="false" customHeight="false" outlineLevel="0" collapsed="false">
      <c r="B1005" s="12" t="str">
        <f aca="false">IF(A1005="","",IFERROR(INDEX(Recipes!$B:$B,MATCH(A1005,Recipes!$A:$A,0)),"⚠ unknown recipe_id"))</f>
        <v/>
      </c>
      <c r="E1005" s="12" t="str">
        <f aca="false">IF(C1005="","",IFERROR(INDEX('Ingredient Catalog'!$C:$C,MATCH(C1005,'Ingredient Catalog'!$A:$A,0)),"⚠ not in catalog"))</f>
        <v/>
      </c>
      <c r="G1005" s="12" t="str">
        <f aca="false">IF(A1005="","",COUNTIFS('Weekly Log'!$A:$A,'Grocery List'!$B$3,'Weekly Log'!$C:$C,A1005,'Weekly Log'!$E:$E,"Yes"))</f>
        <v/>
      </c>
      <c r="H1005" s="12" t="str">
        <f aca="false">IF(OR(A1005="",D1005=""),"",D1005*G1005)</f>
        <v/>
      </c>
    </row>
    <row r="1006" customFormat="false" ht="15" hidden="false" customHeight="false" outlineLevel="0" collapsed="false">
      <c r="B1006" s="12" t="str">
        <f aca="false">IF(A1006="","",IFERROR(INDEX(Recipes!$B:$B,MATCH(A1006,Recipes!$A:$A,0)),"⚠ unknown recipe_id"))</f>
        <v/>
      </c>
      <c r="E1006" s="12" t="str">
        <f aca="false">IF(C1006="","",IFERROR(INDEX('Ingredient Catalog'!$C:$C,MATCH(C1006,'Ingredient Catalog'!$A:$A,0)),"⚠ not in catalog"))</f>
        <v/>
      </c>
      <c r="G1006" s="12" t="str">
        <f aca="false">IF(A1006="","",COUNTIFS('Weekly Log'!$A:$A,'Grocery List'!$B$3,'Weekly Log'!$C:$C,A1006,'Weekly Log'!$E:$E,"Yes"))</f>
        <v/>
      </c>
      <c r="H1006" s="12" t="str">
        <f aca="false">IF(OR(A1006="",D1006=""),"",D1006*G1006)</f>
        <v/>
      </c>
    </row>
    <row r="1007" customFormat="false" ht="15" hidden="false" customHeight="false" outlineLevel="0" collapsed="false">
      <c r="B1007" s="12" t="str">
        <f aca="false">IF(A1007="","",IFERROR(INDEX(Recipes!$B:$B,MATCH(A1007,Recipes!$A:$A,0)),"⚠ unknown recipe_id"))</f>
        <v/>
      </c>
      <c r="E1007" s="12" t="str">
        <f aca="false">IF(C1007="","",IFERROR(INDEX('Ingredient Catalog'!$C:$C,MATCH(C1007,'Ingredient Catalog'!$A:$A,0)),"⚠ not in catalog"))</f>
        <v/>
      </c>
      <c r="G1007" s="12" t="str">
        <f aca="false">IF(A1007="","",COUNTIFS('Weekly Log'!$A:$A,'Grocery List'!$B$3,'Weekly Log'!$C:$C,A1007,'Weekly Log'!$E:$E,"Yes"))</f>
        <v/>
      </c>
      <c r="H1007" s="12" t="str">
        <f aca="false">IF(OR(A1007="",D1007=""),"",D1007*G1007)</f>
        <v/>
      </c>
    </row>
    <row r="1008" customFormat="false" ht="15" hidden="false" customHeight="false" outlineLevel="0" collapsed="false">
      <c r="B1008" s="12" t="str">
        <f aca="false">IF(A1008="","",IFERROR(INDEX(Recipes!$B:$B,MATCH(A1008,Recipes!$A:$A,0)),"⚠ unknown recipe_id"))</f>
        <v/>
      </c>
      <c r="E1008" s="12" t="str">
        <f aca="false">IF(C1008="","",IFERROR(INDEX('Ingredient Catalog'!$C:$C,MATCH(C1008,'Ingredient Catalog'!$A:$A,0)),"⚠ not in catalog"))</f>
        <v/>
      </c>
      <c r="G1008" s="12" t="str">
        <f aca="false">IF(A1008="","",COUNTIFS('Weekly Log'!$A:$A,'Grocery List'!$B$3,'Weekly Log'!$C:$C,A1008,'Weekly Log'!$E:$E,"Yes"))</f>
        <v/>
      </c>
      <c r="H1008" s="12" t="str">
        <f aca="false">IF(OR(A1008="",D1008=""),"",D1008*G1008)</f>
        <v/>
      </c>
    </row>
    <row r="1009" customFormat="false" ht="15" hidden="false" customHeight="false" outlineLevel="0" collapsed="false">
      <c r="B1009" s="12" t="str">
        <f aca="false">IF(A1009="","",IFERROR(INDEX(Recipes!$B:$B,MATCH(A1009,Recipes!$A:$A,0)),"⚠ unknown recipe_id"))</f>
        <v/>
      </c>
      <c r="E1009" s="12" t="str">
        <f aca="false">IF(C1009="","",IFERROR(INDEX('Ingredient Catalog'!$C:$C,MATCH(C1009,'Ingredient Catalog'!$A:$A,0)),"⚠ not in catalog"))</f>
        <v/>
      </c>
      <c r="G1009" s="12" t="str">
        <f aca="false">IF(A1009="","",COUNTIFS('Weekly Log'!$A:$A,'Grocery List'!$B$3,'Weekly Log'!$C:$C,A1009,'Weekly Log'!$E:$E,"Yes"))</f>
        <v/>
      </c>
      <c r="H1009" s="12" t="str">
        <f aca="false">IF(OR(A1009="",D1009=""),"",D1009*G1009)</f>
        <v/>
      </c>
    </row>
    <row r="1010" customFormat="false" ht="15" hidden="false" customHeight="false" outlineLevel="0" collapsed="false">
      <c r="B1010" s="12" t="str">
        <f aca="false">IF(A1010="","",IFERROR(INDEX(Recipes!$B:$B,MATCH(A1010,Recipes!$A:$A,0)),"⚠ unknown recipe_id"))</f>
        <v/>
      </c>
      <c r="E1010" s="12" t="str">
        <f aca="false">IF(C1010="","",IFERROR(INDEX('Ingredient Catalog'!$C:$C,MATCH(C1010,'Ingredient Catalog'!$A:$A,0)),"⚠ not in catalog"))</f>
        <v/>
      </c>
      <c r="G1010" s="12" t="str">
        <f aca="false">IF(A1010="","",COUNTIFS('Weekly Log'!$A:$A,'Grocery List'!$B$3,'Weekly Log'!$C:$C,A1010,'Weekly Log'!$E:$E,"Yes"))</f>
        <v/>
      </c>
      <c r="H1010" s="12" t="str">
        <f aca="false">IF(OR(A1010="",D1010=""),"",D1010*G1010)</f>
        <v/>
      </c>
    </row>
    <row r="1011" customFormat="false" ht="15" hidden="false" customHeight="false" outlineLevel="0" collapsed="false">
      <c r="B1011" s="12" t="str">
        <f aca="false">IF(A1011="","",IFERROR(INDEX(Recipes!$B:$B,MATCH(A1011,Recipes!$A:$A,0)),"⚠ unknown recipe_id"))</f>
        <v/>
      </c>
      <c r="E1011" s="12" t="str">
        <f aca="false">IF(C1011="","",IFERROR(INDEX('Ingredient Catalog'!$C:$C,MATCH(C1011,'Ingredient Catalog'!$A:$A,0)),"⚠ not in catalog"))</f>
        <v/>
      </c>
      <c r="G1011" s="12" t="str">
        <f aca="false">IF(A1011="","",COUNTIFS('Weekly Log'!$A:$A,'Grocery List'!$B$3,'Weekly Log'!$C:$C,A1011,'Weekly Log'!$E:$E,"Yes"))</f>
        <v/>
      </c>
      <c r="H1011" s="12" t="str">
        <f aca="false">IF(OR(A1011="",D1011=""),"",D1011*G1011)</f>
        <v/>
      </c>
    </row>
    <row r="1012" customFormat="false" ht="15" hidden="false" customHeight="false" outlineLevel="0" collapsed="false">
      <c r="B1012" s="12" t="str">
        <f aca="false">IF(A1012="","",IFERROR(INDEX(Recipes!$B:$B,MATCH(A1012,Recipes!$A:$A,0)),"⚠ unknown recipe_id"))</f>
        <v/>
      </c>
      <c r="E1012" s="12" t="str">
        <f aca="false">IF(C1012="","",IFERROR(INDEX('Ingredient Catalog'!$C:$C,MATCH(C1012,'Ingredient Catalog'!$A:$A,0)),"⚠ not in catalog"))</f>
        <v/>
      </c>
      <c r="G1012" s="12" t="str">
        <f aca="false">IF(A1012="","",COUNTIFS('Weekly Log'!$A:$A,'Grocery List'!$B$3,'Weekly Log'!$C:$C,A1012,'Weekly Log'!$E:$E,"Yes"))</f>
        <v/>
      </c>
      <c r="H1012" s="12" t="str">
        <f aca="false">IF(OR(A1012="",D1012=""),"",D1012*G1012)</f>
        <v/>
      </c>
    </row>
    <row r="1013" customFormat="false" ht="15" hidden="false" customHeight="false" outlineLevel="0" collapsed="false">
      <c r="B1013" s="12" t="str">
        <f aca="false">IF(A1013="","",IFERROR(INDEX(Recipes!$B:$B,MATCH(A1013,Recipes!$A:$A,0)),"⚠ unknown recipe_id"))</f>
        <v/>
      </c>
      <c r="E1013" s="12" t="str">
        <f aca="false">IF(C1013="","",IFERROR(INDEX('Ingredient Catalog'!$C:$C,MATCH(C1013,'Ingredient Catalog'!$A:$A,0)),"⚠ not in catalog"))</f>
        <v/>
      </c>
      <c r="G1013" s="12" t="str">
        <f aca="false">IF(A1013="","",COUNTIFS('Weekly Log'!$A:$A,'Grocery List'!$B$3,'Weekly Log'!$C:$C,A1013,'Weekly Log'!$E:$E,"Yes"))</f>
        <v/>
      </c>
      <c r="H1013" s="12" t="str">
        <f aca="false">IF(OR(A1013="",D1013=""),"",D1013*G1013)</f>
        <v/>
      </c>
    </row>
    <row r="1014" customFormat="false" ht="15" hidden="false" customHeight="false" outlineLevel="0" collapsed="false">
      <c r="B1014" s="12" t="str">
        <f aca="false">IF(A1014="","",IFERROR(INDEX(Recipes!$B:$B,MATCH(A1014,Recipes!$A:$A,0)),"⚠ unknown recipe_id"))</f>
        <v/>
      </c>
      <c r="E1014" s="12" t="str">
        <f aca="false">IF(C1014="","",IFERROR(INDEX('Ingredient Catalog'!$C:$C,MATCH(C1014,'Ingredient Catalog'!$A:$A,0)),"⚠ not in catalog"))</f>
        <v/>
      </c>
      <c r="G1014" s="12" t="str">
        <f aca="false">IF(A1014="","",COUNTIFS('Weekly Log'!$A:$A,'Grocery List'!$B$3,'Weekly Log'!$C:$C,A1014,'Weekly Log'!$E:$E,"Yes"))</f>
        <v/>
      </c>
      <c r="H1014" s="12" t="str">
        <f aca="false">IF(OR(A1014="",D1014=""),"",D1014*G1014)</f>
        <v/>
      </c>
    </row>
    <row r="1015" customFormat="false" ht="15" hidden="false" customHeight="false" outlineLevel="0" collapsed="false">
      <c r="B1015" s="12" t="str">
        <f aca="false">IF(A1015="","",IFERROR(INDEX(Recipes!$B:$B,MATCH(A1015,Recipes!$A:$A,0)),"⚠ unknown recipe_id"))</f>
        <v/>
      </c>
      <c r="E1015" s="12" t="str">
        <f aca="false">IF(C1015="","",IFERROR(INDEX('Ingredient Catalog'!$C:$C,MATCH(C1015,'Ingredient Catalog'!$A:$A,0)),"⚠ not in catalog"))</f>
        <v/>
      </c>
      <c r="G1015" s="12" t="str">
        <f aca="false">IF(A1015="","",COUNTIFS('Weekly Log'!$A:$A,'Grocery List'!$B$3,'Weekly Log'!$C:$C,A1015,'Weekly Log'!$E:$E,"Yes"))</f>
        <v/>
      </c>
      <c r="H1015" s="12" t="str">
        <f aca="false">IF(OR(A1015="",D1015=""),"",D1015*G1015)</f>
        <v/>
      </c>
    </row>
    <row r="1016" customFormat="false" ht="15" hidden="false" customHeight="false" outlineLevel="0" collapsed="false">
      <c r="B1016" s="12" t="str">
        <f aca="false">IF(A1016="","",IFERROR(INDEX(Recipes!$B:$B,MATCH(A1016,Recipes!$A:$A,0)),"⚠ unknown recipe_id"))</f>
        <v/>
      </c>
      <c r="E1016" s="12" t="str">
        <f aca="false">IF(C1016="","",IFERROR(INDEX('Ingredient Catalog'!$C:$C,MATCH(C1016,'Ingredient Catalog'!$A:$A,0)),"⚠ not in catalog"))</f>
        <v/>
      </c>
      <c r="G1016" s="12" t="str">
        <f aca="false">IF(A1016="","",COUNTIFS('Weekly Log'!$A:$A,'Grocery List'!$B$3,'Weekly Log'!$C:$C,A1016,'Weekly Log'!$E:$E,"Yes"))</f>
        <v/>
      </c>
      <c r="H1016" s="12" t="str">
        <f aca="false">IF(OR(A1016="",D1016=""),"",D1016*G1016)</f>
        <v/>
      </c>
    </row>
    <row r="1017" customFormat="false" ht="15" hidden="false" customHeight="false" outlineLevel="0" collapsed="false">
      <c r="B1017" s="12" t="str">
        <f aca="false">IF(A1017="","",IFERROR(INDEX(Recipes!$B:$B,MATCH(A1017,Recipes!$A:$A,0)),"⚠ unknown recipe_id"))</f>
        <v/>
      </c>
      <c r="E1017" s="12" t="str">
        <f aca="false">IF(C1017="","",IFERROR(INDEX('Ingredient Catalog'!$C:$C,MATCH(C1017,'Ingredient Catalog'!$A:$A,0)),"⚠ not in catalog"))</f>
        <v/>
      </c>
      <c r="G1017" s="12" t="str">
        <f aca="false">IF(A1017="","",COUNTIFS('Weekly Log'!$A:$A,'Grocery List'!$B$3,'Weekly Log'!$C:$C,A1017,'Weekly Log'!$E:$E,"Yes"))</f>
        <v/>
      </c>
      <c r="H1017" s="12" t="str">
        <f aca="false">IF(OR(A1017="",D1017=""),"",D1017*G1017)</f>
        <v/>
      </c>
    </row>
    <row r="1018" customFormat="false" ht="15" hidden="false" customHeight="false" outlineLevel="0" collapsed="false">
      <c r="B1018" s="12" t="str">
        <f aca="false">IF(A1018="","",IFERROR(INDEX(Recipes!$B:$B,MATCH(A1018,Recipes!$A:$A,0)),"⚠ unknown recipe_id"))</f>
        <v/>
      </c>
      <c r="E1018" s="12" t="str">
        <f aca="false">IF(C1018="","",IFERROR(INDEX('Ingredient Catalog'!$C:$C,MATCH(C1018,'Ingredient Catalog'!$A:$A,0)),"⚠ not in catalog"))</f>
        <v/>
      </c>
      <c r="G1018" s="12" t="str">
        <f aca="false">IF(A1018="","",COUNTIFS('Weekly Log'!$A:$A,'Grocery List'!$B$3,'Weekly Log'!$C:$C,A1018,'Weekly Log'!$E:$E,"Yes"))</f>
        <v/>
      </c>
      <c r="H1018" s="12" t="str">
        <f aca="false">IF(OR(A1018="",D1018=""),"",D1018*G1018)</f>
        <v/>
      </c>
    </row>
    <row r="1019" customFormat="false" ht="15" hidden="false" customHeight="false" outlineLevel="0" collapsed="false">
      <c r="B1019" s="12" t="str">
        <f aca="false">IF(A1019="","",IFERROR(INDEX(Recipes!$B:$B,MATCH(A1019,Recipes!$A:$A,0)),"⚠ unknown recipe_id"))</f>
        <v/>
      </c>
      <c r="E1019" s="12" t="str">
        <f aca="false">IF(C1019="","",IFERROR(INDEX('Ingredient Catalog'!$C:$C,MATCH(C1019,'Ingredient Catalog'!$A:$A,0)),"⚠ not in catalog"))</f>
        <v/>
      </c>
      <c r="G1019" s="12" t="str">
        <f aca="false">IF(A1019="","",COUNTIFS('Weekly Log'!$A:$A,'Grocery List'!$B$3,'Weekly Log'!$C:$C,A1019,'Weekly Log'!$E:$E,"Yes"))</f>
        <v/>
      </c>
      <c r="H1019" s="12" t="str">
        <f aca="false">IF(OR(A1019="",D1019=""),"",D1019*G1019)</f>
        <v/>
      </c>
    </row>
    <row r="1020" customFormat="false" ht="15" hidden="false" customHeight="false" outlineLevel="0" collapsed="false">
      <c r="B1020" s="12" t="str">
        <f aca="false">IF(A1020="","",IFERROR(INDEX(Recipes!$B:$B,MATCH(A1020,Recipes!$A:$A,0)),"⚠ unknown recipe_id"))</f>
        <v/>
      </c>
      <c r="E1020" s="12" t="str">
        <f aca="false">IF(C1020="","",IFERROR(INDEX('Ingredient Catalog'!$C:$C,MATCH(C1020,'Ingredient Catalog'!$A:$A,0)),"⚠ not in catalog"))</f>
        <v/>
      </c>
      <c r="G1020" s="12" t="str">
        <f aca="false">IF(A1020="","",COUNTIFS('Weekly Log'!$A:$A,'Grocery List'!$B$3,'Weekly Log'!$C:$C,A1020,'Weekly Log'!$E:$E,"Yes"))</f>
        <v/>
      </c>
      <c r="H1020" s="12" t="str">
        <f aca="false">IF(OR(A1020="",D1020=""),"",D1020*G1020)</f>
        <v/>
      </c>
    </row>
    <row r="1021" customFormat="false" ht="15" hidden="false" customHeight="false" outlineLevel="0" collapsed="false">
      <c r="B1021" s="12" t="str">
        <f aca="false">IF(A1021="","",IFERROR(INDEX(Recipes!$B:$B,MATCH(A1021,Recipes!$A:$A,0)),"⚠ unknown recipe_id"))</f>
        <v/>
      </c>
      <c r="E1021" s="12" t="str">
        <f aca="false">IF(C1021="","",IFERROR(INDEX('Ingredient Catalog'!$C:$C,MATCH(C1021,'Ingredient Catalog'!$A:$A,0)),"⚠ not in catalog"))</f>
        <v/>
      </c>
      <c r="G1021" s="12" t="str">
        <f aca="false">IF(A1021="","",COUNTIFS('Weekly Log'!$A:$A,'Grocery List'!$B$3,'Weekly Log'!$C:$C,A1021,'Weekly Log'!$E:$E,"Yes"))</f>
        <v/>
      </c>
      <c r="H1021" s="12" t="str">
        <f aca="false">IF(OR(A1021="",D1021=""),"",D1021*G1021)</f>
        <v/>
      </c>
    </row>
    <row r="1022" customFormat="false" ht="15" hidden="false" customHeight="false" outlineLevel="0" collapsed="false">
      <c r="B1022" s="12" t="str">
        <f aca="false">IF(A1022="","",IFERROR(INDEX(Recipes!$B:$B,MATCH(A1022,Recipes!$A:$A,0)),"⚠ unknown recipe_id"))</f>
        <v/>
      </c>
      <c r="E1022" s="12" t="str">
        <f aca="false">IF(C1022="","",IFERROR(INDEX('Ingredient Catalog'!$C:$C,MATCH(C1022,'Ingredient Catalog'!$A:$A,0)),"⚠ not in catalog"))</f>
        <v/>
      </c>
      <c r="G1022" s="12" t="str">
        <f aca="false">IF(A1022="","",COUNTIFS('Weekly Log'!$A:$A,'Grocery List'!$B$3,'Weekly Log'!$C:$C,A1022,'Weekly Log'!$E:$E,"Yes"))</f>
        <v/>
      </c>
      <c r="H1022" s="12" t="str">
        <f aca="false">IF(OR(A1022="",D1022=""),"",D1022*G1022)</f>
        <v/>
      </c>
    </row>
    <row r="1023" customFormat="false" ht="15" hidden="false" customHeight="false" outlineLevel="0" collapsed="false">
      <c r="B1023" s="12" t="str">
        <f aca="false">IF(A1023="","",IFERROR(INDEX(Recipes!$B:$B,MATCH(A1023,Recipes!$A:$A,0)),"⚠ unknown recipe_id"))</f>
        <v/>
      </c>
      <c r="E1023" s="12" t="str">
        <f aca="false">IF(C1023="","",IFERROR(INDEX('Ingredient Catalog'!$C:$C,MATCH(C1023,'Ingredient Catalog'!$A:$A,0)),"⚠ not in catalog"))</f>
        <v/>
      </c>
      <c r="G1023" s="12" t="str">
        <f aca="false">IF(A1023="","",COUNTIFS('Weekly Log'!$A:$A,'Grocery List'!$B$3,'Weekly Log'!$C:$C,A1023,'Weekly Log'!$E:$E,"Yes"))</f>
        <v/>
      </c>
      <c r="H1023" s="12" t="str">
        <f aca="false">IF(OR(A1023="",D1023=""),"",D1023*G1023)</f>
        <v/>
      </c>
    </row>
    <row r="1024" customFormat="false" ht="15" hidden="false" customHeight="false" outlineLevel="0" collapsed="false">
      <c r="B1024" s="12" t="str">
        <f aca="false">IF(A1024="","",IFERROR(INDEX(Recipes!$B:$B,MATCH(A1024,Recipes!$A:$A,0)),"⚠ unknown recipe_id"))</f>
        <v/>
      </c>
      <c r="E1024" s="12" t="str">
        <f aca="false">IF(C1024="","",IFERROR(INDEX('Ingredient Catalog'!$C:$C,MATCH(C1024,'Ingredient Catalog'!$A:$A,0)),"⚠ not in catalog"))</f>
        <v/>
      </c>
      <c r="G1024" s="12" t="str">
        <f aca="false">IF(A1024="","",COUNTIFS('Weekly Log'!$A:$A,'Grocery List'!$B$3,'Weekly Log'!$C:$C,A1024,'Weekly Log'!$E:$E,"Yes"))</f>
        <v/>
      </c>
      <c r="H1024" s="12" t="str">
        <f aca="false">IF(OR(A1024="",D1024=""),"",D1024*G1024)</f>
        <v/>
      </c>
    </row>
    <row r="1025" customFormat="false" ht="15" hidden="false" customHeight="false" outlineLevel="0" collapsed="false">
      <c r="B1025" s="12" t="str">
        <f aca="false">IF(A1025="","",IFERROR(INDEX(Recipes!$B:$B,MATCH(A1025,Recipes!$A:$A,0)),"⚠ unknown recipe_id"))</f>
        <v/>
      </c>
      <c r="E1025" s="12" t="str">
        <f aca="false">IF(C1025="","",IFERROR(INDEX('Ingredient Catalog'!$C:$C,MATCH(C1025,'Ingredient Catalog'!$A:$A,0)),"⚠ not in catalog"))</f>
        <v/>
      </c>
      <c r="G1025" s="12" t="str">
        <f aca="false">IF(A1025="","",COUNTIFS('Weekly Log'!$A:$A,'Grocery List'!$B$3,'Weekly Log'!$C:$C,A1025,'Weekly Log'!$E:$E,"Yes"))</f>
        <v/>
      </c>
      <c r="H1025" s="12" t="str">
        <f aca="false">IF(OR(A1025="",D1025=""),"",D1025*G1025)</f>
        <v/>
      </c>
    </row>
    <row r="1026" customFormat="false" ht="15" hidden="false" customHeight="false" outlineLevel="0" collapsed="false">
      <c r="B1026" s="12" t="str">
        <f aca="false">IF(A1026="","",IFERROR(INDEX(Recipes!$B:$B,MATCH(A1026,Recipes!$A:$A,0)),"⚠ unknown recipe_id"))</f>
        <v/>
      </c>
      <c r="E1026" s="12" t="str">
        <f aca="false">IF(C1026="","",IFERROR(INDEX('Ingredient Catalog'!$C:$C,MATCH(C1026,'Ingredient Catalog'!$A:$A,0)),"⚠ not in catalog"))</f>
        <v/>
      </c>
      <c r="G1026" s="12" t="str">
        <f aca="false">IF(A1026="","",COUNTIFS('Weekly Log'!$A:$A,'Grocery List'!$B$3,'Weekly Log'!$C:$C,A1026,'Weekly Log'!$E:$E,"Yes"))</f>
        <v/>
      </c>
      <c r="H1026" s="12" t="str">
        <f aca="false">IF(OR(A1026="",D1026=""),"",D1026*G1026)</f>
        <v/>
      </c>
    </row>
    <row r="1027" customFormat="false" ht="15" hidden="false" customHeight="false" outlineLevel="0" collapsed="false">
      <c r="B1027" s="12" t="str">
        <f aca="false">IF(A1027="","",IFERROR(INDEX(Recipes!$B:$B,MATCH(A1027,Recipes!$A:$A,0)),"⚠ unknown recipe_id"))</f>
        <v/>
      </c>
      <c r="E1027" s="12" t="str">
        <f aca="false">IF(C1027="","",IFERROR(INDEX('Ingredient Catalog'!$C:$C,MATCH(C1027,'Ingredient Catalog'!$A:$A,0)),"⚠ not in catalog"))</f>
        <v/>
      </c>
      <c r="G1027" s="12" t="str">
        <f aca="false">IF(A1027="","",COUNTIFS('Weekly Log'!$A:$A,'Grocery List'!$B$3,'Weekly Log'!$C:$C,A1027,'Weekly Log'!$E:$E,"Yes"))</f>
        <v/>
      </c>
      <c r="H1027" s="12" t="str">
        <f aca="false">IF(OR(A1027="",D1027=""),"",D1027*G1027)</f>
        <v/>
      </c>
    </row>
    <row r="1028" customFormat="false" ht="15" hidden="false" customHeight="false" outlineLevel="0" collapsed="false">
      <c r="B1028" s="12" t="str">
        <f aca="false">IF(A1028="","",IFERROR(INDEX(Recipes!$B:$B,MATCH(A1028,Recipes!$A:$A,0)),"⚠ unknown recipe_id"))</f>
        <v/>
      </c>
      <c r="E1028" s="12" t="str">
        <f aca="false">IF(C1028="","",IFERROR(INDEX('Ingredient Catalog'!$C:$C,MATCH(C1028,'Ingredient Catalog'!$A:$A,0)),"⚠ not in catalog"))</f>
        <v/>
      </c>
      <c r="G1028" s="12" t="str">
        <f aca="false">IF(A1028="","",COUNTIFS('Weekly Log'!$A:$A,'Grocery List'!$B$3,'Weekly Log'!$C:$C,A1028,'Weekly Log'!$E:$E,"Yes"))</f>
        <v/>
      </c>
      <c r="H1028" s="12" t="str">
        <f aca="false">IF(OR(A1028="",D1028=""),"",D1028*G1028)</f>
        <v/>
      </c>
    </row>
    <row r="1029" customFormat="false" ht="15" hidden="false" customHeight="false" outlineLevel="0" collapsed="false">
      <c r="B1029" s="12" t="str">
        <f aca="false">IF(A1029="","",IFERROR(INDEX(Recipes!$B:$B,MATCH(A1029,Recipes!$A:$A,0)),"⚠ unknown recipe_id"))</f>
        <v/>
      </c>
      <c r="E1029" s="12" t="str">
        <f aca="false">IF(C1029="","",IFERROR(INDEX('Ingredient Catalog'!$C:$C,MATCH(C1029,'Ingredient Catalog'!$A:$A,0)),"⚠ not in catalog"))</f>
        <v/>
      </c>
      <c r="G1029" s="12" t="str">
        <f aca="false">IF(A1029="","",COUNTIFS('Weekly Log'!$A:$A,'Grocery List'!$B$3,'Weekly Log'!$C:$C,A1029,'Weekly Log'!$E:$E,"Yes"))</f>
        <v/>
      </c>
      <c r="H1029" s="12" t="str">
        <f aca="false">IF(OR(A1029="",D1029=""),"",D1029*G1029)</f>
        <v/>
      </c>
    </row>
    <row r="1030" customFormat="false" ht="15" hidden="false" customHeight="false" outlineLevel="0" collapsed="false">
      <c r="B1030" s="12" t="str">
        <f aca="false">IF(A1030="","",IFERROR(INDEX(Recipes!$B:$B,MATCH(A1030,Recipes!$A:$A,0)),"⚠ unknown recipe_id"))</f>
        <v/>
      </c>
      <c r="E1030" s="12" t="str">
        <f aca="false">IF(C1030="","",IFERROR(INDEX('Ingredient Catalog'!$C:$C,MATCH(C1030,'Ingredient Catalog'!$A:$A,0)),"⚠ not in catalog"))</f>
        <v/>
      </c>
      <c r="G1030" s="12" t="str">
        <f aca="false">IF(A1030="","",COUNTIFS('Weekly Log'!$A:$A,'Grocery List'!$B$3,'Weekly Log'!$C:$C,A1030,'Weekly Log'!$E:$E,"Yes"))</f>
        <v/>
      </c>
      <c r="H1030" s="12" t="str">
        <f aca="false">IF(OR(A1030="",D1030=""),"",D1030*G1030)</f>
        <v/>
      </c>
    </row>
    <row r="1031" customFormat="false" ht="15" hidden="false" customHeight="false" outlineLevel="0" collapsed="false">
      <c r="B1031" s="12" t="str">
        <f aca="false">IF(A1031="","",IFERROR(INDEX(Recipes!$B:$B,MATCH(A1031,Recipes!$A:$A,0)),"⚠ unknown recipe_id"))</f>
        <v/>
      </c>
      <c r="E1031" s="12" t="str">
        <f aca="false">IF(C1031="","",IFERROR(INDEX('Ingredient Catalog'!$C:$C,MATCH(C1031,'Ingredient Catalog'!$A:$A,0)),"⚠ not in catalog"))</f>
        <v/>
      </c>
      <c r="G1031" s="12" t="str">
        <f aca="false">IF(A1031="","",COUNTIFS('Weekly Log'!$A:$A,'Grocery List'!$B$3,'Weekly Log'!$C:$C,A1031,'Weekly Log'!$E:$E,"Yes"))</f>
        <v/>
      </c>
      <c r="H1031" s="12" t="str">
        <f aca="false">IF(OR(A1031="",D1031=""),"",D1031*G1031)</f>
        <v/>
      </c>
    </row>
    <row r="1032" customFormat="false" ht="15" hidden="false" customHeight="false" outlineLevel="0" collapsed="false">
      <c r="B1032" s="12" t="str">
        <f aca="false">IF(A1032="","",IFERROR(INDEX(Recipes!$B:$B,MATCH(A1032,Recipes!$A:$A,0)),"⚠ unknown recipe_id"))</f>
        <v/>
      </c>
      <c r="E1032" s="12" t="str">
        <f aca="false">IF(C1032="","",IFERROR(INDEX('Ingredient Catalog'!$C:$C,MATCH(C1032,'Ingredient Catalog'!$A:$A,0)),"⚠ not in catalog"))</f>
        <v/>
      </c>
      <c r="G1032" s="12" t="str">
        <f aca="false">IF(A1032="","",COUNTIFS('Weekly Log'!$A:$A,'Grocery List'!$B$3,'Weekly Log'!$C:$C,A1032,'Weekly Log'!$E:$E,"Yes"))</f>
        <v/>
      </c>
      <c r="H1032" s="12" t="str">
        <f aca="false">IF(OR(A1032="",D1032=""),"",D1032*G1032)</f>
        <v/>
      </c>
    </row>
    <row r="1033" customFormat="false" ht="15" hidden="false" customHeight="false" outlineLevel="0" collapsed="false">
      <c r="B1033" s="12" t="str">
        <f aca="false">IF(A1033="","",IFERROR(INDEX(Recipes!$B:$B,MATCH(A1033,Recipes!$A:$A,0)),"⚠ unknown recipe_id"))</f>
        <v/>
      </c>
      <c r="E1033" s="12" t="str">
        <f aca="false">IF(C1033="","",IFERROR(INDEX('Ingredient Catalog'!$C:$C,MATCH(C1033,'Ingredient Catalog'!$A:$A,0)),"⚠ not in catalog"))</f>
        <v/>
      </c>
      <c r="G1033" s="12" t="str">
        <f aca="false">IF(A1033="","",COUNTIFS('Weekly Log'!$A:$A,'Grocery List'!$B$3,'Weekly Log'!$C:$C,A1033,'Weekly Log'!$E:$E,"Yes"))</f>
        <v/>
      </c>
      <c r="H1033" s="12" t="str">
        <f aca="false">IF(OR(A1033="",D1033=""),"",D1033*G1033)</f>
        <v/>
      </c>
    </row>
    <row r="1034" customFormat="false" ht="15" hidden="false" customHeight="false" outlineLevel="0" collapsed="false">
      <c r="B1034" s="12" t="str">
        <f aca="false">IF(A1034="","",IFERROR(INDEX(Recipes!$B:$B,MATCH(A1034,Recipes!$A:$A,0)),"⚠ unknown recipe_id"))</f>
        <v/>
      </c>
      <c r="E1034" s="12" t="str">
        <f aca="false">IF(C1034="","",IFERROR(INDEX('Ingredient Catalog'!$C:$C,MATCH(C1034,'Ingredient Catalog'!$A:$A,0)),"⚠ not in catalog"))</f>
        <v/>
      </c>
      <c r="G1034" s="12" t="str">
        <f aca="false">IF(A1034="","",COUNTIFS('Weekly Log'!$A:$A,'Grocery List'!$B$3,'Weekly Log'!$C:$C,A1034,'Weekly Log'!$E:$E,"Yes"))</f>
        <v/>
      </c>
      <c r="H1034" s="12" t="str">
        <f aca="false">IF(OR(A1034="",D1034=""),"",D1034*G1034)</f>
        <v/>
      </c>
    </row>
    <row r="1035" customFormat="false" ht="15" hidden="false" customHeight="false" outlineLevel="0" collapsed="false">
      <c r="B1035" s="12" t="str">
        <f aca="false">IF(A1035="","",IFERROR(INDEX(Recipes!$B:$B,MATCH(A1035,Recipes!$A:$A,0)),"⚠ unknown recipe_id"))</f>
        <v/>
      </c>
      <c r="E1035" s="12" t="str">
        <f aca="false">IF(C1035="","",IFERROR(INDEX('Ingredient Catalog'!$C:$C,MATCH(C1035,'Ingredient Catalog'!$A:$A,0)),"⚠ not in catalog"))</f>
        <v/>
      </c>
      <c r="G1035" s="12" t="str">
        <f aca="false">IF(A1035="","",COUNTIFS('Weekly Log'!$A:$A,'Grocery List'!$B$3,'Weekly Log'!$C:$C,A1035,'Weekly Log'!$E:$E,"Yes"))</f>
        <v/>
      </c>
      <c r="H1035" s="12" t="str">
        <f aca="false">IF(OR(A1035="",D1035=""),"",D1035*G1035)</f>
        <v/>
      </c>
    </row>
    <row r="1036" customFormat="false" ht="15" hidden="false" customHeight="false" outlineLevel="0" collapsed="false">
      <c r="B1036" s="12" t="str">
        <f aca="false">IF(A1036="","",IFERROR(INDEX(Recipes!$B:$B,MATCH(A1036,Recipes!$A:$A,0)),"⚠ unknown recipe_id"))</f>
        <v/>
      </c>
      <c r="E1036" s="12" t="str">
        <f aca="false">IF(C1036="","",IFERROR(INDEX('Ingredient Catalog'!$C:$C,MATCH(C1036,'Ingredient Catalog'!$A:$A,0)),"⚠ not in catalog"))</f>
        <v/>
      </c>
      <c r="G1036" s="12" t="str">
        <f aca="false">IF(A1036="","",COUNTIFS('Weekly Log'!$A:$A,'Grocery List'!$B$3,'Weekly Log'!$C:$C,A1036,'Weekly Log'!$E:$E,"Yes"))</f>
        <v/>
      </c>
      <c r="H1036" s="12" t="str">
        <f aca="false">IF(OR(A1036="",D1036=""),"",D1036*G1036)</f>
        <v/>
      </c>
    </row>
    <row r="1037" customFormat="false" ht="15" hidden="false" customHeight="false" outlineLevel="0" collapsed="false">
      <c r="B1037" s="12" t="str">
        <f aca="false">IF(A1037="","",IFERROR(INDEX(Recipes!$B:$B,MATCH(A1037,Recipes!$A:$A,0)),"⚠ unknown recipe_id"))</f>
        <v/>
      </c>
      <c r="E1037" s="12" t="str">
        <f aca="false">IF(C1037="","",IFERROR(INDEX('Ingredient Catalog'!$C:$C,MATCH(C1037,'Ingredient Catalog'!$A:$A,0)),"⚠ not in catalog"))</f>
        <v/>
      </c>
      <c r="G1037" s="12" t="str">
        <f aca="false">IF(A1037="","",COUNTIFS('Weekly Log'!$A:$A,'Grocery List'!$B$3,'Weekly Log'!$C:$C,A1037,'Weekly Log'!$E:$E,"Yes"))</f>
        <v/>
      </c>
      <c r="H1037" s="12" t="str">
        <f aca="false">IF(OR(A1037="",D1037=""),"",D1037*G1037)</f>
        <v/>
      </c>
    </row>
    <row r="1038" customFormat="false" ht="15" hidden="false" customHeight="false" outlineLevel="0" collapsed="false">
      <c r="B1038" s="12" t="str">
        <f aca="false">IF(A1038="","",IFERROR(INDEX(Recipes!$B:$B,MATCH(A1038,Recipes!$A:$A,0)),"⚠ unknown recipe_id"))</f>
        <v/>
      </c>
      <c r="E1038" s="12" t="str">
        <f aca="false">IF(C1038="","",IFERROR(INDEX('Ingredient Catalog'!$C:$C,MATCH(C1038,'Ingredient Catalog'!$A:$A,0)),"⚠ not in catalog"))</f>
        <v/>
      </c>
      <c r="G1038" s="12" t="str">
        <f aca="false">IF(A1038="","",COUNTIFS('Weekly Log'!$A:$A,'Grocery List'!$B$3,'Weekly Log'!$C:$C,A1038,'Weekly Log'!$E:$E,"Yes"))</f>
        <v/>
      </c>
      <c r="H1038" s="12" t="str">
        <f aca="false">IF(OR(A1038="",D1038=""),"",D1038*G1038)</f>
        <v/>
      </c>
    </row>
    <row r="1039" customFormat="false" ht="15" hidden="false" customHeight="false" outlineLevel="0" collapsed="false">
      <c r="B1039" s="12" t="str">
        <f aca="false">IF(A1039="","",IFERROR(INDEX(Recipes!$B:$B,MATCH(A1039,Recipes!$A:$A,0)),"⚠ unknown recipe_id"))</f>
        <v/>
      </c>
      <c r="E1039" s="12" t="str">
        <f aca="false">IF(C1039="","",IFERROR(INDEX('Ingredient Catalog'!$C:$C,MATCH(C1039,'Ingredient Catalog'!$A:$A,0)),"⚠ not in catalog"))</f>
        <v/>
      </c>
      <c r="G1039" s="12" t="str">
        <f aca="false">IF(A1039="","",COUNTIFS('Weekly Log'!$A:$A,'Grocery List'!$B$3,'Weekly Log'!$C:$C,A1039,'Weekly Log'!$E:$E,"Yes"))</f>
        <v/>
      </c>
      <c r="H1039" s="12" t="str">
        <f aca="false">IF(OR(A1039="",D1039=""),"",D1039*G1039)</f>
        <v/>
      </c>
    </row>
    <row r="1040" customFormat="false" ht="15" hidden="false" customHeight="false" outlineLevel="0" collapsed="false">
      <c r="B1040" s="12" t="str">
        <f aca="false">IF(A1040="","",IFERROR(INDEX(Recipes!$B:$B,MATCH(A1040,Recipes!$A:$A,0)),"⚠ unknown recipe_id"))</f>
        <v/>
      </c>
      <c r="E1040" s="12" t="str">
        <f aca="false">IF(C1040="","",IFERROR(INDEX('Ingredient Catalog'!$C:$C,MATCH(C1040,'Ingredient Catalog'!$A:$A,0)),"⚠ not in catalog"))</f>
        <v/>
      </c>
      <c r="G1040" s="12" t="str">
        <f aca="false">IF(A1040="","",COUNTIFS('Weekly Log'!$A:$A,'Grocery List'!$B$3,'Weekly Log'!$C:$C,A1040,'Weekly Log'!$E:$E,"Yes"))</f>
        <v/>
      </c>
      <c r="H1040" s="12" t="str">
        <f aca="false">IF(OR(A1040="",D1040=""),"",D1040*G1040)</f>
        <v/>
      </c>
    </row>
    <row r="1041" customFormat="false" ht="15" hidden="false" customHeight="false" outlineLevel="0" collapsed="false">
      <c r="B1041" s="12" t="str">
        <f aca="false">IF(A1041="","",IFERROR(INDEX(Recipes!$B:$B,MATCH(A1041,Recipes!$A:$A,0)),"⚠ unknown recipe_id"))</f>
        <v/>
      </c>
      <c r="E1041" s="12" t="str">
        <f aca="false">IF(C1041="","",IFERROR(INDEX('Ingredient Catalog'!$C:$C,MATCH(C1041,'Ingredient Catalog'!$A:$A,0)),"⚠ not in catalog"))</f>
        <v/>
      </c>
      <c r="G1041" s="12" t="str">
        <f aca="false">IF(A1041="","",COUNTIFS('Weekly Log'!$A:$A,'Grocery List'!$B$3,'Weekly Log'!$C:$C,A1041,'Weekly Log'!$E:$E,"Yes"))</f>
        <v/>
      </c>
      <c r="H1041" s="12" t="str">
        <f aca="false">IF(OR(A1041="",D1041=""),"",D1041*G1041)</f>
        <v/>
      </c>
    </row>
    <row r="1042" customFormat="false" ht="15" hidden="false" customHeight="false" outlineLevel="0" collapsed="false">
      <c r="B1042" s="12" t="str">
        <f aca="false">IF(A1042="","",IFERROR(INDEX(Recipes!$B:$B,MATCH(A1042,Recipes!$A:$A,0)),"⚠ unknown recipe_id"))</f>
        <v/>
      </c>
      <c r="E1042" s="12" t="str">
        <f aca="false">IF(C1042="","",IFERROR(INDEX('Ingredient Catalog'!$C:$C,MATCH(C1042,'Ingredient Catalog'!$A:$A,0)),"⚠ not in catalog"))</f>
        <v/>
      </c>
      <c r="G1042" s="12" t="str">
        <f aca="false">IF(A1042="","",COUNTIFS('Weekly Log'!$A:$A,'Grocery List'!$B$3,'Weekly Log'!$C:$C,A1042,'Weekly Log'!$E:$E,"Yes"))</f>
        <v/>
      </c>
      <c r="H1042" s="12" t="str">
        <f aca="false">IF(OR(A1042="",D1042=""),"",D1042*G1042)</f>
        <v/>
      </c>
    </row>
    <row r="1043" customFormat="false" ht="15" hidden="false" customHeight="false" outlineLevel="0" collapsed="false">
      <c r="B1043" s="12" t="str">
        <f aca="false">IF(A1043="","",IFERROR(INDEX(Recipes!$B:$B,MATCH(A1043,Recipes!$A:$A,0)),"⚠ unknown recipe_id"))</f>
        <v/>
      </c>
      <c r="E1043" s="12" t="str">
        <f aca="false">IF(C1043="","",IFERROR(INDEX('Ingredient Catalog'!$C:$C,MATCH(C1043,'Ingredient Catalog'!$A:$A,0)),"⚠ not in catalog"))</f>
        <v/>
      </c>
      <c r="G1043" s="12" t="str">
        <f aca="false">IF(A1043="","",COUNTIFS('Weekly Log'!$A:$A,'Grocery List'!$B$3,'Weekly Log'!$C:$C,A1043,'Weekly Log'!$E:$E,"Yes"))</f>
        <v/>
      </c>
      <c r="H1043" s="12" t="str">
        <f aca="false">IF(OR(A1043="",D1043=""),"",D1043*G1043)</f>
        <v/>
      </c>
    </row>
    <row r="1044" customFormat="false" ht="15" hidden="false" customHeight="false" outlineLevel="0" collapsed="false">
      <c r="B1044" s="12" t="str">
        <f aca="false">IF(A1044="","",IFERROR(INDEX(Recipes!$B:$B,MATCH(A1044,Recipes!$A:$A,0)),"⚠ unknown recipe_id"))</f>
        <v/>
      </c>
      <c r="E1044" s="12" t="str">
        <f aca="false">IF(C1044="","",IFERROR(INDEX('Ingredient Catalog'!$C:$C,MATCH(C1044,'Ingredient Catalog'!$A:$A,0)),"⚠ not in catalog"))</f>
        <v/>
      </c>
      <c r="G1044" s="12" t="str">
        <f aca="false">IF(A1044="","",COUNTIFS('Weekly Log'!$A:$A,'Grocery List'!$B$3,'Weekly Log'!$C:$C,A1044,'Weekly Log'!$E:$E,"Yes"))</f>
        <v/>
      </c>
      <c r="H1044" s="12" t="str">
        <f aca="false">IF(OR(A1044="",D1044=""),"",D1044*G1044)</f>
        <v/>
      </c>
    </row>
    <row r="1045" customFormat="false" ht="15" hidden="false" customHeight="false" outlineLevel="0" collapsed="false">
      <c r="B1045" s="12" t="str">
        <f aca="false">IF(A1045="","",IFERROR(INDEX(Recipes!$B:$B,MATCH(A1045,Recipes!$A:$A,0)),"⚠ unknown recipe_id"))</f>
        <v/>
      </c>
      <c r="E1045" s="12" t="str">
        <f aca="false">IF(C1045="","",IFERROR(INDEX('Ingredient Catalog'!$C:$C,MATCH(C1045,'Ingredient Catalog'!$A:$A,0)),"⚠ not in catalog"))</f>
        <v/>
      </c>
      <c r="G1045" s="12" t="str">
        <f aca="false">IF(A1045="","",COUNTIFS('Weekly Log'!$A:$A,'Grocery List'!$B$3,'Weekly Log'!$C:$C,A1045,'Weekly Log'!$E:$E,"Yes"))</f>
        <v/>
      </c>
      <c r="H1045" s="12" t="str">
        <f aca="false">IF(OR(A1045="",D1045=""),"",D1045*G1045)</f>
        <v/>
      </c>
    </row>
    <row r="1046" customFormat="false" ht="15" hidden="false" customHeight="false" outlineLevel="0" collapsed="false">
      <c r="B1046" s="12" t="str">
        <f aca="false">IF(A1046="","",IFERROR(INDEX(Recipes!$B:$B,MATCH(A1046,Recipes!$A:$A,0)),"⚠ unknown recipe_id"))</f>
        <v/>
      </c>
      <c r="E1046" s="12" t="str">
        <f aca="false">IF(C1046="","",IFERROR(INDEX('Ingredient Catalog'!$C:$C,MATCH(C1046,'Ingredient Catalog'!$A:$A,0)),"⚠ not in catalog"))</f>
        <v/>
      </c>
      <c r="G1046" s="12" t="str">
        <f aca="false">IF(A1046="","",COUNTIFS('Weekly Log'!$A:$A,'Grocery List'!$B$3,'Weekly Log'!$C:$C,A1046,'Weekly Log'!$E:$E,"Yes"))</f>
        <v/>
      </c>
      <c r="H1046" s="12" t="str">
        <f aca="false">IF(OR(A1046="",D1046=""),"",D1046*G1046)</f>
        <v/>
      </c>
    </row>
    <row r="1047" customFormat="false" ht="15" hidden="false" customHeight="false" outlineLevel="0" collapsed="false">
      <c r="B1047" s="12" t="str">
        <f aca="false">IF(A1047="","",IFERROR(INDEX(Recipes!$B:$B,MATCH(A1047,Recipes!$A:$A,0)),"⚠ unknown recipe_id"))</f>
        <v/>
      </c>
      <c r="E1047" s="12" t="str">
        <f aca="false">IF(C1047="","",IFERROR(INDEX('Ingredient Catalog'!$C:$C,MATCH(C1047,'Ingredient Catalog'!$A:$A,0)),"⚠ not in catalog"))</f>
        <v/>
      </c>
      <c r="G1047" s="12" t="str">
        <f aca="false">IF(A1047="","",COUNTIFS('Weekly Log'!$A:$A,'Grocery List'!$B$3,'Weekly Log'!$C:$C,A1047,'Weekly Log'!$E:$E,"Yes"))</f>
        <v/>
      </c>
      <c r="H1047" s="12" t="str">
        <f aca="false">IF(OR(A1047="",D1047=""),"",D1047*G1047)</f>
        <v/>
      </c>
    </row>
    <row r="1048" customFormat="false" ht="15" hidden="false" customHeight="false" outlineLevel="0" collapsed="false">
      <c r="B1048" s="12" t="str">
        <f aca="false">IF(A1048="","",IFERROR(INDEX(Recipes!$B:$B,MATCH(A1048,Recipes!$A:$A,0)),"⚠ unknown recipe_id"))</f>
        <v/>
      </c>
      <c r="E1048" s="12" t="str">
        <f aca="false">IF(C1048="","",IFERROR(INDEX('Ingredient Catalog'!$C:$C,MATCH(C1048,'Ingredient Catalog'!$A:$A,0)),"⚠ not in catalog"))</f>
        <v/>
      </c>
      <c r="G1048" s="12" t="str">
        <f aca="false">IF(A1048="","",COUNTIFS('Weekly Log'!$A:$A,'Grocery List'!$B$3,'Weekly Log'!$C:$C,A1048,'Weekly Log'!$E:$E,"Yes"))</f>
        <v/>
      </c>
      <c r="H1048" s="12" t="str">
        <f aca="false">IF(OR(A1048="",D1048=""),"",D1048*G1048)</f>
        <v/>
      </c>
    </row>
    <row r="1049" customFormat="false" ht="15" hidden="false" customHeight="false" outlineLevel="0" collapsed="false">
      <c r="B1049" s="12" t="str">
        <f aca="false">IF(A1049="","",IFERROR(INDEX(Recipes!$B:$B,MATCH(A1049,Recipes!$A:$A,0)),"⚠ unknown recipe_id"))</f>
        <v/>
      </c>
      <c r="E1049" s="12" t="str">
        <f aca="false">IF(C1049="","",IFERROR(INDEX('Ingredient Catalog'!$C:$C,MATCH(C1049,'Ingredient Catalog'!$A:$A,0)),"⚠ not in catalog"))</f>
        <v/>
      </c>
      <c r="G1049" s="12" t="str">
        <f aca="false">IF(A1049="","",COUNTIFS('Weekly Log'!$A:$A,'Grocery List'!$B$3,'Weekly Log'!$C:$C,A1049,'Weekly Log'!$E:$E,"Yes"))</f>
        <v/>
      </c>
      <c r="H1049" s="12" t="str">
        <f aca="false">IF(OR(A1049="",D1049=""),"",D1049*G1049)</f>
        <v/>
      </c>
    </row>
    <row r="1050" customFormat="false" ht="15" hidden="false" customHeight="false" outlineLevel="0" collapsed="false">
      <c r="B1050" s="12" t="str">
        <f aca="false">IF(A1050="","",IFERROR(INDEX(Recipes!$B:$B,MATCH(A1050,Recipes!$A:$A,0)),"⚠ unknown recipe_id"))</f>
        <v/>
      </c>
      <c r="E1050" s="12" t="str">
        <f aca="false">IF(C1050="","",IFERROR(INDEX('Ingredient Catalog'!$C:$C,MATCH(C1050,'Ingredient Catalog'!$A:$A,0)),"⚠ not in catalog"))</f>
        <v/>
      </c>
      <c r="G1050" s="12" t="str">
        <f aca="false">IF(A1050="","",COUNTIFS('Weekly Log'!$A:$A,'Grocery List'!$B$3,'Weekly Log'!$C:$C,A1050,'Weekly Log'!$E:$E,"Yes"))</f>
        <v/>
      </c>
      <c r="H1050" s="12" t="str">
        <f aca="false">IF(OR(A1050="",D1050=""),"",D1050*G1050)</f>
        <v/>
      </c>
    </row>
    <row r="1051" customFormat="false" ht="15" hidden="false" customHeight="false" outlineLevel="0" collapsed="false">
      <c r="B1051" s="12" t="str">
        <f aca="false">IF(A1051="","",IFERROR(INDEX(Recipes!$B:$B,MATCH(A1051,Recipes!$A:$A,0)),"⚠ unknown recipe_id"))</f>
        <v/>
      </c>
      <c r="E1051" s="12" t="str">
        <f aca="false">IF(C1051="","",IFERROR(INDEX('Ingredient Catalog'!$C:$C,MATCH(C1051,'Ingredient Catalog'!$A:$A,0)),"⚠ not in catalog"))</f>
        <v/>
      </c>
      <c r="G1051" s="12" t="str">
        <f aca="false">IF(A1051="","",COUNTIFS('Weekly Log'!$A:$A,'Grocery List'!$B$3,'Weekly Log'!$C:$C,A1051,'Weekly Log'!$E:$E,"Yes"))</f>
        <v/>
      </c>
      <c r="H1051" s="12" t="str">
        <f aca="false">IF(OR(A1051="",D1051=""),"",D1051*G1051)</f>
        <v/>
      </c>
    </row>
    <row r="1052" customFormat="false" ht="15" hidden="false" customHeight="false" outlineLevel="0" collapsed="false">
      <c r="B1052" s="12" t="str">
        <f aca="false">IF(A1052="","",IFERROR(INDEX(Recipes!$B:$B,MATCH(A1052,Recipes!$A:$A,0)),"⚠ unknown recipe_id"))</f>
        <v/>
      </c>
      <c r="E1052" s="12" t="str">
        <f aca="false">IF(C1052="","",IFERROR(INDEX('Ingredient Catalog'!$C:$C,MATCH(C1052,'Ingredient Catalog'!$A:$A,0)),"⚠ not in catalog"))</f>
        <v/>
      </c>
      <c r="G1052" s="12" t="str">
        <f aca="false">IF(A1052="","",COUNTIFS('Weekly Log'!$A:$A,'Grocery List'!$B$3,'Weekly Log'!$C:$C,A1052,'Weekly Log'!$E:$E,"Yes"))</f>
        <v/>
      </c>
      <c r="H1052" s="12" t="str">
        <f aca="false">IF(OR(A1052="",D1052=""),"",D1052*G1052)</f>
        <v/>
      </c>
    </row>
    <row r="1053" customFormat="false" ht="15" hidden="false" customHeight="false" outlineLevel="0" collapsed="false">
      <c r="B1053" s="12" t="str">
        <f aca="false">IF(A1053="","",IFERROR(INDEX(Recipes!$B:$B,MATCH(A1053,Recipes!$A:$A,0)),"⚠ unknown recipe_id"))</f>
        <v/>
      </c>
      <c r="E1053" s="12" t="str">
        <f aca="false">IF(C1053="","",IFERROR(INDEX('Ingredient Catalog'!$C:$C,MATCH(C1053,'Ingredient Catalog'!$A:$A,0)),"⚠ not in catalog"))</f>
        <v/>
      </c>
      <c r="G1053" s="12" t="str">
        <f aca="false">IF(A1053="","",COUNTIFS('Weekly Log'!$A:$A,'Grocery List'!$B$3,'Weekly Log'!$C:$C,A1053,'Weekly Log'!$E:$E,"Yes"))</f>
        <v/>
      </c>
      <c r="H1053" s="12" t="str">
        <f aca="false">IF(OR(A1053="",D1053=""),"",D1053*G1053)</f>
        <v/>
      </c>
    </row>
    <row r="1054" customFormat="false" ht="15" hidden="false" customHeight="false" outlineLevel="0" collapsed="false">
      <c r="B1054" s="12" t="str">
        <f aca="false">IF(A1054="","",IFERROR(INDEX(Recipes!$B:$B,MATCH(A1054,Recipes!$A:$A,0)),"⚠ unknown recipe_id"))</f>
        <v/>
      </c>
      <c r="E1054" s="12" t="str">
        <f aca="false">IF(C1054="","",IFERROR(INDEX('Ingredient Catalog'!$C:$C,MATCH(C1054,'Ingredient Catalog'!$A:$A,0)),"⚠ not in catalog"))</f>
        <v/>
      </c>
      <c r="G1054" s="12" t="str">
        <f aca="false">IF(A1054="","",COUNTIFS('Weekly Log'!$A:$A,'Grocery List'!$B$3,'Weekly Log'!$C:$C,A1054,'Weekly Log'!$E:$E,"Yes"))</f>
        <v/>
      </c>
      <c r="H1054" s="12" t="str">
        <f aca="false">IF(OR(A1054="",D1054=""),"",D1054*G1054)</f>
        <v/>
      </c>
    </row>
    <row r="1055" customFormat="false" ht="15" hidden="false" customHeight="false" outlineLevel="0" collapsed="false">
      <c r="B1055" s="12" t="str">
        <f aca="false">IF(A1055="","",IFERROR(INDEX(Recipes!$B:$B,MATCH(A1055,Recipes!$A:$A,0)),"⚠ unknown recipe_id"))</f>
        <v/>
      </c>
      <c r="E1055" s="12" t="str">
        <f aca="false">IF(C1055="","",IFERROR(INDEX('Ingredient Catalog'!$C:$C,MATCH(C1055,'Ingredient Catalog'!$A:$A,0)),"⚠ not in catalog"))</f>
        <v/>
      </c>
      <c r="G1055" s="12" t="str">
        <f aca="false">IF(A1055="","",COUNTIFS('Weekly Log'!$A:$A,'Grocery List'!$B$3,'Weekly Log'!$C:$C,A1055,'Weekly Log'!$E:$E,"Yes"))</f>
        <v/>
      </c>
      <c r="H1055" s="12" t="str">
        <f aca="false">IF(OR(A1055="",D1055=""),"",D1055*G1055)</f>
        <v/>
      </c>
    </row>
    <row r="1056" customFormat="false" ht="15" hidden="false" customHeight="false" outlineLevel="0" collapsed="false">
      <c r="B1056" s="12" t="str">
        <f aca="false">IF(A1056="","",IFERROR(INDEX(Recipes!$B:$B,MATCH(A1056,Recipes!$A:$A,0)),"⚠ unknown recipe_id"))</f>
        <v/>
      </c>
      <c r="E1056" s="12" t="str">
        <f aca="false">IF(C1056="","",IFERROR(INDEX('Ingredient Catalog'!$C:$C,MATCH(C1056,'Ingredient Catalog'!$A:$A,0)),"⚠ not in catalog"))</f>
        <v/>
      </c>
      <c r="G1056" s="12" t="str">
        <f aca="false">IF(A1056="","",COUNTIFS('Weekly Log'!$A:$A,'Grocery List'!$B$3,'Weekly Log'!$C:$C,A1056,'Weekly Log'!$E:$E,"Yes"))</f>
        <v/>
      </c>
      <c r="H1056" s="12" t="str">
        <f aca="false">IF(OR(A1056="",D1056=""),"",D1056*G1056)</f>
        <v/>
      </c>
    </row>
    <row r="1057" customFormat="false" ht="15" hidden="false" customHeight="false" outlineLevel="0" collapsed="false">
      <c r="B1057" s="12" t="str">
        <f aca="false">IF(A1057="","",IFERROR(INDEX(Recipes!$B:$B,MATCH(A1057,Recipes!$A:$A,0)),"⚠ unknown recipe_id"))</f>
        <v/>
      </c>
      <c r="E1057" s="12" t="str">
        <f aca="false">IF(C1057="","",IFERROR(INDEX('Ingredient Catalog'!$C:$C,MATCH(C1057,'Ingredient Catalog'!$A:$A,0)),"⚠ not in catalog"))</f>
        <v/>
      </c>
      <c r="G1057" s="12" t="str">
        <f aca="false">IF(A1057="","",COUNTIFS('Weekly Log'!$A:$A,'Grocery List'!$B$3,'Weekly Log'!$C:$C,A1057,'Weekly Log'!$E:$E,"Yes"))</f>
        <v/>
      </c>
      <c r="H1057" s="12" t="str">
        <f aca="false">IF(OR(A1057="",D1057=""),"",D1057*G1057)</f>
        <v/>
      </c>
    </row>
    <row r="1058" customFormat="false" ht="15" hidden="false" customHeight="false" outlineLevel="0" collapsed="false">
      <c r="B1058" s="12" t="str">
        <f aca="false">IF(A1058="","",IFERROR(INDEX(Recipes!$B:$B,MATCH(A1058,Recipes!$A:$A,0)),"⚠ unknown recipe_id"))</f>
        <v/>
      </c>
      <c r="E1058" s="12" t="str">
        <f aca="false">IF(C1058="","",IFERROR(INDEX('Ingredient Catalog'!$C:$C,MATCH(C1058,'Ingredient Catalog'!$A:$A,0)),"⚠ not in catalog"))</f>
        <v/>
      </c>
      <c r="G1058" s="12" t="str">
        <f aca="false">IF(A1058="","",COUNTIFS('Weekly Log'!$A:$A,'Grocery List'!$B$3,'Weekly Log'!$C:$C,A1058,'Weekly Log'!$E:$E,"Yes"))</f>
        <v/>
      </c>
      <c r="H1058" s="12" t="str">
        <f aca="false">IF(OR(A1058="",D1058=""),"",D1058*G1058)</f>
        <v/>
      </c>
    </row>
    <row r="1059" customFormat="false" ht="15" hidden="false" customHeight="false" outlineLevel="0" collapsed="false">
      <c r="B1059" s="12" t="str">
        <f aca="false">IF(A1059="","",IFERROR(INDEX(Recipes!$B:$B,MATCH(A1059,Recipes!$A:$A,0)),"⚠ unknown recipe_id"))</f>
        <v/>
      </c>
      <c r="E1059" s="12" t="str">
        <f aca="false">IF(C1059="","",IFERROR(INDEX('Ingredient Catalog'!$C:$C,MATCH(C1059,'Ingredient Catalog'!$A:$A,0)),"⚠ not in catalog"))</f>
        <v/>
      </c>
      <c r="G1059" s="12" t="str">
        <f aca="false">IF(A1059="","",COUNTIFS('Weekly Log'!$A:$A,'Grocery List'!$B$3,'Weekly Log'!$C:$C,A1059,'Weekly Log'!$E:$E,"Yes"))</f>
        <v/>
      </c>
      <c r="H1059" s="12" t="str">
        <f aca="false">IF(OR(A1059="",D1059=""),"",D1059*G1059)</f>
        <v/>
      </c>
    </row>
    <row r="1060" customFormat="false" ht="15" hidden="false" customHeight="false" outlineLevel="0" collapsed="false">
      <c r="B1060" s="12" t="str">
        <f aca="false">IF(A1060="","",IFERROR(INDEX(Recipes!$B:$B,MATCH(A1060,Recipes!$A:$A,0)),"⚠ unknown recipe_id"))</f>
        <v/>
      </c>
      <c r="E1060" s="12" t="str">
        <f aca="false">IF(C1060="","",IFERROR(INDEX('Ingredient Catalog'!$C:$C,MATCH(C1060,'Ingredient Catalog'!$A:$A,0)),"⚠ not in catalog"))</f>
        <v/>
      </c>
      <c r="G1060" s="12" t="str">
        <f aca="false">IF(A1060="","",COUNTIFS('Weekly Log'!$A:$A,'Grocery List'!$B$3,'Weekly Log'!$C:$C,A1060,'Weekly Log'!$E:$E,"Yes"))</f>
        <v/>
      </c>
      <c r="H1060" s="12" t="str">
        <f aca="false">IF(OR(A1060="",D1060=""),"",D1060*G1060)</f>
        <v/>
      </c>
    </row>
    <row r="1061" customFormat="false" ht="15" hidden="false" customHeight="false" outlineLevel="0" collapsed="false">
      <c r="B1061" s="12" t="str">
        <f aca="false">IF(A1061="","",IFERROR(INDEX(Recipes!$B:$B,MATCH(A1061,Recipes!$A:$A,0)),"⚠ unknown recipe_id"))</f>
        <v/>
      </c>
      <c r="E1061" s="12" t="str">
        <f aca="false">IF(C1061="","",IFERROR(INDEX('Ingredient Catalog'!$C:$C,MATCH(C1061,'Ingredient Catalog'!$A:$A,0)),"⚠ not in catalog"))</f>
        <v/>
      </c>
      <c r="G1061" s="12" t="str">
        <f aca="false">IF(A1061="","",COUNTIFS('Weekly Log'!$A:$A,'Grocery List'!$B$3,'Weekly Log'!$C:$C,A1061,'Weekly Log'!$E:$E,"Yes"))</f>
        <v/>
      </c>
      <c r="H1061" s="12" t="str">
        <f aca="false">IF(OR(A1061="",D1061=""),"",D1061*G1061)</f>
        <v/>
      </c>
    </row>
    <row r="1062" customFormat="false" ht="15" hidden="false" customHeight="false" outlineLevel="0" collapsed="false">
      <c r="B1062" s="12" t="str">
        <f aca="false">IF(A1062="","",IFERROR(INDEX(Recipes!$B:$B,MATCH(A1062,Recipes!$A:$A,0)),"⚠ unknown recipe_id"))</f>
        <v/>
      </c>
      <c r="E1062" s="12" t="str">
        <f aca="false">IF(C1062="","",IFERROR(INDEX('Ingredient Catalog'!$C:$C,MATCH(C1062,'Ingredient Catalog'!$A:$A,0)),"⚠ not in catalog"))</f>
        <v/>
      </c>
      <c r="G1062" s="12" t="str">
        <f aca="false">IF(A1062="","",COUNTIFS('Weekly Log'!$A:$A,'Grocery List'!$B$3,'Weekly Log'!$C:$C,A1062,'Weekly Log'!$E:$E,"Yes"))</f>
        <v/>
      </c>
      <c r="H1062" s="12" t="str">
        <f aca="false">IF(OR(A1062="",D1062=""),"",D1062*G1062)</f>
        <v/>
      </c>
    </row>
    <row r="1063" customFormat="false" ht="15" hidden="false" customHeight="false" outlineLevel="0" collapsed="false">
      <c r="B1063" s="12" t="str">
        <f aca="false">IF(A1063="","",IFERROR(INDEX(Recipes!$B:$B,MATCH(A1063,Recipes!$A:$A,0)),"⚠ unknown recipe_id"))</f>
        <v/>
      </c>
      <c r="E1063" s="12" t="str">
        <f aca="false">IF(C1063="","",IFERROR(INDEX('Ingredient Catalog'!$C:$C,MATCH(C1063,'Ingredient Catalog'!$A:$A,0)),"⚠ not in catalog"))</f>
        <v/>
      </c>
      <c r="G1063" s="12" t="str">
        <f aca="false">IF(A1063="","",COUNTIFS('Weekly Log'!$A:$A,'Grocery List'!$B$3,'Weekly Log'!$C:$C,A1063,'Weekly Log'!$E:$E,"Yes"))</f>
        <v/>
      </c>
      <c r="H1063" s="12" t="str">
        <f aca="false">IF(OR(A1063="",D1063=""),"",D1063*G1063)</f>
        <v/>
      </c>
    </row>
    <row r="1064" customFormat="false" ht="15" hidden="false" customHeight="false" outlineLevel="0" collapsed="false">
      <c r="B1064" s="12" t="str">
        <f aca="false">IF(A1064="","",IFERROR(INDEX(Recipes!$B:$B,MATCH(A1064,Recipes!$A:$A,0)),"⚠ unknown recipe_id"))</f>
        <v/>
      </c>
      <c r="E1064" s="12" t="str">
        <f aca="false">IF(C1064="","",IFERROR(INDEX('Ingredient Catalog'!$C:$C,MATCH(C1064,'Ingredient Catalog'!$A:$A,0)),"⚠ not in catalog"))</f>
        <v/>
      </c>
      <c r="G1064" s="12" t="str">
        <f aca="false">IF(A1064="","",COUNTIFS('Weekly Log'!$A:$A,'Grocery List'!$B$3,'Weekly Log'!$C:$C,A1064,'Weekly Log'!$E:$E,"Yes"))</f>
        <v/>
      </c>
      <c r="H1064" s="12" t="str">
        <f aca="false">IF(OR(A1064="",D1064=""),"",D1064*G1064)</f>
        <v/>
      </c>
    </row>
    <row r="1065" customFormat="false" ht="15" hidden="false" customHeight="false" outlineLevel="0" collapsed="false">
      <c r="B1065" s="12" t="str">
        <f aca="false">IF(A1065="","",IFERROR(INDEX(Recipes!$B:$B,MATCH(A1065,Recipes!$A:$A,0)),"⚠ unknown recipe_id"))</f>
        <v/>
      </c>
      <c r="E1065" s="12" t="str">
        <f aca="false">IF(C1065="","",IFERROR(INDEX('Ingredient Catalog'!$C:$C,MATCH(C1065,'Ingredient Catalog'!$A:$A,0)),"⚠ not in catalog"))</f>
        <v/>
      </c>
      <c r="G1065" s="12" t="str">
        <f aca="false">IF(A1065="","",COUNTIFS('Weekly Log'!$A:$A,'Grocery List'!$B$3,'Weekly Log'!$C:$C,A1065,'Weekly Log'!$E:$E,"Yes"))</f>
        <v/>
      </c>
      <c r="H1065" s="12" t="str">
        <f aca="false">IF(OR(A1065="",D1065=""),"",D1065*G1065)</f>
        <v/>
      </c>
    </row>
    <row r="1066" customFormat="false" ht="15" hidden="false" customHeight="false" outlineLevel="0" collapsed="false">
      <c r="B1066" s="12" t="str">
        <f aca="false">IF(A1066="","",IFERROR(INDEX(Recipes!$B:$B,MATCH(A1066,Recipes!$A:$A,0)),"⚠ unknown recipe_id"))</f>
        <v/>
      </c>
      <c r="E1066" s="12" t="str">
        <f aca="false">IF(C1066="","",IFERROR(INDEX('Ingredient Catalog'!$C:$C,MATCH(C1066,'Ingredient Catalog'!$A:$A,0)),"⚠ not in catalog"))</f>
        <v/>
      </c>
      <c r="G1066" s="12" t="str">
        <f aca="false">IF(A1066="","",COUNTIFS('Weekly Log'!$A:$A,'Grocery List'!$B$3,'Weekly Log'!$C:$C,A1066,'Weekly Log'!$E:$E,"Yes"))</f>
        <v/>
      </c>
      <c r="H1066" s="12" t="str">
        <f aca="false">IF(OR(A1066="",D1066=""),"",D1066*G1066)</f>
        <v/>
      </c>
    </row>
    <row r="1067" customFormat="false" ht="15" hidden="false" customHeight="false" outlineLevel="0" collapsed="false">
      <c r="B1067" s="12" t="str">
        <f aca="false">IF(A1067="","",IFERROR(INDEX(Recipes!$B:$B,MATCH(A1067,Recipes!$A:$A,0)),"⚠ unknown recipe_id"))</f>
        <v/>
      </c>
      <c r="E1067" s="12" t="str">
        <f aca="false">IF(C1067="","",IFERROR(INDEX('Ingredient Catalog'!$C:$C,MATCH(C1067,'Ingredient Catalog'!$A:$A,0)),"⚠ not in catalog"))</f>
        <v/>
      </c>
      <c r="G1067" s="12" t="str">
        <f aca="false">IF(A1067="","",COUNTIFS('Weekly Log'!$A:$A,'Grocery List'!$B$3,'Weekly Log'!$C:$C,A1067,'Weekly Log'!$E:$E,"Yes"))</f>
        <v/>
      </c>
      <c r="H1067" s="12" t="str">
        <f aca="false">IF(OR(A1067="",D1067=""),"",D1067*G1067)</f>
        <v/>
      </c>
    </row>
    <row r="1068" customFormat="false" ht="15" hidden="false" customHeight="false" outlineLevel="0" collapsed="false">
      <c r="B1068" s="12" t="str">
        <f aca="false">IF(A1068="","",IFERROR(INDEX(Recipes!$B:$B,MATCH(A1068,Recipes!$A:$A,0)),"⚠ unknown recipe_id"))</f>
        <v/>
      </c>
      <c r="E1068" s="12" t="str">
        <f aca="false">IF(C1068="","",IFERROR(INDEX('Ingredient Catalog'!$C:$C,MATCH(C1068,'Ingredient Catalog'!$A:$A,0)),"⚠ not in catalog"))</f>
        <v/>
      </c>
      <c r="G1068" s="12" t="str">
        <f aca="false">IF(A1068="","",COUNTIFS('Weekly Log'!$A:$A,'Grocery List'!$B$3,'Weekly Log'!$C:$C,A1068,'Weekly Log'!$E:$E,"Yes"))</f>
        <v/>
      </c>
      <c r="H1068" s="12" t="str">
        <f aca="false">IF(OR(A1068="",D1068=""),"",D1068*G1068)</f>
        <v/>
      </c>
    </row>
    <row r="1069" customFormat="false" ht="15" hidden="false" customHeight="false" outlineLevel="0" collapsed="false">
      <c r="B1069" s="12" t="str">
        <f aca="false">IF(A1069="","",IFERROR(INDEX(Recipes!$B:$B,MATCH(A1069,Recipes!$A:$A,0)),"⚠ unknown recipe_id"))</f>
        <v/>
      </c>
      <c r="E1069" s="12" t="str">
        <f aca="false">IF(C1069="","",IFERROR(INDEX('Ingredient Catalog'!$C:$C,MATCH(C1069,'Ingredient Catalog'!$A:$A,0)),"⚠ not in catalog"))</f>
        <v/>
      </c>
      <c r="G1069" s="12" t="str">
        <f aca="false">IF(A1069="","",COUNTIFS('Weekly Log'!$A:$A,'Grocery List'!$B$3,'Weekly Log'!$C:$C,A1069,'Weekly Log'!$E:$E,"Yes"))</f>
        <v/>
      </c>
      <c r="H1069" s="12" t="str">
        <f aca="false">IF(OR(A1069="",D1069=""),"",D1069*G1069)</f>
        <v/>
      </c>
    </row>
    <row r="1070" customFormat="false" ht="15" hidden="false" customHeight="false" outlineLevel="0" collapsed="false">
      <c r="B1070" s="12" t="str">
        <f aca="false">IF(A1070="","",IFERROR(INDEX(Recipes!$B:$B,MATCH(A1070,Recipes!$A:$A,0)),"⚠ unknown recipe_id"))</f>
        <v/>
      </c>
      <c r="E1070" s="12" t="str">
        <f aca="false">IF(C1070="","",IFERROR(INDEX('Ingredient Catalog'!$C:$C,MATCH(C1070,'Ingredient Catalog'!$A:$A,0)),"⚠ not in catalog"))</f>
        <v/>
      </c>
      <c r="G1070" s="12" t="str">
        <f aca="false">IF(A1070="","",COUNTIFS('Weekly Log'!$A:$A,'Grocery List'!$B$3,'Weekly Log'!$C:$C,A1070,'Weekly Log'!$E:$E,"Yes"))</f>
        <v/>
      </c>
      <c r="H1070" s="12" t="str">
        <f aca="false">IF(OR(A1070="",D1070=""),"",D1070*G1070)</f>
        <v/>
      </c>
    </row>
    <row r="1071" customFormat="false" ht="15" hidden="false" customHeight="false" outlineLevel="0" collapsed="false">
      <c r="B1071" s="12" t="str">
        <f aca="false">IF(A1071="","",IFERROR(INDEX(Recipes!$B:$B,MATCH(A1071,Recipes!$A:$A,0)),"⚠ unknown recipe_id"))</f>
        <v/>
      </c>
      <c r="E1071" s="12" t="str">
        <f aca="false">IF(C1071="","",IFERROR(INDEX('Ingredient Catalog'!$C:$C,MATCH(C1071,'Ingredient Catalog'!$A:$A,0)),"⚠ not in catalog"))</f>
        <v/>
      </c>
      <c r="G1071" s="12" t="str">
        <f aca="false">IF(A1071="","",COUNTIFS('Weekly Log'!$A:$A,'Grocery List'!$B$3,'Weekly Log'!$C:$C,A1071,'Weekly Log'!$E:$E,"Yes"))</f>
        <v/>
      </c>
      <c r="H1071" s="12" t="str">
        <f aca="false">IF(OR(A1071="",D1071=""),"",D1071*G1071)</f>
        <v/>
      </c>
    </row>
    <row r="1072" customFormat="false" ht="15" hidden="false" customHeight="false" outlineLevel="0" collapsed="false">
      <c r="B1072" s="12" t="str">
        <f aca="false">IF(A1072="","",IFERROR(INDEX(Recipes!$B:$B,MATCH(A1072,Recipes!$A:$A,0)),"⚠ unknown recipe_id"))</f>
        <v/>
      </c>
      <c r="E1072" s="12" t="str">
        <f aca="false">IF(C1072="","",IFERROR(INDEX('Ingredient Catalog'!$C:$C,MATCH(C1072,'Ingredient Catalog'!$A:$A,0)),"⚠ not in catalog"))</f>
        <v/>
      </c>
      <c r="G1072" s="12" t="str">
        <f aca="false">IF(A1072="","",COUNTIFS('Weekly Log'!$A:$A,'Grocery List'!$B$3,'Weekly Log'!$C:$C,A1072,'Weekly Log'!$E:$E,"Yes"))</f>
        <v/>
      </c>
      <c r="H1072" s="12" t="str">
        <f aca="false">IF(OR(A1072="",D1072=""),"",D1072*G1072)</f>
        <v/>
      </c>
    </row>
    <row r="1073" customFormat="false" ht="15" hidden="false" customHeight="false" outlineLevel="0" collapsed="false">
      <c r="B1073" s="12" t="str">
        <f aca="false">IF(A1073="","",IFERROR(INDEX(Recipes!$B:$B,MATCH(A1073,Recipes!$A:$A,0)),"⚠ unknown recipe_id"))</f>
        <v/>
      </c>
      <c r="E1073" s="12" t="str">
        <f aca="false">IF(C1073="","",IFERROR(INDEX('Ingredient Catalog'!$C:$C,MATCH(C1073,'Ingredient Catalog'!$A:$A,0)),"⚠ not in catalog"))</f>
        <v/>
      </c>
      <c r="G1073" s="12" t="str">
        <f aca="false">IF(A1073="","",COUNTIFS('Weekly Log'!$A:$A,'Grocery List'!$B$3,'Weekly Log'!$C:$C,A1073,'Weekly Log'!$E:$E,"Yes"))</f>
        <v/>
      </c>
      <c r="H1073" s="12" t="str">
        <f aca="false">IF(OR(A1073="",D1073=""),"",D1073*G1073)</f>
        <v/>
      </c>
    </row>
    <row r="1074" customFormat="false" ht="15" hidden="false" customHeight="false" outlineLevel="0" collapsed="false">
      <c r="B1074" s="12" t="str">
        <f aca="false">IF(A1074="","",IFERROR(INDEX(Recipes!$B:$B,MATCH(A1074,Recipes!$A:$A,0)),"⚠ unknown recipe_id"))</f>
        <v/>
      </c>
      <c r="E1074" s="12" t="str">
        <f aca="false">IF(C1074="","",IFERROR(INDEX('Ingredient Catalog'!$C:$C,MATCH(C1074,'Ingredient Catalog'!$A:$A,0)),"⚠ not in catalog"))</f>
        <v/>
      </c>
      <c r="G1074" s="12" t="str">
        <f aca="false">IF(A1074="","",COUNTIFS('Weekly Log'!$A:$A,'Grocery List'!$B$3,'Weekly Log'!$C:$C,A1074,'Weekly Log'!$E:$E,"Yes"))</f>
        <v/>
      </c>
      <c r="H1074" s="12" t="str">
        <f aca="false">IF(OR(A1074="",D1074=""),"",D1074*G1074)</f>
        <v/>
      </c>
    </row>
    <row r="1075" customFormat="false" ht="15" hidden="false" customHeight="false" outlineLevel="0" collapsed="false">
      <c r="B1075" s="12" t="str">
        <f aca="false">IF(A1075="","",IFERROR(INDEX(Recipes!$B:$B,MATCH(A1075,Recipes!$A:$A,0)),"⚠ unknown recipe_id"))</f>
        <v/>
      </c>
      <c r="E1075" s="12" t="str">
        <f aca="false">IF(C1075="","",IFERROR(INDEX('Ingredient Catalog'!$C:$C,MATCH(C1075,'Ingredient Catalog'!$A:$A,0)),"⚠ not in catalog"))</f>
        <v/>
      </c>
      <c r="G1075" s="12" t="str">
        <f aca="false">IF(A1075="","",COUNTIFS('Weekly Log'!$A:$A,'Grocery List'!$B$3,'Weekly Log'!$C:$C,A1075,'Weekly Log'!$E:$E,"Yes"))</f>
        <v/>
      </c>
      <c r="H1075" s="12" t="str">
        <f aca="false">IF(OR(A1075="",D1075=""),"",D1075*G1075)</f>
        <v/>
      </c>
    </row>
    <row r="1076" customFormat="false" ht="15" hidden="false" customHeight="false" outlineLevel="0" collapsed="false">
      <c r="B1076" s="12" t="str">
        <f aca="false">IF(A1076="","",IFERROR(INDEX(Recipes!$B:$B,MATCH(A1076,Recipes!$A:$A,0)),"⚠ unknown recipe_id"))</f>
        <v/>
      </c>
      <c r="E1076" s="12" t="str">
        <f aca="false">IF(C1076="","",IFERROR(INDEX('Ingredient Catalog'!$C:$C,MATCH(C1076,'Ingredient Catalog'!$A:$A,0)),"⚠ not in catalog"))</f>
        <v/>
      </c>
      <c r="G1076" s="12" t="str">
        <f aca="false">IF(A1076="","",COUNTIFS('Weekly Log'!$A:$A,'Grocery List'!$B$3,'Weekly Log'!$C:$C,A1076,'Weekly Log'!$E:$E,"Yes"))</f>
        <v/>
      </c>
      <c r="H1076" s="12" t="str">
        <f aca="false">IF(OR(A1076="",D1076=""),"",D1076*G1076)</f>
        <v/>
      </c>
    </row>
    <row r="1077" customFormat="false" ht="15" hidden="false" customHeight="false" outlineLevel="0" collapsed="false">
      <c r="B1077" s="12" t="str">
        <f aca="false">IF(A1077="","",IFERROR(INDEX(Recipes!$B:$B,MATCH(A1077,Recipes!$A:$A,0)),"⚠ unknown recipe_id"))</f>
        <v/>
      </c>
      <c r="E1077" s="12" t="str">
        <f aca="false">IF(C1077="","",IFERROR(INDEX('Ingredient Catalog'!$C:$C,MATCH(C1077,'Ingredient Catalog'!$A:$A,0)),"⚠ not in catalog"))</f>
        <v/>
      </c>
      <c r="G1077" s="12" t="str">
        <f aca="false">IF(A1077="","",COUNTIFS('Weekly Log'!$A:$A,'Grocery List'!$B$3,'Weekly Log'!$C:$C,A1077,'Weekly Log'!$E:$E,"Yes"))</f>
        <v/>
      </c>
      <c r="H1077" s="12" t="str">
        <f aca="false">IF(OR(A1077="",D1077=""),"",D1077*G1077)</f>
        <v/>
      </c>
    </row>
    <row r="1078" customFormat="false" ht="15" hidden="false" customHeight="false" outlineLevel="0" collapsed="false">
      <c r="B1078" s="12" t="str">
        <f aca="false">IF(A1078="","",IFERROR(INDEX(Recipes!$B:$B,MATCH(A1078,Recipes!$A:$A,0)),"⚠ unknown recipe_id"))</f>
        <v/>
      </c>
      <c r="E1078" s="12" t="str">
        <f aca="false">IF(C1078="","",IFERROR(INDEX('Ingredient Catalog'!$C:$C,MATCH(C1078,'Ingredient Catalog'!$A:$A,0)),"⚠ not in catalog"))</f>
        <v/>
      </c>
      <c r="G1078" s="12" t="str">
        <f aca="false">IF(A1078="","",COUNTIFS('Weekly Log'!$A:$A,'Grocery List'!$B$3,'Weekly Log'!$C:$C,A1078,'Weekly Log'!$E:$E,"Yes"))</f>
        <v/>
      </c>
      <c r="H1078" s="12" t="str">
        <f aca="false">IF(OR(A1078="",D1078=""),"",D1078*G1078)</f>
        <v/>
      </c>
    </row>
    <row r="1079" customFormat="false" ht="15" hidden="false" customHeight="false" outlineLevel="0" collapsed="false">
      <c r="B1079" s="12" t="str">
        <f aca="false">IF(A1079="","",IFERROR(INDEX(Recipes!$B:$B,MATCH(A1079,Recipes!$A:$A,0)),"⚠ unknown recipe_id"))</f>
        <v/>
      </c>
      <c r="E1079" s="12" t="str">
        <f aca="false">IF(C1079="","",IFERROR(INDEX('Ingredient Catalog'!$C:$C,MATCH(C1079,'Ingredient Catalog'!$A:$A,0)),"⚠ not in catalog"))</f>
        <v/>
      </c>
      <c r="G1079" s="12" t="str">
        <f aca="false">IF(A1079="","",COUNTIFS('Weekly Log'!$A:$A,'Grocery List'!$B$3,'Weekly Log'!$C:$C,A1079,'Weekly Log'!$E:$E,"Yes"))</f>
        <v/>
      </c>
      <c r="H1079" s="12" t="str">
        <f aca="false">IF(OR(A1079="",D1079=""),"",D1079*G1079)</f>
        <v/>
      </c>
    </row>
    <row r="1080" customFormat="false" ht="15" hidden="false" customHeight="false" outlineLevel="0" collapsed="false">
      <c r="B1080" s="12" t="str">
        <f aca="false">IF(A1080="","",IFERROR(INDEX(Recipes!$B:$B,MATCH(A1080,Recipes!$A:$A,0)),"⚠ unknown recipe_id"))</f>
        <v/>
      </c>
      <c r="E1080" s="12" t="str">
        <f aca="false">IF(C1080="","",IFERROR(INDEX('Ingredient Catalog'!$C:$C,MATCH(C1080,'Ingredient Catalog'!$A:$A,0)),"⚠ not in catalog"))</f>
        <v/>
      </c>
      <c r="G1080" s="12" t="str">
        <f aca="false">IF(A1080="","",COUNTIFS('Weekly Log'!$A:$A,'Grocery List'!$B$3,'Weekly Log'!$C:$C,A1080,'Weekly Log'!$E:$E,"Yes"))</f>
        <v/>
      </c>
      <c r="H1080" s="12" t="str">
        <f aca="false">IF(OR(A1080="",D1080=""),"",D1080*G1080)</f>
        <v/>
      </c>
    </row>
    <row r="1081" customFormat="false" ht="15" hidden="false" customHeight="false" outlineLevel="0" collapsed="false">
      <c r="B1081" s="12" t="str">
        <f aca="false">IF(A1081="","",IFERROR(INDEX(Recipes!$B:$B,MATCH(A1081,Recipes!$A:$A,0)),"⚠ unknown recipe_id"))</f>
        <v/>
      </c>
      <c r="E1081" s="12" t="str">
        <f aca="false">IF(C1081="","",IFERROR(INDEX('Ingredient Catalog'!$C:$C,MATCH(C1081,'Ingredient Catalog'!$A:$A,0)),"⚠ not in catalog"))</f>
        <v/>
      </c>
      <c r="G1081" s="12" t="str">
        <f aca="false">IF(A1081="","",COUNTIFS('Weekly Log'!$A:$A,'Grocery List'!$B$3,'Weekly Log'!$C:$C,A1081,'Weekly Log'!$E:$E,"Yes"))</f>
        <v/>
      </c>
      <c r="H1081" s="12" t="str">
        <f aca="false">IF(OR(A1081="",D1081=""),"",D1081*G1081)</f>
        <v/>
      </c>
    </row>
    <row r="1082" customFormat="false" ht="15" hidden="false" customHeight="false" outlineLevel="0" collapsed="false">
      <c r="B1082" s="12" t="str">
        <f aca="false">IF(A1082="","",IFERROR(INDEX(Recipes!$B:$B,MATCH(A1082,Recipes!$A:$A,0)),"⚠ unknown recipe_id"))</f>
        <v/>
      </c>
      <c r="E1082" s="12" t="str">
        <f aca="false">IF(C1082="","",IFERROR(INDEX('Ingredient Catalog'!$C:$C,MATCH(C1082,'Ingredient Catalog'!$A:$A,0)),"⚠ not in catalog"))</f>
        <v/>
      </c>
      <c r="G1082" s="12" t="str">
        <f aca="false">IF(A1082="","",COUNTIFS('Weekly Log'!$A:$A,'Grocery List'!$B$3,'Weekly Log'!$C:$C,A1082,'Weekly Log'!$E:$E,"Yes"))</f>
        <v/>
      </c>
      <c r="H1082" s="12" t="str">
        <f aca="false">IF(OR(A1082="",D1082=""),"",D1082*G1082)</f>
        <v/>
      </c>
    </row>
    <row r="1083" customFormat="false" ht="15" hidden="false" customHeight="false" outlineLevel="0" collapsed="false">
      <c r="B1083" s="12" t="str">
        <f aca="false">IF(A1083="","",IFERROR(INDEX(Recipes!$B:$B,MATCH(A1083,Recipes!$A:$A,0)),"⚠ unknown recipe_id"))</f>
        <v/>
      </c>
      <c r="E1083" s="12" t="str">
        <f aca="false">IF(C1083="","",IFERROR(INDEX('Ingredient Catalog'!$C:$C,MATCH(C1083,'Ingredient Catalog'!$A:$A,0)),"⚠ not in catalog"))</f>
        <v/>
      </c>
      <c r="G1083" s="12" t="str">
        <f aca="false">IF(A1083="","",COUNTIFS('Weekly Log'!$A:$A,'Grocery List'!$B$3,'Weekly Log'!$C:$C,A1083,'Weekly Log'!$E:$E,"Yes"))</f>
        <v/>
      </c>
      <c r="H1083" s="12" t="str">
        <f aca="false">IF(OR(A1083="",D1083=""),"",D1083*G1083)</f>
        <v/>
      </c>
    </row>
    <row r="1084" customFormat="false" ht="15" hidden="false" customHeight="false" outlineLevel="0" collapsed="false">
      <c r="B1084" s="12" t="str">
        <f aca="false">IF(A1084="","",IFERROR(INDEX(Recipes!$B:$B,MATCH(A1084,Recipes!$A:$A,0)),"⚠ unknown recipe_id"))</f>
        <v/>
      </c>
      <c r="E1084" s="12" t="str">
        <f aca="false">IF(C1084="","",IFERROR(INDEX('Ingredient Catalog'!$C:$C,MATCH(C1084,'Ingredient Catalog'!$A:$A,0)),"⚠ not in catalog"))</f>
        <v/>
      </c>
      <c r="G1084" s="12" t="str">
        <f aca="false">IF(A1084="","",COUNTIFS('Weekly Log'!$A:$A,'Grocery List'!$B$3,'Weekly Log'!$C:$C,A1084,'Weekly Log'!$E:$E,"Yes"))</f>
        <v/>
      </c>
      <c r="H1084" s="12" t="str">
        <f aca="false">IF(OR(A1084="",D1084=""),"",D1084*G1084)</f>
        <v/>
      </c>
    </row>
    <row r="1085" customFormat="false" ht="15" hidden="false" customHeight="false" outlineLevel="0" collapsed="false">
      <c r="B1085" s="12" t="str">
        <f aca="false">IF(A1085="","",IFERROR(INDEX(Recipes!$B:$B,MATCH(A1085,Recipes!$A:$A,0)),"⚠ unknown recipe_id"))</f>
        <v/>
      </c>
      <c r="E1085" s="12" t="str">
        <f aca="false">IF(C1085="","",IFERROR(INDEX('Ingredient Catalog'!$C:$C,MATCH(C1085,'Ingredient Catalog'!$A:$A,0)),"⚠ not in catalog"))</f>
        <v/>
      </c>
      <c r="G1085" s="12" t="str">
        <f aca="false">IF(A1085="","",COUNTIFS('Weekly Log'!$A:$A,'Grocery List'!$B$3,'Weekly Log'!$C:$C,A1085,'Weekly Log'!$E:$E,"Yes"))</f>
        <v/>
      </c>
      <c r="H1085" s="12" t="str">
        <f aca="false">IF(OR(A1085="",D1085=""),"",D1085*G1085)</f>
        <v/>
      </c>
    </row>
    <row r="1086" customFormat="false" ht="15" hidden="false" customHeight="false" outlineLevel="0" collapsed="false">
      <c r="B1086" s="12" t="str">
        <f aca="false">IF(A1086="","",IFERROR(INDEX(Recipes!$B:$B,MATCH(A1086,Recipes!$A:$A,0)),"⚠ unknown recipe_id"))</f>
        <v/>
      </c>
      <c r="E1086" s="12" t="str">
        <f aca="false">IF(C1086="","",IFERROR(INDEX('Ingredient Catalog'!$C:$C,MATCH(C1086,'Ingredient Catalog'!$A:$A,0)),"⚠ not in catalog"))</f>
        <v/>
      </c>
      <c r="G1086" s="12" t="str">
        <f aca="false">IF(A1086="","",COUNTIFS('Weekly Log'!$A:$A,'Grocery List'!$B$3,'Weekly Log'!$C:$C,A1086,'Weekly Log'!$E:$E,"Yes"))</f>
        <v/>
      </c>
      <c r="H1086" s="12" t="str">
        <f aca="false">IF(OR(A1086="",D1086=""),"",D1086*G1086)</f>
        <v/>
      </c>
    </row>
    <row r="1087" customFormat="false" ht="15" hidden="false" customHeight="false" outlineLevel="0" collapsed="false">
      <c r="B1087" s="12" t="str">
        <f aca="false">IF(A1087="","",IFERROR(INDEX(Recipes!$B:$B,MATCH(A1087,Recipes!$A:$A,0)),"⚠ unknown recipe_id"))</f>
        <v/>
      </c>
      <c r="E1087" s="12" t="str">
        <f aca="false">IF(C1087="","",IFERROR(INDEX('Ingredient Catalog'!$C:$C,MATCH(C1087,'Ingredient Catalog'!$A:$A,0)),"⚠ not in catalog"))</f>
        <v/>
      </c>
      <c r="G1087" s="12" t="str">
        <f aca="false">IF(A1087="","",COUNTIFS('Weekly Log'!$A:$A,'Grocery List'!$B$3,'Weekly Log'!$C:$C,A1087,'Weekly Log'!$E:$E,"Yes"))</f>
        <v/>
      </c>
      <c r="H1087" s="12" t="str">
        <f aca="false">IF(OR(A1087="",D1087=""),"",D1087*G1087)</f>
        <v/>
      </c>
    </row>
    <row r="1088" customFormat="false" ht="15" hidden="false" customHeight="false" outlineLevel="0" collapsed="false">
      <c r="B1088" s="12" t="str">
        <f aca="false">IF(A1088="","",IFERROR(INDEX(Recipes!$B:$B,MATCH(A1088,Recipes!$A:$A,0)),"⚠ unknown recipe_id"))</f>
        <v/>
      </c>
      <c r="E1088" s="12" t="str">
        <f aca="false">IF(C1088="","",IFERROR(INDEX('Ingredient Catalog'!$C:$C,MATCH(C1088,'Ingredient Catalog'!$A:$A,0)),"⚠ not in catalog"))</f>
        <v/>
      </c>
      <c r="G1088" s="12" t="str">
        <f aca="false">IF(A1088="","",COUNTIFS('Weekly Log'!$A:$A,'Grocery List'!$B$3,'Weekly Log'!$C:$C,A1088,'Weekly Log'!$E:$E,"Yes"))</f>
        <v/>
      </c>
      <c r="H1088" s="12" t="str">
        <f aca="false">IF(OR(A1088="",D1088=""),"",D1088*G1088)</f>
        <v/>
      </c>
    </row>
    <row r="1089" customFormat="false" ht="15" hidden="false" customHeight="false" outlineLevel="0" collapsed="false">
      <c r="B1089" s="12" t="str">
        <f aca="false">IF(A1089="","",IFERROR(INDEX(Recipes!$B:$B,MATCH(A1089,Recipes!$A:$A,0)),"⚠ unknown recipe_id"))</f>
        <v/>
      </c>
      <c r="E1089" s="12" t="str">
        <f aca="false">IF(C1089="","",IFERROR(INDEX('Ingredient Catalog'!$C:$C,MATCH(C1089,'Ingredient Catalog'!$A:$A,0)),"⚠ not in catalog"))</f>
        <v/>
      </c>
      <c r="G1089" s="12" t="str">
        <f aca="false">IF(A1089="","",COUNTIFS('Weekly Log'!$A:$A,'Grocery List'!$B$3,'Weekly Log'!$C:$C,A1089,'Weekly Log'!$E:$E,"Yes"))</f>
        <v/>
      </c>
      <c r="H1089" s="12" t="str">
        <f aca="false">IF(OR(A1089="",D1089=""),"",D1089*G1089)</f>
        <v/>
      </c>
    </row>
    <row r="1090" customFormat="false" ht="15" hidden="false" customHeight="false" outlineLevel="0" collapsed="false">
      <c r="B1090" s="12" t="str">
        <f aca="false">IF(A1090="","",IFERROR(INDEX(Recipes!$B:$B,MATCH(A1090,Recipes!$A:$A,0)),"⚠ unknown recipe_id"))</f>
        <v/>
      </c>
      <c r="E1090" s="12" t="str">
        <f aca="false">IF(C1090="","",IFERROR(INDEX('Ingredient Catalog'!$C:$C,MATCH(C1090,'Ingredient Catalog'!$A:$A,0)),"⚠ not in catalog"))</f>
        <v/>
      </c>
      <c r="G1090" s="12" t="str">
        <f aca="false">IF(A1090="","",COUNTIFS('Weekly Log'!$A:$A,'Grocery List'!$B$3,'Weekly Log'!$C:$C,A1090,'Weekly Log'!$E:$E,"Yes"))</f>
        <v/>
      </c>
      <c r="H1090" s="12" t="str">
        <f aca="false">IF(OR(A1090="",D1090=""),"",D1090*G1090)</f>
        <v/>
      </c>
    </row>
    <row r="1091" customFormat="false" ht="15" hidden="false" customHeight="false" outlineLevel="0" collapsed="false">
      <c r="B1091" s="12" t="str">
        <f aca="false">IF(A1091="","",IFERROR(INDEX(Recipes!$B:$B,MATCH(A1091,Recipes!$A:$A,0)),"⚠ unknown recipe_id"))</f>
        <v/>
      </c>
      <c r="E1091" s="12" t="str">
        <f aca="false">IF(C1091="","",IFERROR(INDEX('Ingredient Catalog'!$C:$C,MATCH(C1091,'Ingredient Catalog'!$A:$A,0)),"⚠ not in catalog"))</f>
        <v/>
      </c>
      <c r="G1091" s="12" t="str">
        <f aca="false">IF(A1091="","",COUNTIFS('Weekly Log'!$A:$A,'Grocery List'!$B$3,'Weekly Log'!$C:$C,A1091,'Weekly Log'!$E:$E,"Yes"))</f>
        <v/>
      </c>
      <c r="H1091" s="12" t="str">
        <f aca="false">IF(OR(A1091="",D1091=""),"",D1091*G1091)</f>
        <v/>
      </c>
    </row>
    <row r="1092" customFormat="false" ht="15" hidden="false" customHeight="false" outlineLevel="0" collapsed="false">
      <c r="B1092" s="12" t="str">
        <f aca="false">IF(A1092="","",IFERROR(INDEX(Recipes!$B:$B,MATCH(A1092,Recipes!$A:$A,0)),"⚠ unknown recipe_id"))</f>
        <v/>
      </c>
      <c r="E1092" s="12" t="str">
        <f aca="false">IF(C1092="","",IFERROR(INDEX('Ingredient Catalog'!$C:$C,MATCH(C1092,'Ingredient Catalog'!$A:$A,0)),"⚠ not in catalog"))</f>
        <v/>
      </c>
      <c r="G1092" s="12" t="str">
        <f aca="false">IF(A1092="","",COUNTIFS('Weekly Log'!$A:$A,'Grocery List'!$B$3,'Weekly Log'!$C:$C,A1092,'Weekly Log'!$E:$E,"Yes"))</f>
        <v/>
      </c>
      <c r="H1092" s="12" t="str">
        <f aca="false">IF(OR(A1092="",D1092=""),"",D1092*G1092)</f>
        <v/>
      </c>
    </row>
    <row r="1093" customFormat="false" ht="15" hidden="false" customHeight="false" outlineLevel="0" collapsed="false">
      <c r="B1093" s="12" t="str">
        <f aca="false">IF(A1093="","",IFERROR(INDEX(Recipes!$B:$B,MATCH(A1093,Recipes!$A:$A,0)),"⚠ unknown recipe_id"))</f>
        <v/>
      </c>
      <c r="E1093" s="12" t="str">
        <f aca="false">IF(C1093="","",IFERROR(INDEX('Ingredient Catalog'!$C:$C,MATCH(C1093,'Ingredient Catalog'!$A:$A,0)),"⚠ not in catalog"))</f>
        <v/>
      </c>
      <c r="G1093" s="12" t="str">
        <f aca="false">IF(A1093="","",COUNTIFS('Weekly Log'!$A:$A,'Grocery List'!$B$3,'Weekly Log'!$C:$C,A1093,'Weekly Log'!$E:$E,"Yes"))</f>
        <v/>
      </c>
      <c r="H1093" s="12" t="str">
        <f aca="false">IF(OR(A1093="",D1093=""),"",D1093*G1093)</f>
        <v/>
      </c>
    </row>
    <row r="1094" customFormat="false" ht="15" hidden="false" customHeight="false" outlineLevel="0" collapsed="false">
      <c r="B1094" s="12" t="str">
        <f aca="false">IF(A1094="","",IFERROR(INDEX(Recipes!$B:$B,MATCH(A1094,Recipes!$A:$A,0)),"⚠ unknown recipe_id"))</f>
        <v/>
      </c>
      <c r="E1094" s="12" t="str">
        <f aca="false">IF(C1094="","",IFERROR(INDEX('Ingredient Catalog'!$C:$C,MATCH(C1094,'Ingredient Catalog'!$A:$A,0)),"⚠ not in catalog"))</f>
        <v/>
      </c>
      <c r="G1094" s="12" t="str">
        <f aca="false">IF(A1094="","",COUNTIFS('Weekly Log'!$A:$A,'Grocery List'!$B$3,'Weekly Log'!$C:$C,A1094,'Weekly Log'!$E:$E,"Yes"))</f>
        <v/>
      </c>
      <c r="H1094" s="12" t="str">
        <f aca="false">IF(OR(A1094="",D1094=""),"",D1094*G1094)</f>
        <v/>
      </c>
    </row>
    <row r="1095" customFormat="false" ht="15" hidden="false" customHeight="false" outlineLevel="0" collapsed="false">
      <c r="B1095" s="12" t="str">
        <f aca="false">IF(A1095="","",IFERROR(INDEX(Recipes!$B:$B,MATCH(A1095,Recipes!$A:$A,0)),"⚠ unknown recipe_id"))</f>
        <v/>
      </c>
      <c r="E1095" s="12" t="str">
        <f aca="false">IF(C1095="","",IFERROR(INDEX('Ingredient Catalog'!$C:$C,MATCH(C1095,'Ingredient Catalog'!$A:$A,0)),"⚠ not in catalog"))</f>
        <v/>
      </c>
      <c r="G1095" s="12" t="str">
        <f aca="false">IF(A1095="","",COUNTIFS('Weekly Log'!$A:$A,'Grocery List'!$B$3,'Weekly Log'!$C:$C,A1095,'Weekly Log'!$E:$E,"Yes"))</f>
        <v/>
      </c>
      <c r="H1095" s="12" t="str">
        <f aca="false">IF(OR(A1095="",D1095=""),"",D1095*G1095)</f>
        <v/>
      </c>
    </row>
    <row r="1096" customFormat="false" ht="15" hidden="false" customHeight="false" outlineLevel="0" collapsed="false">
      <c r="B1096" s="12" t="str">
        <f aca="false">IF(A1096="","",IFERROR(INDEX(Recipes!$B:$B,MATCH(A1096,Recipes!$A:$A,0)),"⚠ unknown recipe_id"))</f>
        <v/>
      </c>
      <c r="E1096" s="12" t="str">
        <f aca="false">IF(C1096="","",IFERROR(INDEX('Ingredient Catalog'!$C:$C,MATCH(C1096,'Ingredient Catalog'!$A:$A,0)),"⚠ not in catalog"))</f>
        <v/>
      </c>
      <c r="G1096" s="12" t="str">
        <f aca="false">IF(A1096="","",COUNTIFS('Weekly Log'!$A:$A,'Grocery List'!$B$3,'Weekly Log'!$C:$C,A1096,'Weekly Log'!$E:$E,"Yes"))</f>
        <v/>
      </c>
      <c r="H1096" s="12" t="str">
        <f aca="false">IF(OR(A1096="",D1096=""),"",D1096*G1096)</f>
        <v/>
      </c>
    </row>
    <row r="1097" customFormat="false" ht="15" hidden="false" customHeight="false" outlineLevel="0" collapsed="false">
      <c r="B1097" s="12" t="str">
        <f aca="false">IF(A1097="","",IFERROR(INDEX(Recipes!$B:$B,MATCH(A1097,Recipes!$A:$A,0)),"⚠ unknown recipe_id"))</f>
        <v/>
      </c>
      <c r="E1097" s="12" t="str">
        <f aca="false">IF(C1097="","",IFERROR(INDEX('Ingredient Catalog'!$C:$C,MATCH(C1097,'Ingredient Catalog'!$A:$A,0)),"⚠ not in catalog"))</f>
        <v/>
      </c>
      <c r="G1097" s="12" t="str">
        <f aca="false">IF(A1097="","",COUNTIFS('Weekly Log'!$A:$A,'Grocery List'!$B$3,'Weekly Log'!$C:$C,A1097,'Weekly Log'!$E:$E,"Yes"))</f>
        <v/>
      </c>
      <c r="H1097" s="12" t="str">
        <f aca="false">IF(OR(A1097="",D1097=""),"",D1097*G1097)</f>
        <v/>
      </c>
    </row>
    <row r="1098" customFormat="false" ht="15" hidden="false" customHeight="false" outlineLevel="0" collapsed="false">
      <c r="B1098" s="12" t="str">
        <f aca="false">IF(A1098="","",IFERROR(INDEX(Recipes!$B:$B,MATCH(A1098,Recipes!$A:$A,0)),"⚠ unknown recipe_id"))</f>
        <v/>
      </c>
      <c r="E1098" s="12" t="str">
        <f aca="false">IF(C1098="","",IFERROR(INDEX('Ingredient Catalog'!$C:$C,MATCH(C1098,'Ingredient Catalog'!$A:$A,0)),"⚠ not in catalog"))</f>
        <v/>
      </c>
      <c r="G1098" s="12" t="str">
        <f aca="false">IF(A1098="","",COUNTIFS('Weekly Log'!$A:$A,'Grocery List'!$B$3,'Weekly Log'!$C:$C,A1098,'Weekly Log'!$E:$E,"Yes"))</f>
        <v/>
      </c>
      <c r="H1098" s="12" t="str">
        <f aca="false">IF(OR(A1098="",D1098=""),"",D1098*G1098)</f>
        <v/>
      </c>
    </row>
    <row r="1099" customFormat="false" ht="15" hidden="false" customHeight="false" outlineLevel="0" collapsed="false">
      <c r="B1099" s="12" t="str">
        <f aca="false">IF(A1099="","",IFERROR(INDEX(Recipes!$B:$B,MATCH(A1099,Recipes!$A:$A,0)),"⚠ unknown recipe_id"))</f>
        <v/>
      </c>
      <c r="E1099" s="12" t="str">
        <f aca="false">IF(C1099="","",IFERROR(INDEX('Ingredient Catalog'!$C:$C,MATCH(C1099,'Ingredient Catalog'!$A:$A,0)),"⚠ not in catalog"))</f>
        <v/>
      </c>
      <c r="G1099" s="12" t="str">
        <f aca="false">IF(A1099="","",COUNTIFS('Weekly Log'!$A:$A,'Grocery List'!$B$3,'Weekly Log'!$C:$C,A1099,'Weekly Log'!$E:$E,"Yes"))</f>
        <v/>
      </c>
      <c r="H1099" s="12" t="str">
        <f aca="false">IF(OR(A1099="",D1099=""),"",D1099*G1099)</f>
        <v/>
      </c>
    </row>
    <row r="1100" customFormat="false" ht="15" hidden="false" customHeight="false" outlineLevel="0" collapsed="false">
      <c r="B1100" s="12" t="str">
        <f aca="false">IF(A1100="","",IFERROR(INDEX(Recipes!$B:$B,MATCH(A1100,Recipes!$A:$A,0)),"⚠ unknown recipe_id"))</f>
        <v/>
      </c>
      <c r="E1100" s="12" t="str">
        <f aca="false">IF(C1100="","",IFERROR(INDEX('Ingredient Catalog'!$C:$C,MATCH(C1100,'Ingredient Catalog'!$A:$A,0)),"⚠ not in catalog"))</f>
        <v/>
      </c>
      <c r="G1100" s="12" t="str">
        <f aca="false">IF(A1100="","",COUNTIFS('Weekly Log'!$A:$A,'Grocery List'!$B$3,'Weekly Log'!$C:$C,A1100,'Weekly Log'!$E:$E,"Yes"))</f>
        <v/>
      </c>
      <c r="H1100" s="12" t="str">
        <f aca="false">IF(OR(A1100="",D1100=""),"",D1100*G1100)</f>
        <v/>
      </c>
    </row>
    <row r="1101" customFormat="false" ht="15" hidden="false" customHeight="false" outlineLevel="0" collapsed="false">
      <c r="B1101" s="12" t="str">
        <f aca="false">IF(A1101="","",IFERROR(INDEX(Recipes!$B:$B,MATCH(A1101,Recipes!$A:$A,0)),"⚠ unknown recipe_id"))</f>
        <v/>
      </c>
      <c r="E1101" s="12" t="str">
        <f aca="false">IF(C1101="","",IFERROR(INDEX('Ingredient Catalog'!$C:$C,MATCH(C1101,'Ingredient Catalog'!$A:$A,0)),"⚠ not in catalog"))</f>
        <v/>
      </c>
      <c r="G1101" s="12" t="str">
        <f aca="false">IF(A1101="","",COUNTIFS('Weekly Log'!$A:$A,'Grocery List'!$B$3,'Weekly Log'!$C:$C,A1101,'Weekly Log'!$E:$E,"Yes"))</f>
        <v/>
      </c>
      <c r="H1101" s="12" t="str">
        <f aca="false">IF(OR(A1101="",D1101=""),"",D1101*G1101)</f>
        <v/>
      </c>
    </row>
    <row r="1102" customFormat="false" ht="15" hidden="false" customHeight="false" outlineLevel="0" collapsed="false">
      <c r="B1102" s="12" t="str">
        <f aca="false">IF(A1102="","",IFERROR(INDEX(Recipes!$B:$B,MATCH(A1102,Recipes!$A:$A,0)),"⚠ unknown recipe_id"))</f>
        <v/>
      </c>
      <c r="E1102" s="12" t="str">
        <f aca="false">IF(C1102="","",IFERROR(INDEX('Ingredient Catalog'!$C:$C,MATCH(C1102,'Ingredient Catalog'!$A:$A,0)),"⚠ not in catalog"))</f>
        <v/>
      </c>
      <c r="G1102" s="12" t="str">
        <f aca="false">IF(A1102="","",COUNTIFS('Weekly Log'!$A:$A,'Grocery List'!$B$3,'Weekly Log'!$C:$C,A1102,'Weekly Log'!$E:$E,"Yes"))</f>
        <v/>
      </c>
      <c r="H1102" s="12" t="str">
        <f aca="false">IF(OR(A1102="",D1102=""),"",D1102*G1102)</f>
        <v/>
      </c>
    </row>
    <row r="1103" customFormat="false" ht="15" hidden="false" customHeight="false" outlineLevel="0" collapsed="false">
      <c r="B1103" s="12" t="str">
        <f aca="false">IF(A1103="","",IFERROR(INDEX(Recipes!$B:$B,MATCH(A1103,Recipes!$A:$A,0)),"⚠ unknown recipe_id"))</f>
        <v/>
      </c>
      <c r="E1103" s="12" t="str">
        <f aca="false">IF(C1103="","",IFERROR(INDEX('Ingredient Catalog'!$C:$C,MATCH(C1103,'Ingredient Catalog'!$A:$A,0)),"⚠ not in catalog"))</f>
        <v/>
      </c>
      <c r="G1103" s="12" t="str">
        <f aca="false">IF(A1103="","",COUNTIFS('Weekly Log'!$A:$A,'Grocery List'!$B$3,'Weekly Log'!$C:$C,A1103,'Weekly Log'!$E:$E,"Yes"))</f>
        <v/>
      </c>
      <c r="H1103" s="12" t="str">
        <f aca="false">IF(OR(A1103="",D1103=""),"",D1103*G1103)</f>
        <v/>
      </c>
    </row>
    <row r="1104" customFormat="false" ht="15" hidden="false" customHeight="false" outlineLevel="0" collapsed="false">
      <c r="B1104" s="12" t="str">
        <f aca="false">IF(A1104="","",IFERROR(INDEX(Recipes!$B:$B,MATCH(A1104,Recipes!$A:$A,0)),"⚠ unknown recipe_id"))</f>
        <v/>
      </c>
      <c r="E1104" s="12" t="str">
        <f aca="false">IF(C1104="","",IFERROR(INDEX('Ingredient Catalog'!$C:$C,MATCH(C1104,'Ingredient Catalog'!$A:$A,0)),"⚠ not in catalog"))</f>
        <v/>
      </c>
      <c r="G1104" s="12" t="str">
        <f aca="false">IF(A1104="","",COUNTIFS('Weekly Log'!$A:$A,'Grocery List'!$B$3,'Weekly Log'!$C:$C,A1104,'Weekly Log'!$E:$E,"Yes"))</f>
        <v/>
      </c>
      <c r="H1104" s="12" t="str">
        <f aca="false">IF(OR(A1104="",D1104=""),"",D1104*G1104)</f>
        <v/>
      </c>
    </row>
    <row r="1105" customFormat="false" ht="15" hidden="false" customHeight="false" outlineLevel="0" collapsed="false">
      <c r="B1105" s="12" t="str">
        <f aca="false">IF(A1105="","",IFERROR(INDEX(Recipes!$B:$B,MATCH(A1105,Recipes!$A:$A,0)),"⚠ unknown recipe_id"))</f>
        <v/>
      </c>
      <c r="E1105" s="12" t="str">
        <f aca="false">IF(C1105="","",IFERROR(INDEX('Ingredient Catalog'!$C:$C,MATCH(C1105,'Ingredient Catalog'!$A:$A,0)),"⚠ not in catalog"))</f>
        <v/>
      </c>
      <c r="G1105" s="12" t="str">
        <f aca="false">IF(A1105="","",COUNTIFS('Weekly Log'!$A:$A,'Grocery List'!$B$3,'Weekly Log'!$C:$C,A1105,'Weekly Log'!$E:$E,"Yes"))</f>
        <v/>
      </c>
      <c r="H1105" s="12" t="str">
        <f aca="false">IF(OR(A1105="",D1105=""),"",D1105*G1105)</f>
        <v/>
      </c>
    </row>
    <row r="1106" customFormat="false" ht="15" hidden="false" customHeight="false" outlineLevel="0" collapsed="false">
      <c r="B1106" s="12" t="str">
        <f aca="false">IF(A1106="","",IFERROR(INDEX(Recipes!$B:$B,MATCH(A1106,Recipes!$A:$A,0)),"⚠ unknown recipe_id"))</f>
        <v/>
      </c>
      <c r="E1106" s="12" t="str">
        <f aca="false">IF(C1106="","",IFERROR(INDEX('Ingredient Catalog'!$C:$C,MATCH(C1106,'Ingredient Catalog'!$A:$A,0)),"⚠ not in catalog"))</f>
        <v/>
      </c>
      <c r="G1106" s="12" t="str">
        <f aca="false">IF(A1106="","",COUNTIFS('Weekly Log'!$A:$A,'Grocery List'!$B$3,'Weekly Log'!$C:$C,A1106,'Weekly Log'!$E:$E,"Yes"))</f>
        <v/>
      </c>
      <c r="H1106" s="12" t="str">
        <f aca="false">IF(OR(A1106="",D1106=""),"",D1106*G1106)</f>
        <v/>
      </c>
    </row>
    <row r="1107" customFormat="false" ht="15" hidden="false" customHeight="false" outlineLevel="0" collapsed="false">
      <c r="B1107" s="12" t="str">
        <f aca="false">IF(A1107="","",IFERROR(INDEX(Recipes!$B:$B,MATCH(A1107,Recipes!$A:$A,0)),"⚠ unknown recipe_id"))</f>
        <v/>
      </c>
      <c r="E1107" s="12" t="str">
        <f aca="false">IF(C1107="","",IFERROR(INDEX('Ingredient Catalog'!$C:$C,MATCH(C1107,'Ingredient Catalog'!$A:$A,0)),"⚠ not in catalog"))</f>
        <v/>
      </c>
      <c r="G1107" s="12" t="str">
        <f aca="false">IF(A1107="","",COUNTIFS('Weekly Log'!$A:$A,'Grocery List'!$B$3,'Weekly Log'!$C:$C,A1107,'Weekly Log'!$E:$E,"Yes"))</f>
        <v/>
      </c>
      <c r="H1107" s="12" t="str">
        <f aca="false">IF(OR(A1107="",D1107=""),"",D1107*G1107)</f>
        <v/>
      </c>
    </row>
    <row r="1108" customFormat="false" ht="15" hidden="false" customHeight="false" outlineLevel="0" collapsed="false">
      <c r="B1108" s="12" t="str">
        <f aca="false">IF(A1108="","",IFERROR(INDEX(Recipes!$B:$B,MATCH(A1108,Recipes!$A:$A,0)),"⚠ unknown recipe_id"))</f>
        <v/>
      </c>
      <c r="E1108" s="12" t="str">
        <f aca="false">IF(C1108="","",IFERROR(INDEX('Ingredient Catalog'!$C:$C,MATCH(C1108,'Ingredient Catalog'!$A:$A,0)),"⚠ not in catalog"))</f>
        <v/>
      </c>
      <c r="G1108" s="12" t="str">
        <f aca="false">IF(A1108="","",COUNTIFS('Weekly Log'!$A:$A,'Grocery List'!$B$3,'Weekly Log'!$C:$C,A1108,'Weekly Log'!$E:$E,"Yes"))</f>
        <v/>
      </c>
      <c r="H1108" s="12" t="str">
        <f aca="false">IF(OR(A1108="",D1108=""),"",D1108*G1108)</f>
        <v/>
      </c>
    </row>
    <row r="1109" customFormat="false" ht="15" hidden="false" customHeight="false" outlineLevel="0" collapsed="false">
      <c r="B1109" s="12" t="str">
        <f aca="false">IF(A1109="","",IFERROR(INDEX(Recipes!$B:$B,MATCH(A1109,Recipes!$A:$A,0)),"⚠ unknown recipe_id"))</f>
        <v/>
      </c>
      <c r="E1109" s="12" t="str">
        <f aca="false">IF(C1109="","",IFERROR(INDEX('Ingredient Catalog'!$C:$C,MATCH(C1109,'Ingredient Catalog'!$A:$A,0)),"⚠ not in catalog"))</f>
        <v/>
      </c>
      <c r="G1109" s="12" t="str">
        <f aca="false">IF(A1109="","",COUNTIFS('Weekly Log'!$A:$A,'Grocery List'!$B$3,'Weekly Log'!$C:$C,A1109,'Weekly Log'!$E:$E,"Yes"))</f>
        <v/>
      </c>
      <c r="H1109" s="12" t="str">
        <f aca="false">IF(OR(A1109="",D1109=""),"",D1109*G1109)</f>
        <v/>
      </c>
    </row>
    <row r="1110" customFormat="false" ht="15" hidden="false" customHeight="false" outlineLevel="0" collapsed="false">
      <c r="B1110" s="12" t="str">
        <f aca="false">IF(A1110="","",IFERROR(INDEX(Recipes!$B:$B,MATCH(A1110,Recipes!$A:$A,0)),"⚠ unknown recipe_id"))</f>
        <v/>
      </c>
      <c r="E1110" s="12" t="str">
        <f aca="false">IF(C1110="","",IFERROR(INDEX('Ingredient Catalog'!$C:$C,MATCH(C1110,'Ingredient Catalog'!$A:$A,0)),"⚠ not in catalog"))</f>
        <v/>
      </c>
      <c r="G1110" s="12" t="str">
        <f aca="false">IF(A1110="","",COUNTIFS('Weekly Log'!$A:$A,'Grocery List'!$B$3,'Weekly Log'!$C:$C,A1110,'Weekly Log'!$E:$E,"Yes"))</f>
        <v/>
      </c>
      <c r="H1110" s="12" t="str">
        <f aca="false">IF(OR(A1110="",D1110=""),"",D1110*G1110)</f>
        <v/>
      </c>
    </row>
    <row r="1111" customFormat="false" ht="15" hidden="false" customHeight="false" outlineLevel="0" collapsed="false">
      <c r="B1111" s="12" t="str">
        <f aca="false">IF(A1111="","",IFERROR(INDEX(Recipes!$B:$B,MATCH(A1111,Recipes!$A:$A,0)),"⚠ unknown recipe_id"))</f>
        <v/>
      </c>
      <c r="E1111" s="12" t="str">
        <f aca="false">IF(C1111="","",IFERROR(INDEX('Ingredient Catalog'!$C:$C,MATCH(C1111,'Ingredient Catalog'!$A:$A,0)),"⚠ not in catalog"))</f>
        <v/>
      </c>
      <c r="G1111" s="12" t="str">
        <f aca="false">IF(A1111="","",COUNTIFS('Weekly Log'!$A:$A,'Grocery List'!$B$3,'Weekly Log'!$C:$C,A1111,'Weekly Log'!$E:$E,"Yes"))</f>
        <v/>
      </c>
      <c r="H1111" s="12" t="str">
        <f aca="false">IF(OR(A1111="",D1111=""),"",D1111*G1111)</f>
        <v/>
      </c>
    </row>
    <row r="1112" customFormat="false" ht="15" hidden="false" customHeight="false" outlineLevel="0" collapsed="false">
      <c r="B1112" s="12" t="str">
        <f aca="false">IF(A1112="","",IFERROR(INDEX(Recipes!$B:$B,MATCH(A1112,Recipes!$A:$A,0)),"⚠ unknown recipe_id"))</f>
        <v/>
      </c>
      <c r="E1112" s="12" t="str">
        <f aca="false">IF(C1112="","",IFERROR(INDEX('Ingredient Catalog'!$C:$C,MATCH(C1112,'Ingredient Catalog'!$A:$A,0)),"⚠ not in catalog"))</f>
        <v/>
      </c>
      <c r="G1112" s="12" t="str">
        <f aca="false">IF(A1112="","",COUNTIFS('Weekly Log'!$A:$A,'Grocery List'!$B$3,'Weekly Log'!$C:$C,A1112,'Weekly Log'!$E:$E,"Yes"))</f>
        <v/>
      </c>
      <c r="H1112" s="12" t="str">
        <f aca="false">IF(OR(A1112="",D1112=""),"",D1112*G1112)</f>
        <v/>
      </c>
    </row>
    <row r="1113" customFormat="false" ht="15" hidden="false" customHeight="false" outlineLevel="0" collapsed="false">
      <c r="B1113" s="12" t="str">
        <f aca="false">IF(A1113="","",IFERROR(INDEX(Recipes!$B:$B,MATCH(A1113,Recipes!$A:$A,0)),"⚠ unknown recipe_id"))</f>
        <v/>
      </c>
      <c r="E1113" s="12" t="str">
        <f aca="false">IF(C1113="","",IFERROR(INDEX('Ingredient Catalog'!$C:$C,MATCH(C1113,'Ingredient Catalog'!$A:$A,0)),"⚠ not in catalog"))</f>
        <v/>
      </c>
      <c r="G1113" s="12" t="str">
        <f aca="false">IF(A1113="","",COUNTIFS('Weekly Log'!$A:$A,'Grocery List'!$B$3,'Weekly Log'!$C:$C,A1113,'Weekly Log'!$E:$E,"Yes"))</f>
        <v/>
      </c>
      <c r="H1113" s="12" t="str">
        <f aca="false">IF(OR(A1113="",D1113=""),"",D1113*G1113)</f>
        <v/>
      </c>
    </row>
    <row r="1114" customFormat="false" ht="15" hidden="false" customHeight="false" outlineLevel="0" collapsed="false">
      <c r="B1114" s="12" t="str">
        <f aca="false">IF(A1114="","",IFERROR(INDEX(Recipes!$B:$B,MATCH(A1114,Recipes!$A:$A,0)),"⚠ unknown recipe_id"))</f>
        <v/>
      </c>
      <c r="E1114" s="12" t="str">
        <f aca="false">IF(C1114="","",IFERROR(INDEX('Ingredient Catalog'!$C:$C,MATCH(C1114,'Ingredient Catalog'!$A:$A,0)),"⚠ not in catalog"))</f>
        <v/>
      </c>
      <c r="G1114" s="12" t="str">
        <f aca="false">IF(A1114="","",COUNTIFS('Weekly Log'!$A:$A,'Grocery List'!$B$3,'Weekly Log'!$C:$C,A1114,'Weekly Log'!$E:$E,"Yes"))</f>
        <v/>
      </c>
      <c r="H1114" s="12" t="str">
        <f aca="false">IF(OR(A1114="",D1114=""),"",D1114*G1114)</f>
        <v/>
      </c>
    </row>
    <row r="1115" customFormat="false" ht="15" hidden="false" customHeight="false" outlineLevel="0" collapsed="false">
      <c r="B1115" s="12" t="str">
        <f aca="false">IF(A1115="","",IFERROR(INDEX(Recipes!$B:$B,MATCH(A1115,Recipes!$A:$A,0)),"⚠ unknown recipe_id"))</f>
        <v/>
      </c>
      <c r="E1115" s="12" t="str">
        <f aca="false">IF(C1115="","",IFERROR(INDEX('Ingredient Catalog'!$C:$C,MATCH(C1115,'Ingredient Catalog'!$A:$A,0)),"⚠ not in catalog"))</f>
        <v/>
      </c>
      <c r="G1115" s="12" t="str">
        <f aca="false">IF(A1115="","",COUNTIFS('Weekly Log'!$A:$A,'Grocery List'!$B$3,'Weekly Log'!$C:$C,A1115,'Weekly Log'!$E:$E,"Yes"))</f>
        <v/>
      </c>
      <c r="H1115" s="12" t="str">
        <f aca="false">IF(OR(A1115="",D1115=""),"",D1115*G1115)</f>
        <v/>
      </c>
    </row>
    <row r="1116" customFormat="false" ht="15" hidden="false" customHeight="false" outlineLevel="0" collapsed="false">
      <c r="B1116" s="12" t="str">
        <f aca="false">IF(A1116="","",IFERROR(INDEX(Recipes!$B:$B,MATCH(A1116,Recipes!$A:$A,0)),"⚠ unknown recipe_id"))</f>
        <v/>
      </c>
      <c r="E1116" s="12" t="str">
        <f aca="false">IF(C1116="","",IFERROR(INDEX('Ingredient Catalog'!$C:$C,MATCH(C1116,'Ingredient Catalog'!$A:$A,0)),"⚠ not in catalog"))</f>
        <v/>
      </c>
      <c r="G1116" s="12" t="str">
        <f aca="false">IF(A1116="","",COUNTIFS('Weekly Log'!$A:$A,'Grocery List'!$B$3,'Weekly Log'!$C:$C,A1116,'Weekly Log'!$E:$E,"Yes"))</f>
        <v/>
      </c>
      <c r="H1116" s="12" t="str">
        <f aca="false">IF(OR(A1116="",D1116=""),"",D1116*G1116)</f>
        <v/>
      </c>
    </row>
    <row r="1117" customFormat="false" ht="15" hidden="false" customHeight="false" outlineLevel="0" collapsed="false">
      <c r="B1117" s="12" t="str">
        <f aca="false">IF(A1117="","",IFERROR(INDEX(Recipes!$B:$B,MATCH(A1117,Recipes!$A:$A,0)),"⚠ unknown recipe_id"))</f>
        <v/>
      </c>
      <c r="E1117" s="12" t="str">
        <f aca="false">IF(C1117="","",IFERROR(INDEX('Ingredient Catalog'!$C:$C,MATCH(C1117,'Ingredient Catalog'!$A:$A,0)),"⚠ not in catalog"))</f>
        <v/>
      </c>
      <c r="G1117" s="12" t="str">
        <f aca="false">IF(A1117="","",COUNTIFS('Weekly Log'!$A:$A,'Grocery List'!$B$3,'Weekly Log'!$C:$C,A1117,'Weekly Log'!$E:$E,"Yes"))</f>
        <v/>
      </c>
      <c r="H1117" s="12" t="str">
        <f aca="false">IF(OR(A1117="",D1117=""),"",D1117*G1117)</f>
        <v/>
      </c>
    </row>
    <row r="1118" customFormat="false" ht="15" hidden="false" customHeight="false" outlineLevel="0" collapsed="false">
      <c r="B1118" s="12" t="str">
        <f aca="false">IF(A1118="","",IFERROR(INDEX(Recipes!$B:$B,MATCH(A1118,Recipes!$A:$A,0)),"⚠ unknown recipe_id"))</f>
        <v/>
      </c>
      <c r="E1118" s="12" t="str">
        <f aca="false">IF(C1118="","",IFERROR(INDEX('Ingredient Catalog'!$C:$C,MATCH(C1118,'Ingredient Catalog'!$A:$A,0)),"⚠ not in catalog"))</f>
        <v/>
      </c>
      <c r="G1118" s="12" t="str">
        <f aca="false">IF(A1118="","",COUNTIFS('Weekly Log'!$A:$A,'Grocery List'!$B$3,'Weekly Log'!$C:$C,A1118,'Weekly Log'!$E:$E,"Yes"))</f>
        <v/>
      </c>
      <c r="H1118" s="12" t="str">
        <f aca="false">IF(OR(A1118="",D1118=""),"",D1118*G1118)</f>
        <v/>
      </c>
    </row>
    <row r="1119" customFormat="false" ht="15" hidden="false" customHeight="false" outlineLevel="0" collapsed="false">
      <c r="B1119" s="12" t="str">
        <f aca="false">IF(A1119="","",IFERROR(INDEX(Recipes!$B:$B,MATCH(A1119,Recipes!$A:$A,0)),"⚠ unknown recipe_id"))</f>
        <v/>
      </c>
      <c r="E1119" s="12" t="str">
        <f aca="false">IF(C1119="","",IFERROR(INDEX('Ingredient Catalog'!$C:$C,MATCH(C1119,'Ingredient Catalog'!$A:$A,0)),"⚠ not in catalog"))</f>
        <v/>
      </c>
      <c r="G1119" s="12" t="str">
        <f aca="false">IF(A1119="","",COUNTIFS('Weekly Log'!$A:$A,'Grocery List'!$B$3,'Weekly Log'!$C:$C,A1119,'Weekly Log'!$E:$E,"Yes"))</f>
        <v/>
      </c>
      <c r="H1119" s="12" t="str">
        <f aca="false">IF(OR(A1119="",D1119=""),"",D1119*G1119)</f>
        <v/>
      </c>
    </row>
    <row r="1120" customFormat="false" ht="15" hidden="false" customHeight="false" outlineLevel="0" collapsed="false">
      <c r="B1120" s="12" t="str">
        <f aca="false">IF(A1120="","",IFERROR(INDEX(Recipes!$B:$B,MATCH(A1120,Recipes!$A:$A,0)),"⚠ unknown recipe_id"))</f>
        <v/>
      </c>
      <c r="E1120" s="12" t="str">
        <f aca="false">IF(C1120="","",IFERROR(INDEX('Ingredient Catalog'!$C:$C,MATCH(C1120,'Ingredient Catalog'!$A:$A,0)),"⚠ not in catalog"))</f>
        <v/>
      </c>
      <c r="G1120" s="12" t="str">
        <f aca="false">IF(A1120="","",COUNTIFS('Weekly Log'!$A:$A,'Grocery List'!$B$3,'Weekly Log'!$C:$C,A1120,'Weekly Log'!$E:$E,"Yes"))</f>
        <v/>
      </c>
      <c r="H1120" s="12" t="str">
        <f aca="false">IF(OR(A1120="",D1120=""),"",D1120*G1120)</f>
        <v/>
      </c>
    </row>
    <row r="1121" customFormat="false" ht="15" hidden="false" customHeight="false" outlineLevel="0" collapsed="false">
      <c r="B1121" s="12" t="str">
        <f aca="false">IF(A1121="","",IFERROR(INDEX(Recipes!$B:$B,MATCH(A1121,Recipes!$A:$A,0)),"⚠ unknown recipe_id"))</f>
        <v/>
      </c>
      <c r="E1121" s="12" t="str">
        <f aca="false">IF(C1121="","",IFERROR(INDEX('Ingredient Catalog'!$C:$C,MATCH(C1121,'Ingredient Catalog'!$A:$A,0)),"⚠ not in catalog"))</f>
        <v/>
      </c>
      <c r="G1121" s="12" t="str">
        <f aca="false">IF(A1121="","",COUNTIFS('Weekly Log'!$A:$A,'Grocery List'!$B$3,'Weekly Log'!$C:$C,A1121,'Weekly Log'!$E:$E,"Yes"))</f>
        <v/>
      </c>
      <c r="H1121" s="12" t="str">
        <f aca="false">IF(OR(A1121="",D1121=""),"",D1121*G1121)</f>
        <v/>
      </c>
    </row>
    <row r="1122" customFormat="false" ht="15" hidden="false" customHeight="false" outlineLevel="0" collapsed="false">
      <c r="B1122" s="12" t="str">
        <f aca="false">IF(A1122="","",IFERROR(INDEX(Recipes!$B:$B,MATCH(A1122,Recipes!$A:$A,0)),"⚠ unknown recipe_id"))</f>
        <v/>
      </c>
      <c r="E1122" s="12" t="str">
        <f aca="false">IF(C1122="","",IFERROR(INDEX('Ingredient Catalog'!$C:$C,MATCH(C1122,'Ingredient Catalog'!$A:$A,0)),"⚠ not in catalog"))</f>
        <v/>
      </c>
      <c r="G1122" s="12" t="str">
        <f aca="false">IF(A1122="","",COUNTIFS('Weekly Log'!$A:$A,'Grocery List'!$B$3,'Weekly Log'!$C:$C,A1122,'Weekly Log'!$E:$E,"Yes"))</f>
        <v/>
      </c>
      <c r="H1122" s="12" t="str">
        <f aca="false">IF(OR(A1122="",D1122=""),"",D1122*G1122)</f>
        <v/>
      </c>
    </row>
    <row r="1123" customFormat="false" ht="15" hidden="false" customHeight="false" outlineLevel="0" collapsed="false">
      <c r="B1123" s="12" t="str">
        <f aca="false">IF(A1123="","",IFERROR(INDEX(Recipes!$B:$B,MATCH(A1123,Recipes!$A:$A,0)),"⚠ unknown recipe_id"))</f>
        <v/>
      </c>
      <c r="E1123" s="12" t="str">
        <f aca="false">IF(C1123="","",IFERROR(INDEX('Ingredient Catalog'!$C:$C,MATCH(C1123,'Ingredient Catalog'!$A:$A,0)),"⚠ not in catalog"))</f>
        <v/>
      </c>
      <c r="G1123" s="12" t="str">
        <f aca="false">IF(A1123="","",COUNTIFS('Weekly Log'!$A:$A,'Grocery List'!$B$3,'Weekly Log'!$C:$C,A1123,'Weekly Log'!$E:$E,"Yes"))</f>
        <v/>
      </c>
      <c r="H1123" s="12" t="str">
        <f aca="false">IF(OR(A1123="",D1123=""),"",D1123*G1123)</f>
        <v/>
      </c>
    </row>
    <row r="1124" customFormat="false" ht="15" hidden="false" customHeight="false" outlineLevel="0" collapsed="false">
      <c r="B1124" s="12" t="str">
        <f aca="false">IF(A1124="","",IFERROR(INDEX(Recipes!$B:$B,MATCH(A1124,Recipes!$A:$A,0)),"⚠ unknown recipe_id"))</f>
        <v/>
      </c>
      <c r="E1124" s="12" t="str">
        <f aca="false">IF(C1124="","",IFERROR(INDEX('Ingredient Catalog'!$C:$C,MATCH(C1124,'Ingredient Catalog'!$A:$A,0)),"⚠ not in catalog"))</f>
        <v/>
      </c>
      <c r="G1124" s="12" t="str">
        <f aca="false">IF(A1124="","",COUNTIFS('Weekly Log'!$A:$A,'Grocery List'!$B$3,'Weekly Log'!$C:$C,A1124,'Weekly Log'!$E:$E,"Yes"))</f>
        <v/>
      </c>
      <c r="H1124" s="12" t="str">
        <f aca="false">IF(OR(A1124="",D1124=""),"",D1124*G1124)</f>
        <v/>
      </c>
    </row>
    <row r="1125" customFormat="false" ht="15" hidden="false" customHeight="false" outlineLevel="0" collapsed="false">
      <c r="B1125" s="12" t="str">
        <f aca="false">IF(A1125="","",IFERROR(INDEX(Recipes!$B:$B,MATCH(A1125,Recipes!$A:$A,0)),"⚠ unknown recipe_id"))</f>
        <v/>
      </c>
      <c r="E1125" s="12" t="str">
        <f aca="false">IF(C1125="","",IFERROR(INDEX('Ingredient Catalog'!$C:$C,MATCH(C1125,'Ingredient Catalog'!$A:$A,0)),"⚠ not in catalog"))</f>
        <v/>
      </c>
      <c r="G1125" s="12" t="str">
        <f aca="false">IF(A1125="","",COUNTIFS('Weekly Log'!$A:$A,'Grocery List'!$B$3,'Weekly Log'!$C:$C,A1125,'Weekly Log'!$E:$E,"Yes"))</f>
        <v/>
      </c>
      <c r="H1125" s="12" t="str">
        <f aca="false">IF(OR(A1125="",D1125=""),"",D1125*G1125)</f>
        <v/>
      </c>
    </row>
    <row r="1126" customFormat="false" ht="15" hidden="false" customHeight="false" outlineLevel="0" collapsed="false">
      <c r="B1126" s="12" t="str">
        <f aca="false">IF(A1126="","",IFERROR(INDEX(Recipes!$B:$B,MATCH(A1126,Recipes!$A:$A,0)),"⚠ unknown recipe_id"))</f>
        <v/>
      </c>
      <c r="E1126" s="12" t="str">
        <f aca="false">IF(C1126="","",IFERROR(INDEX('Ingredient Catalog'!$C:$C,MATCH(C1126,'Ingredient Catalog'!$A:$A,0)),"⚠ not in catalog"))</f>
        <v/>
      </c>
      <c r="G1126" s="12" t="str">
        <f aca="false">IF(A1126="","",COUNTIFS('Weekly Log'!$A:$A,'Grocery List'!$B$3,'Weekly Log'!$C:$C,A1126,'Weekly Log'!$E:$E,"Yes"))</f>
        <v/>
      </c>
      <c r="H1126" s="12" t="str">
        <f aca="false">IF(OR(A1126="",D1126=""),"",D1126*G1126)</f>
        <v/>
      </c>
    </row>
    <row r="1127" customFormat="false" ht="15" hidden="false" customHeight="false" outlineLevel="0" collapsed="false">
      <c r="B1127" s="12" t="str">
        <f aca="false">IF(A1127="","",IFERROR(INDEX(Recipes!$B:$B,MATCH(A1127,Recipes!$A:$A,0)),"⚠ unknown recipe_id"))</f>
        <v/>
      </c>
      <c r="E1127" s="12" t="str">
        <f aca="false">IF(C1127="","",IFERROR(INDEX('Ingredient Catalog'!$C:$C,MATCH(C1127,'Ingredient Catalog'!$A:$A,0)),"⚠ not in catalog"))</f>
        <v/>
      </c>
      <c r="G1127" s="12" t="str">
        <f aca="false">IF(A1127="","",COUNTIFS('Weekly Log'!$A:$A,'Grocery List'!$B$3,'Weekly Log'!$C:$C,A1127,'Weekly Log'!$E:$E,"Yes"))</f>
        <v/>
      </c>
      <c r="H1127" s="12" t="str">
        <f aca="false">IF(OR(A1127="",D1127=""),"",D1127*G1127)</f>
        <v/>
      </c>
    </row>
    <row r="1128" customFormat="false" ht="15" hidden="false" customHeight="false" outlineLevel="0" collapsed="false">
      <c r="B1128" s="12" t="str">
        <f aca="false">IF(A1128="","",IFERROR(INDEX(Recipes!$B:$B,MATCH(A1128,Recipes!$A:$A,0)),"⚠ unknown recipe_id"))</f>
        <v/>
      </c>
      <c r="E1128" s="12" t="str">
        <f aca="false">IF(C1128="","",IFERROR(INDEX('Ingredient Catalog'!$C:$C,MATCH(C1128,'Ingredient Catalog'!$A:$A,0)),"⚠ not in catalog"))</f>
        <v/>
      </c>
      <c r="G1128" s="12" t="str">
        <f aca="false">IF(A1128="","",COUNTIFS('Weekly Log'!$A:$A,'Grocery List'!$B$3,'Weekly Log'!$C:$C,A1128,'Weekly Log'!$E:$E,"Yes"))</f>
        <v/>
      </c>
      <c r="H1128" s="12" t="str">
        <f aca="false">IF(OR(A1128="",D1128=""),"",D1128*G1128)</f>
        <v/>
      </c>
    </row>
    <row r="1129" customFormat="false" ht="15" hidden="false" customHeight="false" outlineLevel="0" collapsed="false">
      <c r="B1129" s="12" t="str">
        <f aca="false">IF(A1129="","",IFERROR(INDEX(Recipes!$B:$B,MATCH(A1129,Recipes!$A:$A,0)),"⚠ unknown recipe_id"))</f>
        <v/>
      </c>
      <c r="E1129" s="12" t="str">
        <f aca="false">IF(C1129="","",IFERROR(INDEX('Ingredient Catalog'!$C:$C,MATCH(C1129,'Ingredient Catalog'!$A:$A,0)),"⚠ not in catalog"))</f>
        <v/>
      </c>
      <c r="G1129" s="12" t="str">
        <f aca="false">IF(A1129="","",COUNTIFS('Weekly Log'!$A:$A,'Grocery List'!$B$3,'Weekly Log'!$C:$C,A1129,'Weekly Log'!$E:$E,"Yes"))</f>
        <v/>
      </c>
      <c r="H1129" s="12" t="str">
        <f aca="false">IF(OR(A1129="",D1129=""),"",D1129*G1129)</f>
        <v/>
      </c>
    </row>
    <row r="1130" customFormat="false" ht="15" hidden="false" customHeight="false" outlineLevel="0" collapsed="false">
      <c r="B1130" s="12" t="str">
        <f aca="false">IF(A1130="","",IFERROR(INDEX(Recipes!$B:$B,MATCH(A1130,Recipes!$A:$A,0)),"⚠ unknown recipe_id"))</f>
        <v/>
      </c>
      <c r="E1130" s="12" t="str">
        <f aca="false">IF(C1130="","",IFERROR(INDEX('Ingredient Catalog'!$C:$C,MATCH(C1130,'Ingredient Catalog'!$A:$A,0)),"⚠ not in catalog"))</f>
        <v/>
      </c>
      <c r="G1130" s="12" t="str">
        <f aca="false">IF(A1130="","",COUNTIFS('Weekly Log'!$A:$A,'Grocery List'!$B$3,'Weekly Log'!$C:$C,A1130,'Weekly Log'!$E:$E,"Yes"))</f>
        <v/>
      </c>
      <c r="H1130" s="12" t="str">
        <f aca="false">IF(OR(A1130="",D1130=""),"",D1130*G1130)</f>
        <v/>
      </c>
    </row>
    <row r="1131" customFormat="false" ht="15" hidden="false" customHeight="false" outlineLevel="0" collapsed="false">
      <c r="B1131" s="12" t="str">
        <f aca="false">IF(A1131="","",IFERROR(INDEX(Recipes!$B:$B,MATCH(A1131,Recipes!$A:$A,0)),"⚠ unknown recipe_id"))</f>
        <v/>
      </c>
      <c r="E1131" s="12" t="str">
        <f aca="false">IF(C1131="","",IFERROR(INDEX('Ingredient Catalog'!$C:$C,MATCH(C1131,'Ingredient Catalog'!$A:$A,0)),"⚠ not in catalog"))</f>
        <v/>
      </c>
      <c r="G1131" s="12" t="str">
        <f aca="false">IF(A1131="","",COUNTIFS('Weekly Log'!$A:$A,'Grocery List'!$B$3,'Weekly Log'!$C:$C,A1131,'Weekly Log'!$E:$E,"Yes"))</f>
        <v/>
      </c>
      <c r="H1131" s="12" t="str">
        <f aca="false">IF(OR(A1131="",D1131=""),"",D1131*G1131)</f>
        <v/>
      </c>
    </row>
    <row r="1132" customFormat="false" ht="15" hidden="false" customHeight="false" outlineLevel="0" collapsed="false">
      <c r="B1132" s="12" t="str">
        <f aca="false">IF(A1132="","",IFERROR(INDEX(Recipes!$B:$B,MATCH(A1132,Recipes!$A:$A,0)),"⚠ unknown recipe_id"))</f>
        <v/>
      </c>
      <c r="E1132" s="12" t="str">
        <f aca="false">IF(C1132="","",IFERROR(INDEX('Ingredient Catalog'!$C:$C,MATCH(C1132,'Ingredient Catalog'!$A:$A,0)),"⚠ not in catalog"))</f>
        <v/>
      </c>
      <c r="G1132" s="12" t="str">
        <f aca="false">IF(A1132="","",COUNTIFS('Weekly Log'!$A:$A,'Grocery List'!$B$3,'Weekly Log'!$C:$C,A1132,'Weekly Log'!$E:$E,"Yes"))</f>
        <v/>
      </c>
      <c r="H1132" s="12" t="str">
        <f aca="false">IF(OR(A1132="",D1132=""),"",D1132*G1132)</f>
        <v/>
      </c>
    </row>
    <row r="1133" customFormat="false" ht="15" hidden="false" customHeight="false" outlineLevel="0" collapsed="false">
      <c r="B1133" s="12" t="str">
        <f aca="false">IF(A1133="","",IFERROR(INDEX(Recipes!$B:$B,MATCH(A1133,Recipes!$A:$A,0)),"⚠ unknown recipe_id"))</f>
        <v/>
      </c>
      <c r="E1133" s="12" t="str">
        <f aca="false">IF(C1133="","",IFERROR(INDEX('Ingredient Catalog'!$C:$C,MATCH(C1133,'Ingredient Catalog'!$A:$A,0)),"⚠ not in catalog"))</f>
        <v/>
      </c>
      <c r="G1133" s="12" t="str">
        <f aca="false">IF(A1133="","",COUNTIFS('Weekly Log'!$A:$A,'Grocery List'!$B$3,'Weekly Log'!$C:$C,A1133,'Weekly Log'!$E:$E,"Yes"))</f>
        <v/>
      </c>
      <c r="H1133" s="12" t="str">
        <f aca="false">IF(OR(A1133="",D1133=""),"",D1133*G1133)</f>
        <v/>
      </c>
    </row>
    <row r="1134" customFormat="false" ht="15" hidden="false" customHeight="false" outlineLevel="0" collapsed="false">
      <c r="B1134" s="12" t="str">
        <f aca="false">IF(A1134="","",IFERROR(INDEX(Recipes!$B:$B,MATCH(A1134,Recipes!$A:$A,0)),"⚠ unknown recipe_id"))</f>
        <v/>
      </c>
      <c r="E1134" s="12" t="str">
        <f aca="false">IF(C1134="","",IFERROR(INDEX('Ingredient Catalog'!$C:$C,MATCH(C1134,'Ingredient Catalog'!$A:$A,0)),"⚠ not in catalog"))</f>
        <v/>
      </c>
      <c r="G1134" s="12" t="str">
        <f aca="false">IF(A1134="","",COUNTIFS('Weekly Log'!$A:$A,'Grocery List'!$B$3,'Weekly Log'!$C:$C,A1134,'Weekly Log'!$E:$E,"Yes"))</f>
        <v/>
      </c>
      <c r="H1134" s="12" t="str">
        <f aca="false">IF(OR(A1134="",D1134=""),"",D1134*G1134)</f>
        <v/>
      </c>
    </row>
    <row r="1135" customFormat="false" ht="15" hidden="false" customHeight="false" outlineLevel="0" collapsed="false">
      <c r="B1135" s="12" t="str">
        <f aca="false">IF(A1135="","",IFERROR(INDEX(Recipes!$B:$B,MATCH(A1135,Recipes!$A:$A,0)),"⚠ unknown recipe_id"))</f>
        <v/>
      </c>
      <c r="E1135" s="12" t="str">
        <f aca="false">IF(C1135="","",IFERROR(INDEX('Ingredient Catalog'!$C:$C,MATCH(C1135,'Ingredient Catalog'!$A:$A,0)),"⚠ not in catalog"))</f>
        <v/>
      </c>
      <c r="G1135" s="12" t="str">
        <f aca="false">IF(A1135="","",COUNTIFS('Weekly Log'!$A:$A,'Grocery List'!$B$3,'Weekly Log'!$C:$C,A1135,'Weekly Log'!$E:$E,"Yes"))</f>
        <v/>
      </c>
      <c r="H1135" s="12" t="str">
        <f aca="false">IF(OR(A1135="",D1135=""),"",D1135*G1135)</f>
        <v/>
      </c>
    </row>
    <row r="1136" customFormat="false" ht="15" hidden="false" customHeight="false" outlineLevel="0" collapsed="false">
      <c r="B1136" s="12" t="str">
        <f aca="false">IF(A1136="","",IFERROR(INDEX(Recipes!$B:$B,MATCH(A1136,Recipes!$A:$A,0)),"⚠ unknown recipe_id"))</f>
        <v/>
      </c>
      <c r="E1136" s="12" t="str">
        <f aca="false">IF(C1136="","",IFERROR(INDEX('Ingredient Catalog'!$C:$C,MATCH(C1136,'Ingredient Catalog'!$A:$A,0)),"⚠ not in catalog"))</f>
        <v/>
      </c>
      <c r="G1136" s="12" t="str">
        <f aca="false">IF(A1136="","",COUNTIFS('Weekly Log'!$A:$A,'Grocery List'!$B$3,'Weekly Log'!$C:$C,A1136,'Weekly Log'!$E:$E,"Yes"))</f>
        <v/>
      </c>
      <c r="H1136" s="12" t="str">
        <f aca="false">IF(OR(A1136="",D1136=""),"",D1136*G1136)</f>
        <v/>
      </c>
    </row>
    <row r="1137" customFormat="false" ht="15" hidden="false" customHeight="false" outlineLevel="0" collapsed="false">
      <c r="B1137" s="12" t="str">
        <f aca="false">IF(A1137="","",IFERROR(INDEX(Recipes!$B:$B,MATCH(A1137,Recipes!$A:$A,0)),"⚠ unknown recipe_id"))</f>
        <v/>
      </c>
      <c r="E1137" s="12" t="str">
        <f aca="false">IF(C1137="","",IFERROR(INDEX('Ingredient Catalog'!$C:$C,MATCH(C1137,'Ingredient Catalog'!$A:$A,0)),"⚠ not in catalog"))</f>
        <v/>
      </c>
      <c r="G1137" s="12" t="str">
        <f aca="false">IF(A1137="","",COUNTIFS('Weekly Log'!$A:$A,'Grocery List'!$B$3,'Weekly Log'!$C:$C,A1137,'Weekly Log'!$E:$E,"Yes"))</f>
        <v/>
      </c>
      <c r="H1137" s="12" t="str">
        <f aca="false">IF(OR(A1137="",D1137=""),"",D1137*G1137)</f>
        <v/>
      </c>
    </row>
    <row r="1138" customFormat="false" ht="15" hidden="false" customHeight="false" outlineLevel="0" collapsed="false">
      <c r="B1138" s="12" t="str">
        <f aca="false">IF(A1138="","",IFERROR(INDEX(Recipes!$B:$B,MATCH(A1138,Recipes!$A:$A,0)),"⚠ unknown recipe_id"))</f>
        <v/>
      </c>
      <c r="E1138" s="12" t="str">
        <f aca="false">IF(C1138="","",IFERROR(INDEX('Ingredient Catalog'!$C:$C,MATCH(C1138,'Ingredient Catalog'!$A:$A,0)),"⚠ not in catalog"))</f>
        <v/>
      </c>
      <c r="G1138" s="12" t="str">
        <f aca="false">IF(A1138="","",COUNTIFS('Weekly Log'!$A:$A,'Grocery List'!$B$3,'Weekly Log'!$C:$C,A1138,'Weekly Log'!$E:$E,"Yes"))</f>
        <v/>
      </c>
      <c r="H1138" s="12" t="str">
        <f aca="false">IF(OR(A1138="",D1138=""),"",D1138*G1138)</f>
        <v/>
      </c>
    </row>
    <row r="1139" customFormat="false" ht="15" hidden="false" customHeight="false" outlineLevel="0" collapsed="false">
      <c r="B1139" s="12" t="str">
        <f aca="false">IF(A1139="","",IFERROR(INDEX(Recipes!$B:$B,MATCH(A1139,Recipes!$A:$A,0)),"⚠ unknown recipe_id"))</f>
        <v/>
      </c>
      <c r="E1139" s="12" t="str">
        <f aca="false">IF(C1139="","",IFERROR(INDEX('Ingredient Catalog'!$C:$C,MATCH(C1139,'Ingredient Catalog'!$A:$A,0)),"⚠ not in catalog"))</f>
        <v/>
      </c>
      <c r="G1139" s="12" t="str">
        <f aca="false">IF(A1139="","",COUNTIFS('Weekly Log'!$A:$A,'Grocery List'!$B$3,'Weekly Log'!$C:$C,A1139,'Weekly Log'!$E:$E,"Yes"))</f>
        <v/>
      </c>
      <c r="H1139" s="12" t="str">
        <f aca="false">IF(OR(A1139="",D1139=""),"",D1139*G1139)</f>
        <v/>
      </c>
    </row>
    <row r="1140" customFormat="false" ht="15" hidden="false" customHeight="false" outlineLevel="0" collapsed="false">
      <c r="B1140" s="12" t="str">
        <f aca="false">IF(A1140="","",IFERROR(INDEX(Recipes!$B:$B,MATCH(A1140,Recipes!$A:$A,0)),"⚠ unknown recipe_id"))</f>
        <v/>
      </c>
      <c r="E1140" s="12" t="str">
        <f aca="false">IF(C1140="","",IFERROR(INDEX('Ingredient Catalog'!$C:$C,MATCH(C1140,'Ingredient Catalog'!$A:$A,0)),"⚠ not in catalog"))</f>
        <v/>
      </c>
      <c r="G1140" s="12" t="str">
        <f aca="false">IF(A1140="","",COUNTIFS('Weekly Log'!$A:$A,'Grocery List'!$B$3,'Weekly Log'!$C:$C,A1140,'Weekly Log'!$E:$E,"Yes"))</f>
        <v/>
      </c>
      <c r="H1140" s="12" t="str">
        <f aca="false">IF(OR(A1140="",D1140=""),"",D1140*G1140)</f>
        <v/>
      </c>
    </row>
    <row r="1141" customFormat="false" ht="15" hidden="false" customHeight="false" outlineLevel="0" collapsed="false">
      <c r="B1141" s="12" t="str">
        <f aca="false">IF(A1141="","",IFERROR(INDEX(Recipes!$B:$B,MATCH(A1141,Recipes!$A:$A,0)),"⚠ unknown recipe_id"))</f>
        <v/>
      </c>
      <c r="E1141" s="12" t="str">
        <f aca="false">IF(C1141="","",IFERROR(INDEX('Ingredient Catalog'!$C:$C,MATCH(C1141,'Ingredient Catalog'!$A:$A,0)),"⚠ not in catalog"))</f>
        <v/>
      </c>
      <c r="G1141" s="12" t="str">
        <f aca="false">IF(A1141="","",COUNTIFS('Weekly Log'!$A:$A,'Grocery List'!$B$3,'Weekly Log'!$C:$C,A1141,'Weekly Log'!$E:$E,"Yes"))</f>
        <v/>
      </c>
      <c r="H1141" s="12" t="str">
        <f aca="false">IF(OR(A1141="",D1141=""),"",D1141*G1141)</f>
        <v/>
      </c>
    </row>
    <row r="1142" customFormat="false" ht="15" hidden="false" customHeight="false" outlineLevel="0" collapsed="false">
      <c r="B1142" s="12" t="str">
        <f aca="false">IF(A1142="","",IFERROR(INDEX(Recipes!$B:$B,MATCH(A1142,Recipes!$A:$A,0)),"⚠ unknown recipe_id"))</f>
        <v/>
      </c>
      <c r="E1142" s="12" t="str">
        <f aca="false">IF(C1142="","",IFERROR(INDEX('Ingredient Catalog'!$C:$C,MATCH(C1142,'Ingredient Catalog'!$A:$A,0)),"⚠ not in catalog"))</f>
        <v/>
      </c>
      <c r="G1142" s="12" t="str">
        <f aca="false">IF(A1142="","",COUNTIFS('Weekly Log'!$A:$A,'Grocery List'!$B$3,'Weekly Log'!$C:$C,A1142,'Weekly Log'!$E:$E,"Yes"))</f>
        <v/>
      </c>
      <c r="H1142" s="12" t="str">
        <f aca="false">IF(OR(A1142="",D1142=""),"",D1142*G1142)</f>
        <v/>
      </c>
    </row>
    <row r="1143" customFormat="false" ht="15" hidden="false" customHeight="false" outlineLevel="0" collapsed="false">
      <c r="B1143" s="12" t="str">
        <f aca="false">IF(A1143="","",IFERROR(INDEX(Recipes!$B:$B,MATCH(A1143,Recipes!$A:$A,0)),"⚠ unknown recipe_id"))</f>
        <v/>
      </c>
      <c r="E1143" s="12" t="str">
        <f aca="false">IF(C1143="","",IFERROR(INDEX('Ingredient Catalog'!$C:$C,MATCH(C1143,'Ingredient Catalog'!$A:$A,0)),"⚠ not in catalog"))</f>
        <v/>
      </c>
      <c r="G1143" s="12" t="str">
        <f aca="false">IF(A1143="","",COUNTIFS('Weekly Log'!$A:$A,'Grocery List'!$B$3,'Weekly Log'!$C:$C,A1143,'Weekly Log'!$E:$E,"Yes"))</f>
        <v/>
      </c>
      <c r="H1143" s="12" t="str">
        <f aca="false">IF(OR(A1143="",D1143=""),"",D1143*G1143)</f>
        <v/>
      </c>
    </row>
    <row r="1144" customFormat="false" ht="15" hidden="false" customHeight="false" outlineLevel="0" collapsed="false">
      <c r="B1144" s="12" t="str">
        <f aca="false">IF(A1144="","",IFERROR(INDEX(Recipes!$B:$B,MATCH(A1144,Recipes!$A:$A,0)),"⚠ unknown recipe_id"))</f>
        <v/>
      </c>
      <c r="E1144" s="12" t="str">
        <f aca="false">IF(C1144="","",IFERROR(INDEX('Ingredient Catalog'!$C:$C,MATCH(C1144,'Ingredient Catalog'!$A:$A,0)),"⚠ not in catalog"))</f>
        <v/>
      </c>
      <c r="G1144" s="12" t="str">
        <f aca="false">IF(A1144="","",COUNTIFS('Weekly Log'!$A:$A,'Grocery List'!$B$3,'Weekly Log'!$C:$C,A1144,'Weekly Log'!$E:$E,"Yes"))</f>
        <v/>
      </c>
      <c r="H1144" s="12" t="str">
        <f aca="false">IF(OR(A1144="",D1144=""),"",D1144*G1144)</f>
        <v/>
      </c>
    </row>
    <row r="1145" customFormat="false" ht="15" hidden="false" customHeight="false" outlineLevel="0" collapsed="false">
      <c r="B1145" s="12" t="str">
        <f aca="false">IF(A1145="","",IFERROR(INDEX(Recipes!$B:$B,MATCH(A1145,Recipes!$A:$A,0)),"⚠ unknown recipe_id"))</f>
        <v/>
      </c>
      <c r="E1145" s="12" t="str">
        <f aca="false">IF(C1145="","",IFERROR(INDEX('Ingredient Catalog'!$C:$C,MATCH(C1145,'Ingredient Catalog'!$A:$A,0)),"⚠ not in catalog"))</f>
        <v/>
      </c>
      <c r="G1145" s="12" t="str">
        <f aca="false">IF(A1145="","",COUNTIFS('Weekly Log'!$A:$A,'Grocery List'!$B$3,'Weekly Log'!$C:$C,A1145,'Weekly Log'!$E:$E,"Yes"))</f>
        <v/>
      </c>
      <c r="H1145" s="12" t="str">
        <f aca="false">IF(OR(A1145="",D1145=""),"",D1145*G1145)</f>
        <v/>
      </c>
    </row>
    <row r="1146" customFormat="false" ht="15" hidden="false" customHeight="false" outlineLevel="0" collapsed="false">
      <c r="B1146" s="12" t="str">
        <f aca="false">IF(A1146="","",IFERROR(INDEX(Recipes!$B:$B,MATCH(A1146,Recipes!$A:$A,0)),"⚠ unknown recipe_id"))</f>
        <v/>
      </c>
      <c r="E1146" s="12" t="str">
        <f aca="false">IF(C1146="","",IFERROR(INDEX('Ingredient Catalog'!$C:$C,MATCH(C1146,'Ingredient Catalog'!$A:$A,0)),"⚠ not in catalog"))</f>
        <v/>
      </c>
      <c r="G1146" s="12" t="str">
        <f aca="false">IF(A1146="","",COUNTIFS('Weekly Log'!$A:$A,'Grocery List'!$B$3,'Weekly Log'!$C:$C,A1146,'Weekly Log'!$E:$E,"Yes"))</f>
        <v/>
      </c>
      <c r="H1146" s="12" t="str">
        <f aca="false">IF(OR(A1146="",D1146=""),"",D1146*G1146)</f>
        <v/>
      </c>
    </row>
    <row r="1147" customFormat="false" ht="15" hidden="false" customHeight="false" outlineLevel="0" collapsed="false">
      <c r="B1147" s="12" t="str">
        <f aca="false">IF(A1147="","",IFERROR(INDEX(Recipes!$B:$B,MATCH(A1147,Recipes!$A:$A,0)),"⚠ unknown recipe_id"))</f>
        <v/>
      </c>
      <c r="E1147" s="12" t="str">
        <f aca="false">IF(C1147="","",IFERROR(INDEX('Ingredient Catalog'!$C:$C,MATCH(C1147,'Ingredient Catalog'!$A:$A,0)),"⚠ not in catalog"))</f>
        <v/>
      </c>
      <c r="G1147" s="12" t="str">
        <f aca="false">IF(A1147="","",COUNTIFS('Weekly Log'!$A:$A,'Grocery List'!$B$3,'Weekly Log'!$C:$C,A1147,'Weekly Log'!$E:$E,"Yes"))</f>
        <v/>
      </c>
      <c r="H1147" s="12" t="str">
        <f aca="false">IF(OR(A1147="",D1147=""),"",D1147*G1147)</f>
        <v/>
      </c>
    </row>
    <row r="1148" customFormat="false" ht="15" hidden="false" customHeight="false" outlineLevel="0" collapsed="false">
      <c r="B1148" s="12" t="str">
        <f aca="false">IF(A1148="","",IFERROR(INDEX(Recipes!$B:$B,MATCH(A1148,Recipes!$A:$A,0)),"⚠ unknown recipe_id"))</f>
        <v/>
      </c>
      <c r="E1148" s="12" t="str">
        <f aca="false">IF(C1148="","",IFERROR(INDEX('Ingredient Catalog'!$C:$C,MATCH(C1148,'Ingredient Catalog'!$A:$A,0)),"⚠ not in catalog"))</f>
        <v/>
      </c>
      <c r="G1148" s="12" t="str">
        <f aca="false">IF(A1148="","",COUNTIFS('Weekly Log'!$A:$A,'Grocery List'!$B$3,'Weekly Log'!$C:$C,A1148,'Weekly Log'!$E:$E,"Yes"))</f>
        <v/>
      </c>
      <c r="H1148" s="12" t="str">
        <f aca="false">IF(OR(A1148="",D1148=""),"",D1148*G1148)</f>
        <v/>
      </c>
    </row>
    <row r="1149" customFormat="false" ht="15" hidden="false" customHeight="false" outlineLevel="0" collapsed="false">
      <c r="B1149" s="12" t="str">
        <f aca="false">IF(A1149="","",IFERROR(INDEX(Recipes!$B:$B,MATCH(A1149,Recipes!$A:$A,0)),"⚠ unknown recipe_id"))</f>
        <v/>
      </c>
      <c r="E1149" s="12" t="str">
        <f aca="false">IF(C1149="","",IFERROR(INDEX('Ingredient Catalog'!$C:$C,MATCH(C1149,'Ingredient Catalog'!$A:$A,0)),"⚠ not in catalog"))</f>
        <v/>
      </c>
      <c r="G1149" s="12" t="str">
        <f aca="false">IF(A1149="","",COUNTIFS('Weekly Log'!$A:$A,'Grocery List'!$B$3,'Weekly Log'!$C:$C,A1149,'Weekly Log'!$E:$E,"Yes"))</f>
        <v/>
      </c>
      <c r="H1149" s="12" t="str">
        <f aca="false">IF(OR(A1149="",D1149=""),"",D1149*G1149)</f>
        <v/>
      </c>
    </row>
    <row r="1150" customFormat="false" ht="15" hidden="false" customHeight="false" outlineLevel="0" collapsed="false">
      <c r="B1150" s="12" t="str">
        <f aca="false">IF(A1150="","",IFERROR(INDEX(Recipes!$B:$B,MATCH(A1150,Recipes!$A:$A,0)),"⚠ unknown recipe_id"))</f>
        <v/>
      </c>
      <c r="E1150" s="12" t="str">
        <f aca="false">IF(C1150="","",IFERROR(INDEX('Ingredient Catalog'!$C:$C,MATCH(C1150,'Ingredient Catalog'!$A:$A,0)),"⚠ not in catalog"))</f>
        <v/>
      </c>
      <c r="G1150" s="12" t="str">
        <f aca="false">IF(A1150="","",COUNTIFS('Weekly Log'!$A:$A,'Grocery List'!$B$3,'Weekly Log'!$C:$C,A1150,'Weekly Log'!$E:$E,"Yes"))</f>
        <v/>
      </c>
      <c r="H1150" s="12" t="str">
        <f aca="false">IF(OR(A1150="",D1150=""),"",D1150*G1150)</f>
        <v/>
      </c>
    </row>
    <row r="1151" customFormat="false" ht="15" hidden="false" customHeight="false" outlineLevel="0" collapsed="false">
      <c r="B1151" s="12" t="str">
        <f aca="false">IF(A1151="","",IFERROR(INDEX(Recipes!$B:$B,MATCH(A1151,Recipes!$A:$A,0)),"⚠ unknown recipe_id"))</f>
        <v/>
      </c>
      <c r="E1151" s="12" t="str">
        <f aca="false">IF(C1151="","",IFERROR(INDEX('Ingredient Catalog'!$C:$C,MATCH(C1151,'Ingredient Catalog'!$A:$A,0)),"⚠ not in catalog"))</f>
        <v/>
      </c>
      <c r="G1151" s="12" t="str">
        <f aca="false">IF(A1151="","",COUNTIFS('Weekly Log'!$A:$A,'Grocery List'!$B$3,'Weekly Log'!$C:$C,A1151,'Weekly Log'!$E:$E,"Yes"))</f>
        <v/>
      </c>
      <c r="H1151" s="12" t="str">
        <f aca="false">IF(OR(A1151="",D1151=""),"",D1151*G1151)</f>
        <v/>
      </c>
    </row>
    <row r="1152" customFormat="false" ht="15" hidden="false" customHeight="false" outlineLevel="0" collapsed="false">
      <c r="B1152" s="12" t="str">
        <f aca="false">IF(A1152="","",IFERROR(INDEX(Recipes!$B:$B,MATCH(A1152,Recipes!$A:$A,0)),"⚠ unknown recipe_id"))</f>
        <v/>
      </c>
      <c r="E1152" s="12" t="str">
        <f aca="false">IF(C1152="","",IFERROR(INDEX('Ingredient Catalog'!$C:$C,MATCH(C1152,'Ingredient Catalog'!$A:$A,0)),"⚠ not in catalog"))</f>
        <v/>
      </c>
      <c r="G1152" s="12" t="str">
        <f aca="false">IF(A1152="","",COUNTIFS('Weekly Log'!$A:$A,'Grocery List'!$B$3,'Weekly Log'!$C:$C,A1152,'Weekly Log'!$E:$E,"Yes"))</f>
        <v/>
      </c>
      <c r="H1152" s="12" t="str">
        <f aca="false">IF(OR(A1152="",D1152=""),"",D1152*G1152)</f>
        <v/>
      </c>
    </row>
    <row r="1153" customFormat="false" ht="15" hidden="false" customHeight="false" outlineLevel="0" collapsed="false">
      <c r="B1153" s="12" t="str">
        <f aca="false">IF(A1153="","",IFERROR(INDEX(Recipes!$B:$B,MATCH(A1153,Recipes!$A:$A,0)),"⚠ unknown recipe_id"))</f>
        <v/>
      </c>
      <c r="E1153" s="12" t="str">
        <f aca="false">IF(C1153="","",IFERROR(INDEX('Ingredient Catalog'!$C:$C,MATCH(C1153,'Ingredient Catalog'!$A:$A,0)),"⚠ not in catalog"))</f>
        <v/>
      </c>
      <c r="G1153" s="12" t="str">
        <f aca="false">IF(A1153="","",COUNTIFS('Weekly Log'!$A:$A,'Grocery List'!$B$3,'Weekly Log'!$C:$C,A1153,'Weekly Log'!$E:$E,"Yes"))</f>
        <v/>
      </c>
      <c r="H1153" s="12" t="str">
        <f aca="false">IF(OR(A1153="",D1153=""),"",D1153*G1153)</f>
        <v/>
      </c>
    </row>
    <row r="1154" customFormat="false" ht="15" hidden="false" customHeight="false" outlineLevel="0" collapsed="false">
      <c r="B1154" s="12" t="str">
        <f aca="false">IF(A1154="","",IFERROR(INDEX(Recipes!$B:$B,MATCH(A1154,Recipes!$A:$A,0)),"⚠ unknown recipe_id"))</f>
        <v/>
      </c>
      <c r="E1154" s="12" t="str">
        <f aca="false">IF(C1154="","",IFERROR(INDEX('Ingredient Catalog'!$C:$C,MATCH(C1154,'Ingredient Catalog'!$A:$A,0)),"⚠ not in catalog"))</f>
        <v/>
      </c>
      <c r="G1154" s="12" t="str">
        <f aca="false">IF(A1154="","",COUNTIFS('Weekly Log'!$A:$A,'Grocery List'!$B$3,'Weekly Log'!$C:$C,A1154,'Weekly Log'!$E:$E,"Yes"))</f>
        <v/>
      </c>
      <c r="H1154" s="12" t="str">
        <f aca="false">IF(OR(A1154="",D1154=""),"",D1154*G1154)</f>
        <v/>
      </c>
    </row>
    <row r="1155" customFormat="false" ht="15" hidden="false" customHeight="false" outlineLevel="0" collapsed="false">
      <c r="B1155" s="12" t="str">
        <f aca="false">IF(A1155="","",IFERROR(INDEX(Recipes!$B:$B,MATCH(A1155,Recipes!$A:$A,0)),"⚠ unknown recipe_id"))</f>
        <v/>
      </c>
      <c r="E1155" s="12" t="str">
        <f aca="false">IF(C1155="","",IFERROR(INDEX('Ingredient Catalog'!$C:$C,MATCH(C1155,'Ingredient Catalog'!$A:$A,0)),"⚠ not in catalog"))</f>
        <v/>
      </c>
      <c r="G1155" s="12" t="str">
        <f aca="false">IF(A1155="","",COUNTIFS('Weekly Log'!$A:$A,'Grocery List'!$B$3,'Weekly Log'!$C:$C,A1155,'Weekly Log'!$E:$E,"Yes"))</f>
        <v/>
      </c>
      <c r="H1155" s="12" t="str">
        <f aca="false">IF(OR(A1155="",D1155=""),"",D1155*G1155)</f>
        <v/>
      </c>
    </row>
    <row r="1156" customFormat="false" ht="15" hidden="false" customHeight="false" outlineLevel="0" collapsed="false">
      <c r="B1156" s="12" t="str">
        <f aca="false">IF(A1156="","",IFERROR(INDEX(Recipes!$B:$B,MATCH(A1156,Recipes!$A:$A,0)),"⚠ unknown recipe_id"))</f>
        <v/>
      </c>
      <c r="E1156" s="12" t="str">
        <f aca="false">IF(C1156="","",IFERROR(INDEX('Ingredient Catalog'!$C:$C,MATCH(C1156,'Ingredient Catalog'!$A:$A,0)),"⚠ not in catalog"))</f>
        <v/>
      </c>
      <c r="G1156" s="12" t="str">
        <f aca="false">IF(A1156="","",COUNTIFS('Weekly Log'!$A:$A,'Grocery List'!$B$3,'Weekly Log'!$C:$C,A1156,'Weekly Log'!$E:$E,"Yes"))</f>
        <v/>
      </c>
      <c r="H1156" s="12" t="str">
        <f aca="false">IF(OR(A1156="",D1156=""),"",D1156*G1156)</f>
        <v/>
      </c>
    </row>
    <row r="1157" customFormat="false" ht="15" hidden="false" customHeight="false" outlineLevel="0" collapsed="false">
      <c r="B1157" s="12" t="str">
        <f aca="false">IF(A1157="","",IFERROR(INDEX(Recipes!$B:$B,MATCH(A1157,Recipes!$A:$A,0)),"⚠ unknown recipe_id"))</f>
        <v/>
      </c>
      <c r="E1157" s="12" t="str">
        <f aca="false">IF(C1157="","",IFERROR(INDEX('Ingredient Catalog'!$C:$C,MATCH(C1157,'Ingredient Catalog'!$A:$A,0)),"⚠ not in catalog"))</f>
        <v/>
      </c>
      <c r="G1157" s="12" t="str">
        <f aca="false">IF(A1157="","",COUNTIFS('Weekly Log'!$A:$A,'Grocery List'!$B$3,'Weekly Log'!$C:$C,A1157,'Weekly Log'!$E:$E,"Yes"))</f>
        <v/>
      </c>
      <c r="H1157" s="12" t="str">
        <f aca="false">IF(OR(A1157="",D1157=""),"",D1157*G1157)</f>
        <v/>
      </c>
    </row>
    <row r="1158" customFormat="false" ht="15" hidden="false" customHeight="false" outlineLevel="0" collapsed="false">
      <c r="B1158" s="12" t="str">
        <f aca="false">IF(A1158="","",IFERROR(INDEX(Recipes!$B:$B,MATCH(A1158,Recipes!$A:$A,0)),"⚠ unknown recipe_id"))</f>
        <v/>
      </c>
      <c r="E1158" s="12" t="str">
        <f aca="false">IF(C1158="","",IFERROR(INDEX('Ingredient Catalog'!$C:$C,MATCH(C1158,'Ingredient Catalog'!$A:$A,0)),"⚠ not in catalog"))</f>
        <v/>
      </c>
      <c r="G1158" s="12" t="str">
        <f aca="false">IF(A1158="","",COUNTIFS('Weekly Log'!$A:$A,'Grocery List'!$B$3,'Weekly Log'!$C:$C,A1158,'Weekly Log'!$E:$E,"Yes"))</f>
        <v/>
      </c>
      <c r="H1158" s="12" t="str">
        <f aca="false">IF(OR(A1158="",D1158=""),"",D1158*G1158)</f>
        <v/>
      </c>
    </row>
    <row r="1159" customFormat="false" ht="15" hidden="false" customHeight="false" outlineLevel="0" collapsed="false">
      <c r="B1159" s="12" t="str">
        <f aca="false">IF(A1159="","",IFERROR(INDEX(Recipes!$B:$B,MATCH(A1159,Recipes!$A:$A,0)),"⚠ unknown recipe_id"))</f>
        <v/>
      </c>
      <c r="E1159" s="12" t="str">
        <f aca="false">IF(C1159="","",IFERROR(INDEX('Ingredient Catalog'!$C:$C,MATCH(C1159,'Ingredient Catalog'!$A:$A,0)),"⚠ not in catalog"))</f>
        <v/>
      </c>
      <c r="G1159" s="12" t="str">
        <f aca="false">IF(A1159="","",COUNTIFS('Weekly Log'!$A:$A,'Grocery List'!$B$3,'Weekly Log'!$C:$C,A1159,'Weekly Log'!$E:$E,"Yes"))</f>
        <v/>
      </c>
      <c r="H1159" s="12" t="str">
        <f aca="false">IF(OR(A1159="",D1159=""),"",D1159*G1159)</f>
        <v/>
      </c>
    </row>
    <row r="1160" customFormat="false" ht="15" hidden="false" customHeight="false" outlineLevel="0" collapsed="false">
      <c r="B1160" s="12" t="str">
        <f aca="false">IF(A1160="","",IFERROR(INDEX(Recipes!$B:$B,MATCH(A1160,Recipes!$A:$A,0)),"⚠ unknown recipe_id"))</f>
        <v/>
      </c>
      <c r="E1160" s="12" t="str">
        <f aca="false">IF(C1160="","",IFERROR(INDEX('Ingredient Catalog'!$C:$C,MATCH(C1160,'Ingredient Catalog'!$A:$A,0)),"⚠ not in catalog"))</f>
        <v/>
      </c>
      <c r="G1160" s="12" t="str">
        <f aca="false">IF(A1160="","",COUNTIFS('Weekly Log'!$A:$A,'Grocery List'!$B$3,'Weekly Log'!$C:$C,A1160,'Weekly Log'!$E:$E,"Yes"))</f>
        <v/>
      </c>
      <c r="H1160" s="12" t="str">
        <f aca="false">IF(OR(A1160="",D1160=""),"",D1160*G1160)</f>
        <v/>
      </c>
    </row>
    <row r="1161" customFormat="false" ht="15" hidden="false" customHeight="false" outlineLevel="0" collapsed="false">
      <c r="B1161" s="12" t="str">
        <f aca="false">IF(A1161="","",IFERROR(INDEX(Recipes!$B:$B,MATCH(A1161,Recipes!$A:$A,0)),"⚠ unknown recipe_id"))</f>
        <v/>
      </c>
      <c r="E1161" s="12" t="str">
        <f aca="false">IF(C1161="","",IFERROR(INDEX('Ingredient Catalog'!$C:$C,MATCH(C1161,'Ingredient Catalog'!$A:$A,0)),"⚠ not in catalog"))</f>
        <v/>
      </c>
      <c r="G1161" s="12" t="str">
        <f aca="false">IF(A1161="","",COUNTIFS('Weekly Log'!$A:$A,'Grocery List'!$B$3,'Weekly Log'!$C:$C,A1161,'Weekly Log'!$E:$E,"Yes"))</f>
        <v/>
      </c>
      <c r="H1161" s="12" t="str">
        <f aca="false">IF(OR(A1161="",D1161=""),"",D1161*G1161)</f>
        <v/>
      </c>
    </row>
    <row r="1162" customFormat="false" ht="15" hidden="false" customHeight="false" outlineLevel="0" collapsed="false">
      <c r="B1162" s="12" t="str">
        <f aca="false">IF(A1162="","",IFERROR(INDEX(Recipes!$B:$B,MATCH(A1162,Recipes!$A:$A,0)),"⚠ unknown recipe_id"))</f>
        <v/>
      </c>
      <c r="E1162" s="12" t="str">
        <f aca="false">IF(C1162="","",IFERROR(INDEX('Ingredient Catalog'!$C:$C,MATCH(C1162,'Ingredient Catalog'!$A:$A,0)),"⚠ not in catalog"))</f>
        <v/>
      </c>
      <c r="G1162" s="12" t="str">
        <f aca="false">IF(A1162="","",COUNTIFS('Weekly Log'!$A:$A,'Grocery List'!$B$3,'Weekly Log'!$C:$C,A1162,'Weekly Log'!$E:$E,"Yes"))</f>
        <v/>
      </c>
      <c r="H1162" s="12" t="str">
        <f aca="false">IF(OR(A1162="",D1162=""),"",D1162*G1162)</f>
        <v/>
      </c>
    </row>
    <row r="1163" customFormat="false" ht="15" hidden="false" customHeight="false" outlineLevel="0" collapsed="false">
      <c r="B1163" s="12" t="str">
        <f aca="false">IF(A1163="","",IFERROR(INDEX(Recipes!$B:$B,MATCH(A1163,Recipes!$A:$A,0)),"⚠ unknown recipe_id"))</f>
        <v/>
      </c>
      <c r="E1163" s="12" t="str">
        <f aca="false">IF(C1163="","",IFERROR(INDEX('Ingredient Catalog'!$C:$C,MATCH(C1163,'Ingredient Catalog'!$A:$A,0)),"⚠ not in catalog"))</f>
        <v/>
      </c>
      <c r="G1163" s="12" t="str">
        <f aca="false">IF(A1163="","",COUNTIFS('Weekly Log'!$A:$A,'Grocery List'!$B$3,'Weekly Log'!$C:$C,A1163,'Weekly Log'!$E:$E,"Yes"))</f>
        <v/>
      </c>
      <c r="H1163" s="12" t="str">
        <f aca="false">IF(OR(A1163="",D1163=""),"",D1163*G1163)</f>
        <v/>
      </c>
    </row>
    <row r="1164" customFormat="false" ht="15" hidden="false" customHeight="false" outlineLevel="0" collapsed="false">
      <c r="B1164" s="12" t="str">
        <f aca="false">IF(A1164="","",IFERROR(INDEX(Recipes!$B:$B,MATCH(A1164,Recipes!$A:$A,0)),"⚠ unknown recipe_id"))</f>
        <v/>
      </c>
      <c r="E1164" s="12" t="str">
        <f aca="false">IF(C1164="","",IFERROR(INDEX('Ingredient Catalog'!$C:$C,MATCH(C1164,'Ingredient Catalog'!$A:$A,0)),"⚠ not in catalog"))</f>
        <v/>
      </c>
      <c r="G1164" s="12" t="str">
        <f aca="false">IF(A1164="","",COUNTIFS('Weekly Log'!$A:$A,'Grocery List'!$B$3,'Weekly Log'!$C:$C,A1164,'Weekly Log'!$E:$E,"Yes"))</f>
        <v/>
      </c>
      <c r="H1164" s="12" t="str">
        <f aca="false">IF(OR(A1164="",D1164=""),"",D1164*G1164)</f>
        <v/>
      </c>
    </row>
    <row r="1165" customFormat="false" ht="15" hidden="false" customHeight="false" outlineLevel="0" collapsed="false">
      <c r="B1165" s="12" t="str">
        <f aca="false">IF(A1165="","",IFERROR(INDEX(Recipes!$B:$B,MATCH(A1165,Recipes!$A:$A,0)),"⚠ unknown recipe_id"))</f>
        <v/>
      </c>
      <c r="E1165" s="12" t="str">
        <f aca="false">IF(C1165="","",IFERROR(INDEX('Ingredient Catalog'!$C:$C,MATCH(C1165,'Ingredient Catalog'!$A:$A,0)),"⚠ not in catalog"))</f>
        <v/>
      </c>
      <c r="G1165" s="12" t="str">
        <f aca="false">IF(A1165="","",COUNTIFS('Weekly Log'!$A:$A,'Grocery List'!$B$3,'Weekly Log'!$C:$C,A1165,'Weekly Log'!$E:$E,"Yes"))</f>
        <v/>
      </c>
      <c r="H1165" s="12" t="str">
        <f aca="false">IF(OR(A1165="",D1165=""),"",D1165*G1165)</f>
        <v/>
      </c>
    </row>
    <row r="1166" customFormat="false" ht="15" hidden="false" customHeight="false" outlineLevel="0" collapsed="false">
      <c r="B1166" s="12" t="str">
        <f aca="false">IF(A1166="","",IFERROR(INDEX(Recipes!$B:$B,MATCH(A1166,Recipes!$A:$A,0)),"⚠ unknown recipe_id"))</f>
        <v/>
      </c>
      <c r="E1166" s="12" t="str">
        <f aca="false">IF(C1166="","",IFERROR(INDEX('Ingredient Catalog'!$C:$C,MATCH(C1166,'Ingredient Catalog'!$A:$A,0)),"⚠ not in catalog"))</f>
        <v/>
      </c>
      <c r="G1166" s="12" t="str">
        <f aca="false">IF(A1166="","",COUNTIFS('Weekly Log'!$A:$A,'Grocery List'!$B$3,'Weekly Log'!$C:$C,A1166,'Weekly Log'!$E:$E,"Yes"))</f>
        <v/>
      </c>
      <c r="H1166" s="12" t="str">
        <f aca="false">IF(OR(A1166="",D1166=""),"",D1166*G1166)</f>
        <v/>
      </c>
    </row>
    <row r="1167" customFormat="false" ht="15" hidden="false" customHeight="false" outlineLevel="0" collapsed="false">
      <c r="B1167" s="12" t="str">
        <f aca="false">IF(A1167="","",IFERROR(INDEX(Recipes!$B:$B,MATCH(A1167,Recipes!$A:$A,0)),"⚠ unknown recipe_id"))</f>
        <v/>
      </c>
      <c r="E1167" s="12" t="str">
        <f aca="false">IF(C1167="","",IFERROR(INDEX('Ingredient Catalog'!$C:$C,MATCH(C1167,'Ingredient Catalog'!$A:$A,0)),"⚠ not in catalog"))</f>
        <v/>
      </c>
      <c r="G1167" s="12" t="str">
        <f aca="false">IF(A1167="","",COUNTIFS('Weekly Log'!$A:$A,'Grocery List'!$B$3,'Weekly Log'!$C:$C,A1167,'Weekly Log'!$E:$E,"Yes"))</f>
        <v/>
      </c>
      <c r="H1167" s="12" t="str">
        <f aca="false">IF(OR(A1167="",D1167=""),"",D1167*G1167)</f>
        <v/>
      </c>
    </row>
    <row r="1168" customFormat="false" ht="15" hidden="false" customHeight="false" outlineLevel="0" collapsed="false">
      <c r="B1168" s="12" t="str">
        <f aca="false">IF(A1168="","",IFERROR(INDEX(Recipes!$B:$B,MATCH(A1168,Recipes!$A:$A,0)),"⚠ unknown recipe_id"))</f>
        <v/>
      </c>
      <c r="E1168" s="12" t="str">
        <f aca="false">IF(C1168="","",IFERROR(INDEX('Ingredient Catalog'!$C:$C,MATCH(C1168,'Ingredient Catalog'!$A:$A,0)),"⚠ not in catalog"))</f>
        <v/>
      </c>
      <c r="G1168" s="12" t="str">
        <f aca="false">IF(A1168="","",COUNTIFS('Weekly Log'!$A:$A,'Grocery List'!$B$3,'Weekly Log'!$C:$C,A1168,'Weekly Log'!$E:$E,"Yes"))</f>
        <v/>
      </c>
      <c r="H1168" s="12" t="str">
        <f aca="false">IF(OR(A1168="",D1168=""),"",D1168*G1168)</f>
        <v/>
      </c>
    </row>
    <row r="1169" customFormat="false" ht="15" hidden="false" customHeight="false" outlineLevel="0" collapsed="false">
      <c r="B1169" s="12" t="str">
        <f aca="false">IF(A1169="","",IFERROR(INDEX(Recipes!$B:$B,MATCH(A1169,Recipes!$A:$A,0)),"⚠ unknown recipe_id"))</f>
        <v/>
      </c>
      <c r="E1169" s="12" t="str">
        <f aca="false">IF(C1169="","",IFERROR(INDEX('Ingredient Catalog'!$C:$C,MATCH(C1169,'Ingredient Catalog'!$A:$A,0)),"⚠ not in catalog"))</f>
        <v/>
      </c>
      <c r="G1169" s="12" t="str">
        <f aca="false">IF(A1169="","",COUNTIFS('Weekly Log'!$A:$A,'Grocery List'!$B$3,'Weekly Log'!$C:$C,A1169,'Weekly Log'!$E:$E,"Yes"))</f>
        <v/>
      </c>
      <c r="H1169" s="12" t="str">
        <f aca="false">IF(OR(A1169="",D1169=""),"",D1169*G1169)</f>
        <v/>
      </c>
    </row>
    <row r="1170" customFormat="false" ht="15" hidden="false" customHeight="false" outlineLevel="0" collapsed="false">
      <c r="B1170" s="12" t="str">
        <f aca="false">IF(A1170="","",IFERROR(INDEX(Recipes!$B:$B,MATCH(A1170,Recipes!$A:$A,0)),"⚠ unknown recipe_id"))</f>
        <v/>
      </c>
      <c r="E1170" s="12" t="str">
        <f aca="false">IF(C1170="","",IFERROR(INDEX('Ingredient Catalog'!$C:$C,MATCH(C1170,'Ingredient Catalog'!$A:$A,0)),"⚠ not in catalog"))</f>
        <v/>
      </c>
      <c r="G1170" s="12" t="str">
        <f aca="false">IF(A1170="","",COUNTIFS('Weekly Log'!$A:$A,'Grocery List'!$B$3,'Weekly Log'!$C:$C,A1170,'Weekly Log'!$E:$E,"Yes"))</f>
        <v/>
      </c>
      <c r="H1170" s="12" t="str">
        <f aca="false">IF(OR(A1170="",D1170=""),"",D1170*G1170)</f>
        <v/>
      </c>
    </row>
    <row r="1171" customFormat="false" ht="15" hidden="false" customHeight="false" outlineLevel="0" collapsed="false">
      <c r="B1171" s="12" t="str">
        <f aca="false">IF(A1171="","",IFERROR(INDEX(Recipes!$B:$B,MATCH(A1171,Recipes!$A:$A,0)),"⚠ unknown recipe_id"))</f>
        <v/>
      </c>
      <c r="E1171" s="12" t="str">
        <f aca="false">IF(C1171="","",IFERROR(INDEX('Ingredient Catalog'!$C:$C,MATCH(C1171,'Ingredient Catalog'!$A:$A,0)),"⚠ not in catalog"))</f>
        <v/>
      </c>
      <c r="G1171" s="12" t="str">
        <f aca="false">IF(A1171="","",COUNTIFS('Weekly Log'!$A:$A,'Grocery List'!$B$3,'Weekly Log'!$C:$C,A1171,'Weekly Log'!$E:$E,"Yes"))</f>
        <v/>
      </c>
      <c r="H1171" s="12" t="str">
        <f aca="false">IF(OR(A1171="",D1171=""),"",D1171*G1171)</f>
        <v/>
      </c>
    </row>
    <row r="1172" customFormat="false" ht="15" hidden="false" customHeight="false" outlineLevel="0" collapsed="false">
      <c r="B1172" s="12" t="str">
        <f aca="false">IF(A1172="","",IFERROR(INDEX(Recipes!$B:$B,MATCH(A1172,Recipes!$A:$A,0)),"⚠ unknown recipe_id"))</f>
        <v/>
      </c>
      <c r="E1172" s="12" t="str">
        <f aca="false">IF(C1172="","",IFERROR(INDEX('Ingredient Catalog'!$C:$C,MATCH(C1172,'Ingredient Catalog'!$A:$A,0)),"⚠ not in catalog"))</f>
        <v/>
      </c>
      <c r="G1172" s="12" t="str">
        <f aca="false">IF(A1172="","",COUNTIFS('Weekly Log'!$A:$A,'Grocery List'!$B$3,'Weekly Log'!$C:$C,A1172,'Weekly Log'!$E:$E,"Yes"))</f>
        <v/>
      </c>
      <c r="H1172" s="12" t="str">
        <f aca="false">IF(OR(A1172="",D1172=""),"",D1172*G1172)</f>
        <v/>
      </c>
    </row>
    <row r="1173" customFormat="false" ht="15" hidden="false" customHeight="false" outlineLevel="0" collapsed="false">
      <c r="B1173" s="12" t="str">
        <f aca="false">IF(A1173="","",IFERROR(INDEX(Recipes!$B:$B,MATCH(A1173,Recipes!$A:$A,0)),"⚠ unknown recipe_id"))</f>
        <v/>
      </c>
      <c r="E1173" s="12" t="str">
        <f aca="false">IF(C1173="","",IFERROR(INDEX('Ingredient Catalog'!$C:$C,MATCH(C1173,'Ingredient Catalog'!$A:$A,0)),"⚠ not in catalog"))</f>
        <v/>
      </c>
      <c r="G1173" s="12" t="str">
        <f aca="false">IF(A1173="","",COUNTIFS('Weekly Log'!$A:$A,'Grocery List'!$B$3,'Weekly Log'!$C:$C,A1173,'Weekly Log'!$E:$E,"Yes"))</f>
        <v/>
      </c>
      <c r="H1173" s="12" t="str">
        <f aca="false">IF(OR(A1173="",D1173=""),"",D1173*G1173)</f>
        <v/>
      </c>
    </row>
    <row r="1174" customFormat="false" ht="15" hidden="false" customHeight="false" outlineLevel="0" collapsed="false">
      <c r="B1174" s="12" t="str">
        <f aca="false">IF(A1174="","",IFERROR(INDEX(Recipes!$B:$B,MATCH(A1174,Recipes!$A:$A,0)),"⚠ unknown recipe_id"))</f>
        <v/>
      </c>
      <c r="E1174" s="12" t="str">
        <f aca="false">IF(C1174="","",IFERROR(INDEX('Ingredient Catalog'!$C:$C,MATCH(C1174,'Ingredient Catalog'!$A:$A,0)),"⚠ not in catalog"))</f>
        <v/>
      </c>
      <c r="G1174" s="12" t="str">
        <f aca="false">IF(A1174="","",COUNTIFS('Weekly Log'!$A:$A,'Grocery List'!$B$3,'Weekly Log'!$C:$C,A1174,'Weekly Log'!$E:$E,"Yes"))</f>
        <v/>
      </c>
      <c r="H1174" s="12" t="str">
        <f aca="false">IF(OR(A1174="",D1174=""),"",D1174*G1174)</f>
        <v/>
      </c>
    </row>
    <row r="1175" customFormat="false" ht="15" hidden="false" customHeight="false" outlineLevel="0" collapsed="false">
      <c r="B1175" s="12" t="str">
        <f aca="false">IF(A1175="","",IFERROR(INDEX(Recipes!$B:$B,MATCH(A1175,Recipes!$A:$A,0)),"⚠ unknown recipe_id"))</f>
        <v/>
      </c>
      <c r="E1175" s="12" t="str">
        <f aca="false">IF(C1175="","",IFERROR(INDEX('Ingredient Catalog'!$C:$C,MATCH(C1175,'Ingredient Catalog'!$A:$A,0)),"⚠ not in catalog"))</f>
        <v/>
      </c>
      <c r="G1175" s="12" t="str">
        <f aca="false">IF(A1175="","",COUNTIFS('Weekly Log'!$A:$A,'Grocery List'!$B$3,'Weekly Log'!$C:$C,A1175,'Weekly Log'!$E:$E,"Yes"))</f>
        <v/>
      </c>
      <c r="H1175" s="12" t="str">
        <f aca="false">IF(OR(A1175="",D1175=""),"",D1175*G1175)</f>
        <v/>
      </c>
    </row>
    <row r="1176" customFormat="false" ht="15" hidden="false" customHeight="false" outlineLevel="0" collapsed="false">
      <c r="B1176" s="12" t="str">
        <f aca="false">IF(A1176="","",IFERROR(INDEX(Recipes!$B:$B,MATCH(A1176,Recipes!$A:$A,0)),"⚠ unknown recipe_id"))</f>
        <v/>
      </c>
      <c r="E1176" s="12" t="str">
        <f aca="false">IF(C1176="","",IFERROR(INDEX('Ingredient Catalog'!$C:$C,MATCH(C1176,'Ingredient Catalog'!$A:$A,0)),"⚠ not in catalog"))</f>
        <v/>
      </c>
      <c r="G1176" s="12" t="str">
        <f aca="false">IF(A1176="","",COUNTIFS('Weekly Log'!$A:$A,'Grocery List'!$B$3,'Weekly Log'!$C:$C,A1176,'Weekly Log'!$E:$E,"Yes"))</f>
        <v/>
      </c>
      <c r="H1176" s="12" t="str">
        <f aca="false">IF(OR(A1176="",D1176=""),"",D1176*G1176)</f>
        <v/>
      </c>
    </row>
    <row r="1177" customFormat="false" ht="15" hidden="false" customHeight="false" outlineLevel="0" collapsed="false">
      <c r="B1177" s="12" t="str">
        <f aca="false">IF(A1177="","",IFERROR(INDEX(Recipes!$B:$B,MATCH(A1177,Recipes!$A:$A,0)),"⚠ unknown recipe_id"))</f>
        <v/>
      </c>
      <c r="E1177" s="12" t="str">
        <f aca="false">IF(C1177="","",IFERROR(INDEX('Ingredient Catalog'!$C:$C,MATCH(C1177,'Ingredient Catalog'!$A:$A,0)),"⚠ not in catalog"))</f>
        <v/>
      </c>
      <c r="G1177" s="12" t="str">
        <f aca="false">IF(A1177="","",COUNTIFS('Weekly Log'!$A:$A,'Grocery List'!$B$3,'Weekly Log'!$C:$C,A1177,'Weekly Log'!$E:$E,"Yes"))</f>
        <v/>
      </c>
      <c r="H1177" s="12" t="str">
        <f aca="false">IF(OR(A1177="",D1177=""),"",D1177*G1177)</f>
        <v/>
      </c>
    </row>
    <row r="1178" customFormat="false" ht="15" hidden="false" customHeight="false" outlineLevel="0" collapsed="false">
      <c r="B1178" s="12" t="str">
        <f aca="false">IF(A1178="","",IFERROR(INDEX(Recipes!$B:$B,MATCH(A1178,Recipes!$A:$A,0)),"⚠ unknown recipe_id"))</f>
        <v/>
      </c>
      <c r="E1178" s="12" t="str">
        <f aca="false">IF(C1178="","",IFERROR(INDEX('Ingredient Catalog'!$C:$C,MATCH(C1178,'Ingredient Catalog'!$A:$A,0)),"⚠ not in catalog"))</f>
        <v/>
      </c>
      <c r="G1178" s="12" t="str">
        <f aca="false">IF(A1178="","",COUNTIFS('Weekly Log'!$A:$A,'Grocery List'!$B$3,'Weekly Log'!$C:$C,A1178,'Weekly Log'!$E:$E,"Yes"))</f>
        <v/>
      </c>
      <c r="H1178" s="12" t="str">
        <f aca="false">IF(OR(A1178="",D1178=""),"",D1178*G1178)</f>
        <v/>
      </c>
    </row>
    <row r="1179" customFormat="false" ht="15" hidden="false" customHeight="false" outlineLevel="0" collapsed="false">
      <c r="B1179" s="12" t="str">
        <f aca="false">IF(A1179="","",IFERROR(INDEX(Recipes!$B:$B,MATCH(A1179,Recipes!$A:$A,0)),"⚠ unknown recipe_id"))</f>
        <v/>
      </c>
      <c r="E1179" s="12" t="str">
        <f aca="false">IF(C1179="","",IFERROR(INDEX('Ingredient Catalog'!$C:$C,MATCH(C1179,'Ingredient Catalog'!$A:$A,0)),"⚠ not in catalog"))</f>
        <v/>
      </c>
      <c r="G1179" s="12" t="str">
        <f aca="false">IF(A1179="","",COUNTIFS('Weekly Log'!$A:$A,'Grocery List'!$B$3,'Weekly Log'!$C:$C,A1179,'Weekly Log'!$E:$E,"Yes"))</f>
        <v/>
      </c>
      <c r="H1179" s="12" t="str">
        <f aca="false">IF(OR(A1179="",D1179=""),"",D1179*G1179)</f>
        <v/>
      </c>
    </row>
    <row r="1180" customFormat="false" ht="15" hidden="false" customHeight="false" outlineLevel="0" collapsed="false">
      <c r="B1180" s="12" t="str">
        <f aca="false">IF(A1180="","",IFERROR(INDEX(Recipes!$B:$B,MATCH(A1180,Recipes!$A:$A,0)),"⚠ unknown recipe_id"))</f>
        <v/>
      </c>
      <c r="E1180" s="12" t="str">
        <f aca="false">IF(C1180="","",IFERROR(INDEX('Ingredient Catalog'!$C:$C,MATCH(C1180,'Ingredient Catalog'!$A:$A,0)),"⚠ not in catalog"))</f>
        <v/>
      </c>
      <c r="G1180" s="12" t="str">
        <f aca="false">IF(A1180="","",COUNTIFS('Weekly Log'!$A:$A,'Grocery List'!$B$3,'Weekly Log'!$C:$C,A1180,'Weekly Log'!$E:$E,"Yes"))</f>
        <v/>
      </c>
      <c r="H1180" s="12" t="str">
        <f aca="false">IF(OR(A1180="",D1180=""),"",D1180*G1180)</f>
        <v/>
      </c>
    </row>
    <row r="1181" customFormat="false" ht="15" hidden="false" customHeight="false" outlineLevel="0" collapsed="false">
      <c r="B1181" s="12" t="str">
        <f aca="false">IF(A1181="","",IFERROR(INDEX(Recipes!$B:$B,MATCH(A1181,Recipes!$A:$A,0)),"⚠ unknown recipe_id"))</f>
        <v/>
      </c>
      <c r="E1181" s="12" t="str">
        <f aca="false">IF(C1181="","",IFERROR(INDEX('Ingredient Catalog'!$C:$C,MATCH(C1181,'Ingredient Catalog'!$A:$A,0)),"⚠ not in catalog"))</f>
        <v/>
      </c>
      <c r="G1181" s="12" t="str">
        <f aca="false">IF(A1181="","",COUNTIFS('Weekly Log'!$A:$A,'Grocery List'!$B$3,'Weekly Log'!$C:$C,A1181,'Weekly Log'!$E:$E,"Yes"))</f>
        <v/>
      </c>
      <c r="H1181" s="12" t="str">
        <f aca="false">IF(OR(A1181="",D1181=""),"",D1181*G1181)</f>
        <v/>
      </c>
    </row>
    <row r="1182" customFormat="false" ht="15" hidden="false" customHeight="false" outlineLevel="0" collapsed="false">
      <c r="B1182" s="12" t="str">
        <f aca="false">IF(A1182="","",IFERROR(INDEX(Recipes!$B:$B,MATCH(A1182,Recipes!$A:$A,0)),"⚠ unknown recipe_id"))</f>
        <v/>
      </c>
      <c r="E1182" s="12" t="str">
        <f aca="false">IF(C1182="","",IFERROR(INDEX('Ingredient Catalog'!$C:$C,MATCH(C1182,'Ingredient Catalog'!$A:$A,0)),"⚠ not in catalog"))</f>
        <v/>
      </c>
      <c r="G1182" s="12" t="str">
        <f aca="false">IF(A1182="","",COUNTIFS('Weekly Log'!$A:$A,'Grocery List'!$B$3,'Weekly Log'!$C:$C,A1182,'Weekly Log'!$E:$E,"Yes"))</f>
        <v/>
      </c>
      <c r="H1182" s="12" t="str">
        <f aca="false">IF(OR(A1182="",D1182=""),"",D1182*G1182)</f>
        <v/>
      </c>
    </row>
    <row r="1183" customFormat="false" ht="15" hidden="false" customHeight="false" outlineLevel="0" collapsed="false">
      <c r="B1183" s="12" t="str">
        <f aca="false">IF(A1183="","",IFERROR(INDEX(Recipes!$B:$B,MATCH(A1183,Recipes!$A:$A,0)),"⚠ unknown recipe_id"))</f>
        <v/>
      </c>
      <c r="E1183" s="12" t="str">
        <f aca="false">IF(C1183="","",IFERROR(INDEX('Ingredient Catalog'!$C:$C,MATCH(C1183,'Ingredient Catalog'!$A:$A,0)),"⚠ not in catalog"))</f>
        <v/>
      </c>
      <c r="G1183" s="12" t="str">
        <f aca="false">IF(A1183="","",COUNTIFS('Weekly Log'!$A:$A,'Grocery List'!$B$3,'Weekly Log'!$C:$C,A1183,'Weekly Log'!$E:$E,"Yes"))</f>
        <v/>
      </c>
      <c r="H1183" s="12" t="str">
        <f aca="false">IF(OR(A1183="",D1183=""),"",D1183*G1183)</f>
        <v/>
      </c>
    </row>
    <row r="1184" customFormat="false" ht="15" hidden="false" customHeight="false" outlineLevel="0" collapsed="false">
      <c r="B1184" s="12" t="str">
        <f aca="false">IF(A1184="","",IFERROR(INDEX(Recipes!$B:$B,MATCH(A1184,Recipes!$A:$A,0)),"⚠ unknown recipe_id"))</f>
        <v/>
      </c>
      <c r="E1184" s="12" t="str">
        <f aca="false">IF(C1184="","",IFERROR(INDEX('Ingredient Catalog'!$C:$C,MATCH(C1184,'Ingredient Catalog'!$A:$A,0)),"⚠ not in catalog"))</f>
        <v/>
      </c>
      <c r="G1184" s="12" t="str">
        <f aca="false">IF(A1184="","",COUNTIFS('Weekly Log'!$A:$A,'Grocery List'!$B$3,'Weekly Log'!$C:$C,A1184,'Weekly Log'!$E:$E,"Yes"))</f>
        <v/>
      </c>
      <c r="H1184" s="12" t="str">
        <f aca="false">IF(OR(A1184="",D1184=""),"",D1184*G1184)</f>
        <v/>
      </c>
    </row>
    <row r="1185" customFormat="false" ht="15" hidden="false" customHeight="false" outlineLevel="0" collapsed="false">
      <c r="B1185" s="12" t="str">
        <f aca="false">IF(A1185="","",IFERROR(INDEX(Recipes!$B:$B,MATCH(A1185,Recipes!$A:$A,0)),"⚠ unknown recipe_id"))</f>
        <v/>
      </c>
      <c r="E1185" s="12" t="str">
        <f aca="false">IF(C1185="","",IFERROR(INDEX('Ingredient Catalog'!$C:$C,MATCH(C1185,'Ingredient Catalog'!$A:$A,0)),"⚠ not in catalog"))</f>
        <v/>
      </c>
      <c r="G1185" s="12" t="str">
        <f aca="false">IF(A1185="","",COUNTIFS('Weekly Log'!$A:$A,'Grocery List'!$B$3,'Weekly Log'!$C:$C,A1185,'Weekly Log'!$E:$E,"Yes"))</f>
        <v/>
      </c>
      <c r="H1185" s="12" t="str">
        <f aca="false">IF(OR(A1185="",D1185=""),"",D1185*G1185)</f>
        <v/>
      </c>
    </row>
    <row r="1186" customFormat="false" ht="15" hidden="false" customHeight="false" outlineLevel="0" collapsed="false">
      <c r="B1186" s="12" t="str">
        <f aca="false">IF(A1186="","",IFERROR(INDEX(Recipes!$B:$B,MATCH(A1186,Recipes!$A:$A,0)),"⚠ unknown recipe_id"))</f>
        <v/>
      </c>
      <c r="E1186" s="12" t="str">
        <f aca="false">IF(C1186="","",IFERROR(INDEX('Ingredient Catalog'!$C:$C,MATCH(C1186,'Ingredient Catalog'!$A:$A,0)),"⚠ not in catalog"))</f>
        <v/>
      </c>
      <c r="G1186" s="12" t="str">
        <f aca="false">IF(A1186="","",COUNTIFS('Weekly Log'!$A:$A,'Grocery List'!$B$3,'Weekly Log'!$C:$C,A1186,'Weekly Log'!$E:$E,"Yes"))</f>
        <v/>
      </c>
      <c r="H1186" s="12" t="str">
        <f aca="false">IF(OR(A1186="",D1186=""),"",D1186*G1186)</f>
        <v/>
      </c>
    </row>
    <row r="1187" customFormat="false" ht="15" hidden="false" customHeight="false" outlineLevel="0" collapsed="false">
      <c r="B1187" s="12" t="str">
        <f aca="false">IF(A1187="","",IFERROR(INDEX(Recipes!$B:$B,MATCH(A1187,Recipes!$A:$A,0)),"⚠ unknown recipe_id"))</f>
        <v/>
      </c>
      <c r="E1187" s="12" t="str">
        <f aca="false">IF(C1187="","",IFERROR(INDEX('Ingredient Catalog'!$C:$C,MATCH(C1187,'Ingredient Catalog'!$A:$A,0)),"⚠ not in catalog"))</f>
        <v/>
      </c>
      <c r="G1187" s="12" t="str">
        <f aca="false">IF(A1187="","",COUNTIFS('Weekly Log'!$A:$A,'Grocery List'!$B$3,'Weekly Log'!$C:$C,A1187,'Weekly Log'!$E:$E,"Yes"))</f>
        <v/>
      </c>
      <c r="H1187" s="12" t="str">
        <f aca="false">IF(OR(A1187="",D1187=""),"",D1187*G1187)</f>
        <v/>
      </c>
    </row>
    <row r="1188" customFormat="false" ht="15" hidden="false" customHeight="false" outlineLevel="0" collapsed="false">
      <c r="B1188" s="12" t="str">
        <f aca="false">IF(A1188="","",IFERROR(INDEX(Recipes!$B:$B,MATCH(A1188,Recipes!$A:$A,0)),"⚠ unknown recipe_id"))</f>
        <v/>
      </c>
      <c r="E1188" s="12" t="str">
        <f aca="false">IF(C1188="","",IFERROR(INDEX('Ingredient Catalog'!$C:$C,MATCH(C1188,'Ingredient Catalog'!$A:$A,0)),"⚠ not in catalog"))</f>
        <v/>
      </c>
      <c r="G1188" s="12" t="str">
        <f aca="false">IF(A1188="","",COUNTIFS('Weekly Log'!$A:$A,'Grocery List'!$B$3,'Weekly Log'!$C:$C,A1188,'Weekly Log'!$E:$E,"Yes"))</f>
        <v/>
      </c>
      <c r="H1188" s="12" t="str">
        <f aca="false">IF(OR(A1188="",D1188=""),"",D1188*G1188)</f>
        <v/>
      </c>
    </row>
    <row r="1189" customFormat="false" ht="15" hidden="false" customHeight="false" outlineLevel="0" collapsed="false">
      <c r="B1189" s="12" t="str">
        <f aca="false">IF(A1189="","",IFERROR(INDEX(Recipes!$B:$B,MATCH(A1189,Recipes!$A:$A,0)),"⚠ unknown recipe_id"))</f>
        <v/>
      </c>
      <c r="E1189" s="12" t="str">
        <f aca="false">IF(C1189="","",IFERROR(INDEX('Ingredient Catalog'!$C:$C,MATCH(C1189,'Ingredient Catalog'!$A:$A,0)),"⚠ not in catalog"))</f>
        <v/>
      </c>
      <c r="G1189" s="12" t="str">
        <f aca="false">IF(A1189="","",COUNTIFS('Weekly Log'!$A:$A,'Grocery List'!$B$3,'Weekly Log'!$C:$C,A1189,'Weekly Log'!$E:$E,"Yes"))</f>
        <v/>
      </c>
      <c r="H1189" s="12" t="str">
        <f aca="false">IF(OR(A1189="",D1189=""),"",D1189*G1189)</f>
        <v/>
      </c>
    </row>
    <row r="1190" customFormat="false" ht="15" hidden="false" customHeight="false" outlineLevel="0" collapsed="false">
      <c r="B1190" s="12" t="str">
        <f aca="false">IF(A1190="","",IFERROR(INDEX(Recipes!$B:$B,MATCH(A1190,Recipes!$A:$A,0)),"⚠ unknown recipe_id"))</f>
        <v/>
      </c>
      <c r="E1190" s="12" t="str">
        <f aca="false">IF(C1190="","",IFERROR(INDEX('Ingredient Catalog'!$C:$C,MATCH(C1190,'Ingredient Catalog'!$A:$A,0)),"⚠ not in catalog"))</f>
        <v/>
      </c>
      <c r="G1190" s="12" t="str">
        <f aca="false">IF(A1190="","",COUNTIFS('Weekly Log'!$A:$A,'Grocery List'!$B$3,'Weekly Log'!$C:$C,A1190,'Weekly Log'!$E:$E,"Yes"))</f>
        <v/>
      </c>
      <c r="H1190" s="12" t="str">
        <f aca="false">IF(OR(A1190="",D1190=""),"",D1190*G1190)</f>
        <v/>
      </c>
    </row>
    <row r="1191" customFormat="false" ht="15" hidden="false" customHeight="false" outlineLevel="0" collapsed="false">
      <c r="B1191" s="12" t="str">
        <f aca="false">IF(A1191="","",IFERROR(INDEX(Recipes!$B:$B,MATCH(A1191,Recipes!$A:$A,0)),"⚠ unknown recipe_id"))</f>
        <v/>
      </c>
      <c r="E1191" s="12" t="str">
        <f aca="false">IF(C1191="","",IFERROR(INDEX('Ingredient Catalog'!$C:$C,MATCH(C1191,'Ingredient Catalog'!$A:$A,0)),"⚠ not in catalog"))</f>
        <v/>
      </c>
      <c r="G1191" s="12" t="str">
        <f aca="false">IF(A1191="","",COUNTIFS('Weekly Log'!$A:$A,'Grocery List'!$B$3,'Weekly Log'!$C:$C,A1191,'Weekly Log'!$E:$E,"Yes"))</f>
        <v/>
      </c>
      <c r="H1191" s="12" t="str">
        <f aca="false">IF(OR(A1191="",D1191=""),"",D1191*G1191)</f>
        <v/>
      </c>
    </row>
    <row r="1192" customFormat="false" ht="15" hidden="false" customHeight="false" outlineLevel="0" collapsed="false">
      <c r="B1192" s="12" t="str">
        <f aca="false">IF(A1192="","",IFERROR(INDEX(Recipes!$B:$B,MATCH(A1192,Recipes!$A:$A,0)),"⚠ unknown recipe_id"))</f>
        <v/>
      </c>
      <c r="E1192" s="12" t="str">
        <f aca="false">IF(C1192="","",IFERROR(INDEX('Ingredient Catalog'!$C:$C,MATCH(C1192,'Ingredient Catalog'!$A:$A,0)),"⚠ not in catalog"))</f>
        <v/>
      </c>
      <c r="G1192" s="12" t="str">
        <f aca="false">IF(A1192="","",COUNTIFS('Weekly Log'!$A:$A,'Grocery List'!$B$3,'Weekly Log'!$C:$C,A1192,'Weekly Log'!$E:$E,"Yes"))</f>
        <v/>
      </c>
      <c r="H1192" s="12" t="str">
        <f aca="false">IF(OR(A1192="",D1192=""),"",D1192*G1192)</f>
        <v/>
      </c>
    </row>
    <row r="1193" customFormat="false" ht="15" hidden="false" customHeight="false" outlineLevel="0" collapsed="false">
      <c r="B1193" s="12" t="str">
        <f aca="false">IF(A1193="","",IFERROR(INDEX(Recipes!$B:$B,MATCH(A1193,Recipes!$A:$A,0)),"⚠ unknown recipe_id"))</f>
        <v/>
      </c>
      <c r="E1193" s="12" t="str">
        <f aca="false">IF(C1193="","",IFERROR(INDEX('Ingredient Catalog'!$C:$C,MATCH(C1193,'Ingredient Catalog'!$A:$A,0)),"⚠ not in catalog"))</f>
        <v/>
      </c>
      <c r="G1193" s="12" t="str">
        <f aca="false">IF(A1193="","",COUNTIFS('Weekly Log'!$A:$A,'Grocery List'!$B$3,'Weekly Log'!$C:$C,A1193,'Weekly Log'!$E:$E,"Yes"))</f>
        <v/>
      </c>
      <c r="H1193" s="12" t="str">
        <f aca="false">IF(OR(A1193="",D1193=""),"",D1193*G1193)</f>
        <v/>
      </c>
    </row>
    <row r="1194" customFormat="false" ht="15" hidden="false" customHeight="false" outlineLevel="0" collapsed="false">
      <c r="B1194" s="12" t="str">
        <f aca="false">IF(A1194="","",IFERROR(INDEX(Recipes!$B:$B,MATCH(A1194,Recipes!$A:$A,0)),"⚠ unknown recipe_id"))</f>
        <v/>
      </c>
      <c r="E1194" s="12" t="str">
        <f aca="false">IF(C1194="","",IFERROR(INDEX('Ingredient Catalog'!$C:$C,MATCH(C1194,'Ingredient Catalog'!$A:$A,0)),"⚠ not in catalog"))</f>
        <v/>
      </c>
      <c r="G1194" s="12" t="str">
        <f aca="false">IF(A1194="","",COUNTIFS('Weekly Log'!$A:$A,'Grocery List'!$B$3,'Weekly Log'!$C:$C,A1194,'Weekly Log'!$E:$E,"Yes"))</f>
        <v/>
      </c>
      <c r="H1194" s="12" t="str">
        <f aca="false">IF(OR(A1194="",D1194=""),"",D1194*G1194)</f>
        <v/>
      </c>
    </row>
    <row r="1195" customFormat="false" ht="15" hidden="false" customHeight="false" outlineLevel="0" collapsed="false">
      <c r="B1195" s="12" t="str">
        <f aca="false">IF(A1195="","",IFERROR(INDEX(Recipes!$B:$B,MATCH(A1195,Recipes!$A:$A,0)),"⚠ unknown recipe_id"))</f>
        <v/>
      </c>
      <c r="E1195" s="12" t="str">
        <f aca="false">IF(C1195="","",IFERROR(INDEX('Ingredient Catalog'!$C:$C,MATCH(C1195,'Ingredient Catalog'!$A:$A,0)),"⚠ not in catalog"))</f>
        <v/>
      </c>
      <c r="G1195" s="12" t="str">
        <f aca="false">IF(A1195="","",COUNTIFS('Weekly Log'!$A:$A,'Grocery List'!$B$3,'Weekly Log'!$C:$C,A1195,'Weekly Log'!$E:$E,"Yes"))</f>
        <v/>
      </c>
      <c r="H1195" s="12" t="str">
        <f aca="false">IF(OR(A1195="",D1195=""),"",D1195*G1195)</f>
        <v/>
      </c>
    </row>
    <row r="1196" customFormat="false" ht="15" hidden="false" customHeight="false" outlineLevel="0" collapsed="false">
      <c r="B1196" s="12" t="str">
        <f aca="false">IF(A1196="","",IFERROR(INDEX(Recipes!$B:$B,MATCH(A1196,Recipes!$A:$A,0)),"⚠ unknown recipe_id"))</f>
        <v/>
      </c>
      <c r="E1196" s="12" t="str">
        <f aca="false">IF(C1196="","",IFERROR(INDEX('Ingredient Catalog'!$C:$C,MATCH(C1196,'Ingredient Catalog'!$A:$A,0)),"⚠ not in catalog"))</f>
        <v/>
      </c>
      <c r="G1196" s="12" t="str">
        <f aca="false">IF(A1196="","",COUNTIFS('Weekly Log'!$A:$A,'Grocery List'!$B$3,'Weekly Log'!$C:$C,A1196,'Weekly Log'!$E:$E,"Yes"))</f>
        <v/>
      </c>
      <c r="H1196" s="12" t="str">
        <f aca="false">IF(OR(A1196="",D1196=""),"",D1196*G1196)</f>
        <v/>
      </c>
    </row>
    <row r="1197" customFormat="false" ht="15" hidden="false" customHeight="false" outlineLevel="0" collapsed="false">
      <c r="B1197" s="12" t="str">
        <f aca="false">IF(A1197="","",IFERROR(INDEX(Recipes!$B:$B,MATCH(A1197,Recipes!$A:$A,0)),"⚠ unknown recipe_id"))</f>
        <v/>
      </c>
      <c r="E1197" s="12" t="str">
        <f aca="false">IF(C1197="","",IFERROR(INDEX('Ingredient Catalog'!$C:$C,MATCH(C1197,'Ingredient Catalog'!$A:$A,0)),"⚠ not in catalog"))</f>
        <v/>
      </c>
      <c r="G1197" s="12" t="str">
        <f aca="false">IF(A1197="","",COUNTIFS('Weekly Log'!$A:$A,'Grocery List'!$B$3,'Weekly Log'!$C:$C,A1197,'Weekly Log'!$E:$E,"Yes"))</f>
        <v/>
      </c>
      <c r="H1197" s="12" t="str">
        <f aca="false">IF(OR(A1197="",D1197=""),"",D1197*G1197)</f>
        <v/>
      </c>
    </row>
    <row r="1198" customFormat="false" ht="15" hidden="false" customHeight="false" outlineLevel="0" collapsed="false">
      <c r="B1198" s="12" t="str">
        <f aca="false">IF(A1198="","",IFERROR(INDEX(Recipes!$B:$B,MATCH(A1198,Recipes!$A:$A,0)),"⚠ unknown recipe_id"))</f>
        <v/>
      </c>
      <c r="E1198" s="12" t="str">
        <f aca="false">IF(C1198="","",IFERROR(INDEX('Ingredient Catalog'!$C:$C,MATCH(C1198,'Ingredient Catalog'!$A:$A,0)),"⚠ not in catalog"))</f>
        <v/>
      </c>
      <c r="G1198" s="12" t="str">
        <f aca="false">IF(A1198="","",COUNTIFS('Weekly Log'!$A:$A,'Grocery List'!$B$3,'Weekly Log'!$C:$C,A1198,'Weekly Log'!$E:$E,"Yes"))</f>
        <v/>
      </c>
      <c r="H1198" s="12" t="str">
        <f aca="false">IF(OR(A1198="",D1198=""),"",D1198*G1198)</f>
        <v/>
      </c>
    </row>
    <row r="1199" customFormat="false" ht="15" hidden="false" customHeight="false" outlineLevel="0" collapsed="false">
      <c r="B1199" s="12" t="str">
        <f aca="false">IF(A1199="","",IFERROR(INDEX(Recipes!$B:$B,MATCH(A1199,Recipes!$A:$A,0)),"⚠ unknown recipe_id"))</f>
        <v/>
      </c>
      <c r="E1199" s="12" t="str">
        <f aca="false">IF(C1199="","",IFERROR(INDEX('Ingredient Catalog'!$C:$C,MATCH(C1199,'Ingredient Catalog'!$A:$A,0)),"⚠ not in catalog"))</f>
        <v/>
      </c>
      <c r="G1199" s="12" t="str">
        <f aca="false">IF(A1199="","",COUNTIFS('Weekly Log'!$A:$A,'Grocery List'!$B$3,'Weekly Log'!$C:$C,A1199,'Weekly Log'!$E:$E,"Yes"))</f>
        <v/>
      </c>
      <c r="H1199" s="12" t="str">
        <f aca="false">IF(OR(A1199="",D1199=""),"",D1199*G1199)</f>
        <v/>
      </c>
    </row>
    <row r="1200" customFormat="false" ht="15" hidden="false" customHeight="false" outlineLevel="0" collapsed="false">
      <c r="B1200" s="12" t="str">
        <f aca="false">IF(A1200="","",IFERROR(INDEX(Recipes!$B:$B,MATCH(A1200,Recipes!$A:$A,0)),"⚠ unknown recipe_id"))</f>
        <v/>
      </c>
      <c r="E1200" s="12" t="str">
        <f aca="false">IF(C1200="","",IFERROR(INDEX('Ingredient Catalog'!$C:$C,MATCH(C1200,'Ingredient Catalog'!$A:$A,0)),"⚠ not in catalog"))</f>
        <v/>
      </c>
      <c r="G1200" s="12" t="str">
        <f aca="false">IF(A1200="","",COUNTIFS('Weekly Log'!$A:$A,'Grocery List'!$B$3,'Weekly Log'!$C:$C,A1200,'Weekly Log'!$E:$E,"Yes"))</f>
        <v/>
      </c>
      <c r="H1200" s="12" t="str">
        <f aca="false">IF(OR(A1200="",D1200=""),"",D1200*G1200)</f>
        <v/>
      </c>
    </row>
    <row r="1201" customFormat="false" ht="15" hidden="false" customHeight="false" outlineLevel="0" collapsed="false">
      <c r="B1201" s="12" t="str">
        <f aca="false">IF(A1201="","",IFERROR(INDEX(Recipes!$B:$B,MATCH(A1201,Recipes!$A:$A,0)),"⚠ unknown recipe_id"))</f>
        <v/>
      </c>
      <c r="E1201" s="12" t="str">
        <f aca="false">IF(C1201="","",IFERROR(INDEX('Ingredient Catalog'!$C:$C,MATCH(C1201,'Ingredient Catalog'!$A:$A,0)),"⚠ not in catalog"))</f>
        <v/>
      </c>
      <c r="G1201" s="12" t="str">
        <f aca="false">IF(A1201="","",COUNTIFS('Weekly Log'!$A:$A,'Grocery List'!$B$3,'Weekly Log'!$C:$C,A1201,'Weekly Log'!$E:$E,"Yes"))</f>
        <v/>
      </c>
      <c r="H1201" s="12" t="str">
        <f aca="false">IF(OR(A1201="",D1201=""),"",D1201*G1201)</f>
        <v/>
      </c>
    </row>
    <row r="1202" customFormat="false" ht="15" hidden="false" customHeight="false" outlineLevel="0" collapsed="false">
      <c r="B1202" s="12" t="str">
        <f aca="false">IF(A1202="","",IFERROR(INDEX(Recipes!$B:$B,MATCH(A1202,Recipes!$A:$A,0)),"⚠ unknown recipe_id"))</f>
        <v/>
      </c>
      <c r="E1202" s="12" t="str">
        <f aca="false">IF(C1202="","",IFERROR(INDEX('Ingredient Catalog'!$C:$C,MATCH(C1202,'Ingredient Catalog'!$A:$A,0)),"⚠ not in catalog"))</f>
        <v/>
      </c>
      <c r="G1202" s="12" t="str">
        <f aca="false">IF(A1202="","",COUNTIFS('Weekly Log'!$A:$A,'Grocery List'!$B$3,'Weekly Log'!$C:$C,A1202,'Weekly Log'!$E:$E,"Yes"))</f>
        <v/>
      </c>
      <c r="H1202" s="12" t="str">
        <f aca="false">IF(OR(A1202="",D1202=""),"",D1202*G1202)</f>
        <v/>
      </c>
    </row>
    <row r="1203" customFormat="false" ht="15" hidden="false" customHeight="false" outlineLevel="0" collapsed="false">
      <c r="B1203" s="12" t="str">
        <f aca="false">IF(A1203="","",IFERROR(INDEX(Recipes!$B:$B,MATCH(A1203,Recipes!$A:$A,0)),"⚠ unknown recipe_id"))</f>
        <v/>
      </c>
      <c r="E1203" s="12" t="str">
        <f aca="false">IF(C1203="","",IFERROR(INDEX('Ingredient Catalog'!$C:$C,MATCH(C1203,'Ingredient Catalog'!$A:$A,0)),"⚠ not in catalog"))</f>
        <v/>
      </c>
      <c r="G1203" s="12" t="str">
        <f aca="false">IF(A1203="","",COUNTIFS('Weekly Log'!$A:$A,'Grocery List'!$B$3,'Weekly Log'!$C:$C,A1203,'Weekly Log'!$E:$E,"Yes"))</f>
        <v/>
      </c>
      <c r="H1203" s="12" t="str">
        <f aca="false">IF(OR(A1203="",D1203=""),"",D1203*G1203)</f>
        <v/>
      </c>
    </row>
    <row r="1204" customFormat="false" ht="15" hidden="false" customHeight="false" outlineLevel="0" collapsed="false">
      <c r="B1204" s="12" t="str">
        <f aca="false">IF(A1204="","",IFERROR(INDEX(Recipes!$B:$B,MATCH(A1204,Recipes!$A:$A,0)),"⚠ unknown recipe_id"))</f>
        <v/>
      </c>
      <c r="E1204" s="12" t="str">
        <f aca="false">IF(C1204="","",IFERROR(INDEX('Ingredient Catalog'!$C:$C,MATCH(C1204,'Ingredient Catalog'!$A:$A,0)),"⚠ not in catalog"))</f>
        <v/>
      </c>
      <c r="G1204" s="12" t="str">
        <f aca="false">IF(A1204="","",COUNTIFS('Weekly Log'!$A:$A,'Grocery List'!$B$3,'Weekly Log'!$C:$C,A1204,'Weekly Log'!$E:$E,"Yes"))</f>
        <v/>
      </c>
      <c r="H1204" s="12" t="str">
        <f aca="false">IF(OR(A1204="",D1204=""),"",D1204*G1204)</f>
        <v/>
      </c>
    </row>
    <row r="1205" customFormat="false" ht="15" hidden="false" customHeight="false" outlineLevel="0" collapsed="false">
      <c r="B1205" s="12" t="str">
        <f aca="false">IF(A1205="","",IFERROR(INDEX(Recipes!$B:$B,MATCH(A1205,Recipes!$A:$A,0)),"⚠ unknown recipe_id"))</f>
        <v/>
      </c>
      <c r="E1205" s="12" t="str">
        <f aca="false">IF(C1205="","",IFERROR(INDEX('Ingredient Catalog'!$C:$C,MATCH(C1205,'Ingredient Catalog'!$A:$A,0)),"⚠ not in catalog"))</f>
        <v/>
      </c>
      <c r="G1205" s="12" t="str">
        <f aca="false">IF(A1205="","",COUNTIFS('Weekly Log'!$A:$A,'Grocery List'!$B$3,'Weekly Log'!$C:$C,A1205,'Weekly Log'!$E:$E,"Yes"))</f>
        <v/>
      </c>
      <c r="H1205" s="12" t="str">
        <f aca="false">IF(OR(A1205="",D1205=""),"",D1205*G1205)</f>
        <v/>
      </c>
    </row>
    <row r="1206" customFormat="false" ht="15" hidden="false" customHeight="false" outlineLevel="0" collapsed="false">
      <c r="B1206" s="12" t="str">
        <f aca="false">IF(A1206="","",IFERROR(INDEX(Recipes!$B:$B,MATCH(A1206,Recipes!$A:$A,0)),"⚠ unknown recipe_id"))</f>
        <v/>
      </c>
      <c r="E1206" s="12" t="str">
        <f aca="false">IF(C1206="","",IFERROR(INDEX('Ingredient Catalog'!$C:$C,MATCH(C1206,'Ingredient Catalog'!$A:$A,0)),"⚠ not in catalog"))</f>
        <v/>
      </c>
      <c r="G1206" s="12" t="str">
        <f aca="false">IF(A1206="","",COUNTIFS('Weekly Log'!$A:$A,'Grocery List'!$B$3,'Weekly Log'!$C:$C,A1206,'Weekly Log'!$E:$E,"Yes"))</f>
        <v/>
      </c>
      <c r="H1206" s="12" t="str">
        <f aca="false">IF(OR(A1206="",D1206=""),"",D1206*G1206)</f>
        <v/>
      </c>
    </row>
    <row r="1207" customFormat="false" ht="15" hidden="false" customHeight="false" outlineLevel="0" collapsed="false">
      <c r="B1207" s="12" t="str">
        <f aca="false">IF(A1207="","",IFERROR(INDEX(Recipes!$B:$B,MATCH(A1207,Recipes!$A:$A,0)),"⚠ unknown recipe_id"))</f>
        <v/>
      </c>
      <c r="E1207" s="12" t="str">
        <f aca="false">IF(C1207="","",IFERROR(INDEX('Ingredient Catalog'!$C:$C,MATCH(C1207,'Ingredient Catalog'!$A:$A,0)),"⚠ not in catalog"))</f>
        <v/>
      </c>
      <c r="G1207" s="12" t="str">
        <f aca="false">IF(A1207="","",COUNTIFS('Weekly Log'!$A:$A,'Grocery List'!$B$3,'Weekly Log'!$C:$C,A1207,'Weekly Log'!$E:$E,"Yes"))</f>
        <v/>
      </c>
      <c r="H1207" s="12" t="str">
        <f aca="false">IF(OR(A1207="",D1207=""),"",D1207*G1207)</f>
        <v/>
      </c>
    </row>
    <row r="1208" customFormat="false" ht="15" hidden="false" customHeight="false" outlineLevel="0" collapsed="false">
      <c r="B1208" s="12" t="str">
        <f aca="false">IF(A1208="","",IFERROR(INDEX(Recipes!$B:$B,MATCH(A1208,Recipes!$A:$A,0)),"⚠ unknown recipe_id"))</f>
        <v/>
      </c>
      <c r="E1208" s="12" t="str">
        <f aca="false">IF(C1208="","",IFERROR(INDEX('Ingredient Catalog'!$C:$C,MATCH(C1208,'Ingredient Catalog'!$A:$A,0)),"⚠ not in catalog"))</f>
        <v/>
      </c>
      <c r="G1208" s="12" t="str">
        <f aca="false">IF(A1208="","",COUNTIFS('Weekly Log'!$A:$A,'Grocery List'!$B$3,'Weekly Log'!$C:$C,A1208,'Weekly Log'!$E:$E,"Yes"))</f>
        <v/>
      </c>
      <c r="H1208" s="12" t="str">
        <f aca="false">IF(OR(A1208="",D1208=""),"",D1208*G1208)</f>
        <v/>
      </c>
    </row>
    <row r="1209" customFormat="false" ht="15" hidden="false" customHeight="false" outlineLevel="0" collapsed="false">
      <c r="B1209" s="12" t="str">
        <f aca="false">IF(A1209="","",IFERROR(INDEX(Recipes!$B:$B,MATCH(A1209,Recipes!$A:$A,0)),"⚠ unknown recipe_id"))</f>
        <v/>
      </c>
      <c r="E1209" s="12" t="str">
        <f aca="false">IF(C1209="","",IFERROR(INDEX('Ingredient Catalog'!$C:$C,MATCH(C1209,'Ingredient Catalog'!$A:$A,0)),"⚠ not in catalog"))</f>
        <v/>
      </c>
      <c r="G1209" s="12" t="str">
        <f aca="false">IF(A1209="","",COUNTIFS('Weekly Log'!$A:$A,'Grocery List'!$B$3,'Weekly Log'!$C:$C,A1209,'Weekly Log'!$E:$E,"Yes"))</f>
        <v/>
      </c>
      <c r="H1209" s="12" t="str">
        <f aca="false">IF(OR(A1209="",D1209=""),"",D1209*G1209)</f>
        <v/>
      </c>
    </row>
    <row r="1210" customFormat="false" ht="15" hidden="false" customHeight="false" outlineLevel="0" collapsed="false">
      <c r="B1210" s="12" t="str">
        <f aca="false">IF(A1210="","",IFERROR(INDEX(Recipes!$B:$B,MATCH(A1210,Recipes!$A:$A,0)),"⚠ unknown recipe_id"))</f>
        <v/>
      </c>
      <c r="E1210" s="12" t="str">
        <f aca="false">IF(C1210="","",IFERROR(INDEX('Ingredient Catalog'!$C:$C,MATCH(C1210,'Ingredient Catalog'!$A:$A,0)),"⚠ not in catalog"))</f>
        <v/>
      </c>
      <c r="G1210" s="12" t="str">
        <f aca="false">IF(A1210="","",COUNTIFS('Weekly Log'!$A:$A,'Grocery List'!$B$3,'Weekly Log'!$C:$C,A1210,'Weekly Log'!$E:$E,"Yes"))</f>
        <v/>
      </c>
      <c r="H1210" s="12" t="str">
        <f aca="false">IF(OR(A1210="",D1210=""),"",D1210*G1210)</f>
        <v/>
      </c>
    </row>
    <row r="1211" customFormat="false" ht="15" hidden="false" customHeight="false" outlineLevel="0" collapsed="false">
      <c r="B1211" s="12" t="str">
        <f aca="false">IF(A1211="","",IFERROR(INDEX(Recipes!$B:$B,MATCH(A1211,Recipes!$A:$A,0)),"⚠ unknown recipe_id"))</f>
        <v/>
      </c>
      <c r="E1211" s="12" t="str">
        <f aca="false">IF(C1211="","",IFERROR(INDEX('Ingredient Catalog'!$C:$C,MATCH(C1211,'Ingredient Catalog'!$A:$A,0)),"⚠ not in catalog"))</f>
        <v/>
      </c>
      <c r="G1211" s="12" t="str">
        <f aca="false">IF(A1211="","",COUNTIFS('Weekly Log'!$A:$A,'Grocery List'!$B$3,'Weekly Log'!$C:$C,A1211,'Weekly Log'!$E:$E,"Yes"))</f>
        <v/>
      </c>
      <c r="H1211" s="12" t="str">
        <f aca="false">IF(OR(A1211="",D1211=""),"",D1211*G1211)</f>
        <v/>
      </c>
    </row>
    <row r="1212" customFormat="false" ht="15" hidden="false" customHeight="false" outlineLevel="0" collapsed="false">
      <c r="B1212" s="12" t="str">
        <f aca="false">IF(A1212="","",IFERROR(INDEX(Recipes!$B:$B,MATCH(A1212,Recipes!$A:$A,0)),"⚠ unknown recipe_id"))</f>
        <v/>
      </c>
      <c r="E1212" s="12" t="str">
        <f aca="false">IF(C1212="","",IFERROR(INDEX('Ingredient Catalog'!$C:$C,MATCH(C1212,'Ingredient Catalog'!$A:$A,0)),"⚠ not in catalog"))</f>
        <v/>
      </c>
      <c r="G1212" s="12" t="str">
        <f aca="false">IF(A1212="","",COUNTIFS('Weekly Log'!$A:$A,'Grocery List'!$B$3,'Weekly Log'!$C:$C,A1212,'Weekly Log'!$E:$E,"Yes"))</f>
        <v/>
      </c>
      <c r="H1212" s="12" t="str">
        <f aca="false">IF(OR(A1212="",D1212=""),"",D1212*G1212)</f>
        <v/>
      </c>
    </row>
    <row r="1213" customFormat="false" ht="15" hidden="false" customHeight="false" outlineLevel="0" collapsed="false">
      <c r="B1213" s="12" t="str">
        <f aca="false">IF(A1213="","",IFERROR(INDEX(Recipes!$B:$B,MATCH(A1213,Recipes!$A:$A,0)),"⚠ unknown recipe_id"))</f>
        <v/>
      </c>
      <c r="E1213" s="12" t="str">
        <f aca="false">IF(C1213="","",IFERROR(INDEX('Ingredient Catalog'!$C:$C,MATCH(C1213,'Ingredient Catalog'!$A:$A,0)),"⚠ not in catalog"))</f>
        <v/>
      </c>
      <c r="G1213" s="12" t="str">
        <f aca="false">IF(A1213="","",COUNTIFS('Weekly Log'!$A:$A,'Grocery List'!$B$3,'Weekly Log'!$C:$C,A1213,'Weekly Log'!$E:$E,"Yes"))</f>
        <v/>
      </c>
      <c r="H1213" s="12" t="str">
        <f aca="false">IF(OR(A1213="",D1213=""),"",D1213*G1213)</f>
        <v/>
      </c>
    </row>
    <row r="1214" customFormat="false" ht="15" hidden="false" customHeight="false" outlineLevel="0" collapsed="false">
      <c r="B1214" s="12" t="str">
        <f aca="false">IF(A1214="","",IFERROR(INDEX(Recipes!$B:$B,MATCH(A1214,Recipes!$A:$A,0)),"⚠ unknown recipe_id"))</f>
        <v/>
      </c>
      <c r="E1214" s="12" t="str">
        <f aca="false">IF(C1214="","",IFERROR(INDEX('Ingredient Catalog'!$C:$C,MATCH(C1214,'Ingredient Catalog'!$A:$A,0)),"⚠ not in catalog"))</f>
        <v/>
      </c>
      <c r="G1214" s="12" t="str">
        <f aca="false">IF(A1214="","",COUNTIFS('Weekly Log'!$A:$A,'Grocery List'!$B$3,'Weekly Log'!$C:$C,A1214,'Weekly Log'!$E:$E,"Yes"))</f>
        <v/>
      </c>
      <c r="H1214" s="12" t="str">
        <f aca="false">IF(OR(A1214="",D1214=""),"",D1214*G1214)</f>
        <v/>
      </c>
    </row>
    <row r="1215" customFormat="false" ht="15" hidden="false" customHeight="false" outlineLevel="0" collapsed="false">
      <c r="B1215" s="12" t="str">
        <f aca="false">IF(A1215="","",IFERROR(INDEX(Recipes!$B:$B,MATCH(A1215,Recipes!$A:$A,0)),"⚠ unknown recipe_id"))</f>
        <v/>
      </c>
      <c r="E1215" s="12" t="str">
        <f aca="false">IF(C1215="","",IFERROR(INDEX('Ingredient Catalog'!$C:$C,MATCH(C1215,'Ingredient Catalog'!$A:$A,0)),"⚠ not in catalog"))</f>
        <v/>
      </c>
      <c r="G1215" s="12" t="str">
        <f aca="false">IF(A1215="","",COUNTIFS('Weekly Log'!$A:$A,'Grocery List'!$B$3,'Weekly Log'!$C:$C,A1215,'Weekly Log'!$E:$E,"Yes"))</f>
        <v/>
      </c>
      <c r="H1215" s="12" t="str">
        <f aca="false">IF(OR(A1215="",D1215=""),"",D1215*G1215)</f>
        <v/>
      </c>
    </row>
    <row r="1216" customFormat="false" ht="15" hidden="false" customHeight="false" outlineLevel="0" collapsed="false">
      <c r="B1216" s="12" t="str">
        <f aca="false">IF(A1216="","",IFERROR(INDEX(Recipes!$B:$B,MATCH(A1216,Recipes!$A:$A,0)),"⚠ unknown recipe_id"))</f>
        <v/>
      </c>
      <c r="E1216" s="12" t="str">
        <f aca="false">IF(C1216="","",IFERROR(INDEX('Ingredient Catalog'!$C:$C,MATCH(C1216,'Ingredient Catalog'!$A:$A,0)),"⚠ not in catalog"))</f>
        <v/>
      </c>
      <c r="G1216" s="12" t="str">
        <f aca="false">IF(A1216="","",COUNTIFS('Weekly Log'!$A:$A,'Grocery List'!$B$3,'Weekly Log'!$C:$C,A1216,'Weekly Log'!$E:$E,"Yes"))</f>
        <v/>
      </c>
      <c r="H1216" s="12" t="str">
        <f aca="false">IF(OR(A1216="",D1216=""),"",D1216*G1216)</f>
        <v/>
      </c>
    </row>
    <row r="1217" customFormat="false" ht="15" hidden="false" customHeight="false" outlineLevel="0" collapsed="false">
      <c r="B1217" s="12" t="str">
        <f aca="false">IF(A1217="","",IFERROR(INDEX(Recipes!$B:$B,MATCH(A1217,Recipes!$A:$A,0)),"⚠ unknown recipe_id"))</f>
        <v/>
      </c>
      <c r="E1217" s="12" t="str">
        <f aca="false">IF(C1217="","",IFERROR(INDEX('Ingredient Catalog'!$C:$C,MATCH(C1217,'Ingredient Catalog'!$A:$A,0)),"⚠ not in catalog"))</f>
        <v/>
      </c>
      <c r="G1217" s="12" t="str">
        <f aca="false">IF(A1217="","",COUNTIFS('Weekly Log'!$A:$A,'Grocery List'!$B$3,'Weekly Log'!$C:$C,A1217,'Weekly Log'!$E:$E,"Yes"))</f>
        <v/>
      </c>
      <c r="H1217" s="12" t="str">
        <f aca="false">IF(OR(A1217="",D1217=""),"",D1217*G1217)</f>
        <v/>
      </c>
    </row>
    <row r="1218" customFormat="false" ht="15" hidden="false" customHeight="false" outlineLevel="0" collapsed="false">
      <c r="B1218" s="12" t="str">
        <f aca="false">IF(A1218="","",IFERROR(INDEX(Recipes!$B:$B,MATCH(A1218,Recipes!$A:$A,0)),"⚠ unknown recipe_id"))</f>
        <v/>
      </c>
      <c r="E1218" s="12" t="str">
        <f aca="false">IF(C1218="","",IFERROR(INDEX('Ingredient Catalog'!$C:$C,MATCH(C1218,'Ingredient Catalog'!$A:$A,0)),"⚠ not in catalog"))</f>
        <v/>
      </c>
      <c r="G1218" s="12" t="str">
        <f aca="false">IF(A1218="","",COUNTIFS('Weekly Log'!$A:$A,'Grocery List'!$B$3,'Weekly Log'!$C:$C,A1218,'Weekly Log'!$E:$E,"Yes"))</f>
        <v/>
      </c>
      <c r="H1218" s="12" t="str">
        <f aca="false">IF(OR(A1218="",D1218=""),"",D1218*G1218)</f>
        <v/>
      </c>
    </row>
    <row r="1219" customFormat="false" ht="15" hidden="false" customHeight="false" outlineLevel="0" collapsed="false">
      <c r="B1219" s="12" t="str">
        <f aca="false">IF(A1219="","",IFERROR(INDEX(Recipes!$B:$B,MATCH(A1219,Recipes!$A:$A,0)),"⚠ unknown recipe_id"))</f>
        <v/>
      </c>
      <c r="E1219" s="12" t="str">
        <f aca="false">IF(C1219="","",IFERROR(INDEX('Ingredient Catalog'!$C:$C,MATCH(C1219,'Ingredient Catalog'!$A:$A,0)),"⚠ not in catalog"))</f>
        <v/>
      </c>
      <c r="G1219" s="12" t="str">
        <f aca="false">IF(A1219="","",COUNTIFS('Weekly Log'!$A:$A,'Grocery List'!$B$3,'Weekly Log'!$C:$C,A1219,'Weekly Log'!$E:$E,"Yes"))</f>
        <v/>
      </c>
      <c r="H1219" s="12" t="str">
        <f aca="false">IF(OR(A1219="",D1219=""),"",D1219*G1219)</f>
        <v/>
      </c>
    </row>
    <row r="1220" customFormat="false" ht="15" hidden="false" customHeight="false" outlineLevel="0" collapsed="false">
      <c r="B1220" s="12" t="str">
        <f aca="false">IF(A1220="","",IFERROR(INDEX(Recipes!$B:$B,MATCH(A1220,Recipes!$A:$A,0)),"⚠ unknown recipe_id"))</f>
        <v/>
      </c>
      <c r="E1220" s="12" t="str">
        <f aca="false">IF(C1220="","",IFERROR(INDEX('Ingredient Catalog'!$C:$C,MATCH(C1220,'Ingredient Catalog'!$A:$A,0)),"⚠ not in catalog"))</f>
        <v/>
      </c>
      <c r="G1220" s="12" t="str">
        <f aca="false">IF(A1220="","",COUNTIFS('Weekly Log'!$A:$A,'Grocery List'!$B$3,'Weekly Log'!$C:$C,A1220,'Weekly Log'!$E:$E,"Yes"))</f>
        <v/>
      </c>
      <c r="H1220" s="12" t="str">
        <f aca="false">IF(OR(A1220="",D1220=""),"",D1220*G1220)</f>
        <v/>
      </c>
    </row>
    <row r="1221" customFormat="false" ht="15" hidden="false" customHeight="false" outlineLevel="0" collapsed="false">
      <c r="B1221" s="12" t="str">
        <f aca="false">IF(A1221="","",IFERROR(INDEX(Recipes!$B:$B,MATCH(A1221,Recipes!$A:$A,0)),"⚠ unknown recipe_id"))</f>
        <v/>
      </c>
      <c r="E1221" s="12" t="str">
        <f aca="false">IF(C1221="","",IFERROR(INDEX('Ingredient Catalog'!$C:$C,MATCH(C1221,'Ingredient Catalog'!$A:$A,0)),"⚠ not in catalog"))</f>
        <v/>
      </c>
      <c r="G1221" s="12" t="str">
        <f aca="false">IF(A1221="","",COUNTIFS('Weekly Log'!$A:$A,'Grocery List'!$B$3,'Weekly Log'!$C:$C,A1221,'Weekly Log'!$E:$E,"Yes"))</f>
        <v/>
      </c>
      <c r="H1221" s="12" t="str">
        <f aca="false">IF(OR(A1221="",D1221=""),"",D1221*G1221)</f>
        <v/>
      </c>
    </row>
    <row r="1222" customFormat="false" ht="15" hidden="false" customHeight="false" outlineLevel="0" collapsed="false">
      <c r="B1222" s="12" t="str">
        <f aca="false">IF(A1222="","",IFERROR(INDEX(Recipes!$B:$B,MATCH(A1222,Recipes!$A:$A,0)),"⚠ unknown recipe_id"))</f>
        <v/>
      </c>
      <c r="E1222" s="12" t="str">
        <f aca="false">IF(C1222="","",IFERROR(INDEX('Ingredient Catalog'!$C:$C,MATCH(C1222,'Ingredient Catalog'!$A:$A,0)),"⚠ not in catalog"))</f>
        <v/>
      </c>
      <c r="G1222" s="12" t="str">
        <f aca="false">IF(A1222="","",COUNTIFS('Weekly Log'!$A:$A,'Grocery List'!$B$3,'Weekly Log'!$C:$C,A1222,'Weekly Log'!$E:$E,"Yes"))</f>
        <v/>
      </c>
      <c r="H1222" s="12" t="str">
        <f aca="false">IF(OR(A1222="",D1222=""),"",D1222*G1222)</f>
        <v/>
      </c>
    </row>
    <row r="1223" customFormat="false" ht="15" hidden="false" customHeight="false" outlineLevel="0" collapsed="false">
      <c r="B1223" s="12" t="str">
        <f aca="false">IF(A1223="","",IFERROR(INDEX(Recipes!$B:$B,MATCH(A1223,Recipes!$A:$A,0)),"⚠ unknown recipe_id"))</f>
        <v/>
      </c>
      <c r="E1223" s="12" t="str">
        <f aca="false">IF(C1223="","",IFERROR(INDEX('Ingredient Catalog'!$C:$C,MATCH(C1223,'Ingredient Catalog'!$A:$A,0)),"⚠ not in catalog"))</f>
        <v/>
      </c>
      <c r="G1223" s="12" t="str">
        <f aca="false">IF(A1223="","",COUNTIFS('Weekly Log'!$A:$A,'Grocery List'!$B$3,'Weekly Log'!$C:$C,A1223,'Weekly Log'!$E:$E,"Yes"))</f>
        <v/>
      </c>
      <c r="H1223" s="12" t="str">
        <f aca="false">IF(OR(A1223="",D1223=""),"",D1223*G1223)</f>
        <v/>
      </c>
    </row>
    <row r="1224" customFormat="false" ht="15" hidden="false" customHeight="false" outlineLevel="0" collapsed="false">
      <c r="B1224" s="12" t="str">
        <f aca="false">IF(A1224="","",IFERROR(INDEX(Recipes!$B:$B,MATCH(A1224,Recipes!$A:$A,0)),"⚠ unknown recipe_id"))</f>
        <v/>
      </c>
      <c r="E1224" s="12" t="str">
        <f aca="false">IF(C1224="","",IFERROR(INDEX('Ingredient Catalog'!$C:$C,MATCH(C1224,'Ingredient Catalog'!$A:$A,0)),"⚠ not in catalog"))</f>
        <v/>
      </c>
      <c r="G1224" s="12" t="str">
        <f aca="false">IF(A1224="","",COUNTIFS('Weekly Log'!$A:$A,'Grocery List'!$B$3,'Weekly Log'!$C:$C,A1224,'Weekly Log'!$E:$E,"Yes"))</f>
        <v/>
      </c>
      <c r="H1224" s="12" t="str">
        <f aca="false">IF(OR(A1224="",D1224=""),"",D1224*G1224)</f>
        <v/>
      </c>
    </row>
    <row r="1225" customFormat="false" ht="15" hidden="false" customHeight="false" outlineLevel="0" collapsed="false">
      <c r="B1225" s="12" t="str">
        <f aca="false">IF(A1225="","",IFERROR(INDEX(Recipes!$B:$B,MATCH(A1225,Recipes!$A:$A,0)),"⚠ unknown recipe_id"))</f>
        <v/>
      </c>
      <c r="E1225" s="12" t="str">
        <f aca="false">IF(C1225="","",IFERROR(INDEX('Ingredient Catalog'!$C:$C,MATCH(C1225,'Ingredient Catalog'!$A:$A,0)),"⚠ not in catalog"))</f>
        <v/>
      </c>
      <c r="G1225" s="12" t="str">
        <f aca="false">IF(A1225="","",COUNTIFS('Weekly Log'!$A:$A,'Grocery List'!$B$3,'Weekly Log'!$C:$C,A1225,'Weekly Log'!$E:$E,"Yes"))</f>
        <v/>
      </c>
      <c r="H1225" s="12" t="str">
        <f aca="false">IF(OR(A1225="",D1225=""),"",D1225*G1225)</f>
        <v/>
      </c>
    </row>
    <row r="1226" customFormat="false" ht="15" hidden="false" customHeight="false" outlineLevel="0" collapsed="false">
      <c r="B1226" s="12" t="str">
        <f aca="false">IF(A1226="","",IFERROR(INDEX(Recipes!$B:$B,MATCH(A1226,Recipes!$A:$A,0)),"⚠ unknown recipe_id"))</f>
        <v/>
      </c>
      <c r="E1226" s="12" t="str">
        <f aca="false">IF(C1226="","",IFERROR(INDEX('Ingredient Catalog'!$C:$C,MATCH(C1226,'Ingredient Catalog'!$A:$A,0)),"⚠ not in catalog"))</f>
        <v/>
      </c>
      <c r="G1226" s="12" t="str">
        <f aca="false">IF(A1226="","",COUNTIFS('Weekly Log'!$A:$A,'Grocery List'!$B$3,'Weekly Log'!$C:$C,A1226,'Weekly Log'!$E:$E,"Yes"))</f>
        <v/>
      </c>
      <c r="H1226" s="12" t="str">
        <f aca="false">IF(OR(A1226="",D1226=""),"",D1226*G1226)</f>
        <v/>
      </c>
    </row>
    <row r="1227" customFormat="false" ht="15" hidden="false" customHeight="false" outlineLevel="0" collapsed="false">
      <c r="B1227" s="12" t="str">
        <f aca="false">IF(A1227="","",IFERROR(INDEX(Recipes!$B:$B,MATCH(A1227,Recipes!$A:$A,0)),"⚠ unknown recipe_id"))</f>
        <v/>
      </c>
      <c r="E1227" s="12" t="str">
        <f aca="false">IF(C1227="","",IFERROR(INDEX('Ingredient Catalog'!$C:$C,MATCH(C1227,'Ingredient Catalog'!$A:$A,0)),"⚠ not in catalog"))</f>
        <v/>
      </c>
      <c r="G1227" s="12" t="str">
        <f aca="false">IF(A1227="","",COUNTIFS('Weekly Log'!$A:$A,'Grocery List'!$B$3,'Weekly Log'!$C:$C,A1227,'Weekly Log'!$E:$E,"Yes"))</f>
        <v/>
      </c>
      <c r="H1227" s="12" t="str">
        <f aca="false">IF(OR(A1227="",D1227=""),"",D1227*G1227)</f>
        <v/>
      </c>
    </row>
    <row r="1228" customFormat="false" ht="15" hidden="false" customHeight="false" outlineLevel="0" collapsed="false">
      <c r="B1228" s="12" t="str">
        <f aca="false">IF(A1228="","",IFERROR(INDEX(Recipes!$B:$B,MATCH(A1228,Recipes!$A:$A,0)),"⚠ unknown recipe_id"))</f>
        <v/>
      </c>
      <c r="E1228" s="12" t="str">
        <f aca="false">IF(C1228="","",IFERROR(INDEX('Ingredient Catalog'!$C:$C,MATCH(C1228,'Ingredient Catalog'!$A:$A,0)),"⚠ not in catalog"))</f>
        <v/>
      </c>
      <c r="G1228" s="12" t="str">
        <f aca="false">IF(A1228="","",COUNTIFS('Weekly Log'!$A:$A,'Grocery List'!$B$3,'Weekly Log'!$C:$C,A1228,'Weekly Log'!$E:$E,"Yes"))</f>
        <v/>
      </c>
      <c r="H1228" s="12" t="str">
        <f aca="false">IF(OR(A1228="",D1228=""),"",D1228*G1228)</f>
        <v/>
      </c>
    </row>
    <row r="1229" customFormat="false" ht="15" hidden="false" customHeight="false" outlineLevel="0" collapsed="false">
      <c r="B1229" s="12" t="str">
        <f aca="false">IF(A1229="","",IFERROR(INDEX(Recipes!$B:$B,MATCH(A1229,Recipes!$A:$A,0)),"⚠ unknown recipe_id"))</f>
        <v/>
      </c>
      <c r="E1229" s="12" t="str">
        <f aca="false">IF(C1229="","",IFERROR(INDEX('Ingredient Catalog'!$C:$C,MATCH(C1229,'Ingredient Catalog'!$A:$A,0)),"⚠ not in catalog"))</f>
        <v/>
      </c>
      <c r="G1229" s="12" t="str">
        <f aca="false">IF(A1229="","",COUNTIFS('Weekly Log'!$A:$A,'Grocery List'!$B$3,'Weekly Log'!$C:$C,A1229,'Weekly Log'!$E:$E,"Yes"))</f>
        <v/>
      </c>
      <c r="H1229" s="12" t="str">
        <f aca="false">IF(OR(A1229="",D1229=""),"",D1229*G1229)</f>
        <v/>
      </c>
    </row>
    <row r="1230" customFormat="false" ht="15" hidden="false" customHeight="false" outlineLevel="0" collapsed="false">
      <c r="B1230" s="12" t="str">
        <f aca="false">IF(A1230="","",IFERROR(INDEX(Recipes!$B:$B,MATCH(A1230,Recipes!$A:$A,0)),"⚠ unknown recipe_id"))</f>
        <v/>
      </c>
      <c r="E1230" s="12" t="str">
        <f aca="false">IF(C1230="","",IFERROR(INDEX('Ingredient Catalog'!$C:$C,MATCH(C1230,'Ingredient Catalog'!$A:$A,0)),"⚠ not in catalog"))</f>
        <v/>
      </c>
      <c r="G1230" s="12" t="str">
        <f aca="false">IF(A1230="","",COUNTIFS('Weekly Log'!$A:$A,'Grocery List'!$B$3,'Weekly Log'!$C:$C,A1230,'Weekly Log'!$E:$E,"Yes"))</f>
        <v/>
      </c>
      <c r="H1230" s="12" t="str">
        <f aca="false">IF(OR(A1230="",D1230=""),"",D1230*G1230)</f>
        <v/>
      </c>
    </row>
    <row r="1231" customFormat="false" ht="15" hidden="false" customHeight="false" outlineLevel="0" collapsed="false">
      <c r="B1231" s="12" t="str">
        <f aca="false">IF(A1231="","",IFERROR(INDEX(Recipes!$B:$B,MATCH(A1231,Recipes!$A:$A,0)),"⚠ unknown recipe_id"))</f>
        <v/>
      </c>
      <c r="E1231" s="12" t="str">
        <f aca="false">IF(C1231="","",IFERROR(INDEX('Ingredient Catalog'!$C:$C,MATCH(C1231,'Ingredient Catalog'!$A:$A,0)),"⚠ not in catalog"))</f>
        <v/>
      </c>
      <c r="G1231" s="12" t="str">
        <f aca="false">IF(A1231="","",COUNTIFS('Weekly Log'!$A:$A,'Grocery List'!$B$3,'Weekly Log'!$C:$C,A1231,'Weekly Log'!$E:$E,"Yes"))</f>
        <v/>
      </c>
      <c r="H1231" s="12" t="str">
        <f aca="false">IF(OR(A1231="",D1231=""),"",D1231*G1231)</f>
        <v/>
      </c>
    </row>
    <row r="1232" customFormat="false" ht="15" hidden="false" customHeight="false" outlineLevel="0" collapsed="false">
      <c r="B1232" s="12" t="str">
        <f aca="false">IF(A1232="","",IFERROR(INDEX(Recipes!$B:$B,MATCH(A1232,Recipes!$A:$A,0)),"⚠ unknown recipe_id"))</f>
        <v/>
      </c>
      <c r="E1232" s="12" t="str">
        <f aca="false">IF(C1232="","",IFERROR(INDEX('Ingredient Catalog'!$C:$C,MATCH(C1232,'Ingredient Catalog'!$A:$A,0)),"⚠ not in catalog"))</f>
        <v/>
      </c>
      <c r="G1232" s="12" t="str">
        <f aca="false">IF(A1232="","",COUNTIFS('Weekly Log'!$A:$A,'Grocery List'!$B$3,'Weekly Log'!$C:$C,A1232,'Weekly Log'!$E:$E,"Yes"))</f>
        <v/>
      </c>
      <c r="H1232" s="12" t="str">
        <f aca="false">IF(OR(A1232="",D1232=""),"",D1232*G1232)</f>
        <v/>
      </c>
    </row>
    <row r="1233" customFormat="false" ht="15" hidden="false" customHeight="false" outlineLevel="0" collapsed="false">
      <c r="B1233" s="12" t="str">
        <f aca="false">IF(A1233="","",IFERROR(INDEX(Recipes!$B:$B,MATCH(A1233,Recipes!$A:$A,0)),"⚠ unknown recipe_id"))</f>
        <v/>
      </c>
      <c r="E1233" s="12" t="str">
        <f aca="false">IF(C1233="","",IFERROR(INDEX('Ingredient Catalog'!$C:$C,MATCH(C1233,'Ingredient Catalog'!$A:$A,0)),"⚠ not in catalog"))</f>
        <v/>
      </c>
      <c r="G1233" s="12" t="str">
        <f aca="false">IF(A1233="","",COUNTIFS('Weekly Log'!$A:$A,'Grocery List'!$B$3,'Weekly Log'!$C:$C,A1233,'Weekly Log'!$E:$E,"Yes"))</f>
        <v/>
      </c>
      <c r="H1233" s="12" t="str">
        <f aca="false">IF(OR(A1233="",D1233=""),"",D1233*G1233)</f>
        <v/>
      </c>
    </row>
    <row r="1234" customFormat="false" ht="15" hidden="false" customHeight="false" outlineLevel="0" collapsed="false">
      <c r="B1234" s="12" t="str">
        <f aca="false">IF(A1234="","",IFERROR(INDEX(Recipes!$B:$B,MATCH(A1234,Recipes!$A:$A,0)),"⚠ unknown recipe_id"))</f>
        <v/>
      </c>
      <c r="E1234" s="12" t="str">
        <f aca="false">IF(C1234="","",IFERROR(INDEX('Ingredient Catalog'!$C:$C,MATCH(C1234,'Ingredient Catalog'!$A:$A,0)),"⚠ not in catalog"))</f>
        <v/>
      </c>
      <c r="G1234" s="12" t="str">
        <f aca="false">IF(A1234="","",COUNTIFS('Weekly Log'!$A:$A,'Grocery List'!$B$3,'Weekly Log'!$C:$C,A1234,'Weekly Log'!$E:$E,"Yes"))</f>
        <v/>
      </c>
      <c r="H1234" s="12" t="str">
        <f aca="false">IF(OR(A1234="",D1234=""),"",D1234*G1234)</f>
        <v/>
      </c>
    </row>
    <row r="1235" customFormat="false" ht="15" hidden="false" customHeight="false" outlineLevel="0" collapsed="false">
      <c r="B1235" s="12" t="str">
        <f aca="false">IF(A1235="","",IFERROR(INDEX(Recipes!$B:$B,MATCH(A1235,Recipes!$A:$A,0)),"⚠ unknown recipe_id"))</f>
        <v/>
      </c>
      <c r="E1235" s="12" t="str">
        <f aca="false">IF(C1235="","",IFERROR(INDEX('Ingredient Catalog'!$C:$C,MATCH(C1235,'Ingredient Catalog'!$A:$A,0)),"⚠ not in catalog"))</f>
        <v/>
      </c>
      <c r="G1235" s="12" t="str">
        <f aca="false">IF(A1235="","",COUNTIFS('Weekly Log'!$A:$A,'Grocery List'!$B$3,'Weekly Log'!$C:$C,A1235,'Weekly Log'!$E:$E,"Yes"))</f>
        <v/>
      </c>
      <c r="H1235" s="12" t="str">
        <f aca="false">IF(OR(A1235="",D1235=""),"",D1235*G1235)</f>
        <v/>
      </c>
    </row>
    <row r="1236" customFormat="false" ht="15" hidden="false" customHeight="false" outlineLevel="0" collapsed="false">
      <c r="B1236" s="12" t="str">
        <f aca="false">IF(A1236="","",IFERROR(INDEX(Recipes!$B:$B,MATCH(A1236,Recipes!$A:$A,0)),"⚠ unknown recipe_id"))</f>
        <v/>
      </c>
      <c r="E1236" s="12" t="str">
        <f aca="false">IF(C1236="","",IFERROR(INDEX('Ingredient Catalog'!$C:$C,MATCH(C1236,'Ingredient Catalog'!$A:$A,0)),"⚠ not in catalog"))</f>
        <v/>
      </c>
      <c r="G1236" s="12" t="str">
        <f aca="false">IF(A1236="","",COUNTIFS('Weekly Log'!$A:$A,'Grocery List'!$B$3,'Weekly Log'!$C:$C,A1236,'Weekly Log'!$E:$E,"Yes"))</f>
        <v/>
      </c>
      <c r="H1236" s="12" t="str">
        <f aca="false">IF(OR(A1236="",D1236=""),"",D1236*G1236)</f>
        <v/>
      </c>
    </row>
    <row r="1237" customFormat="false" ht="15" hidden="false" customHeight="false" outlineLevel="0" collapsed="false">
      <c r="B1237" s="12" t="str">
        <f aca="false">IF(A1237="","",IFERROR(INDEX(Recipes!$B:$B,MATCH(A1237,Recipes!$A:$A,0)),"⚠ unknown recipe_id"))</f>
        <v/>
      </c>
      <c r="E1237" s="12" t="str">
        <f aca="false">IF(C1237="","",IFERROR(INDEX('Ingredient Catalog'!$C:$C,MATCH(C1237,'Ingredient Catalog'!$A:$A,0)),"⚠ not in catalog"))</f>
        <v/>
      </c>
      <c r="G1237" s="12" t="str">
        <f aca="false">IF(A1237="","",COUNTIFS('Weekly Log'!$A:$A,'Grocery List'!$B$3,'Weekly Log'!$C:$C,A1237,'Weekly Log'!$E:$E,"Yes"))</f>
        <v/>
      </c>
      <c r="H1237" s="12" t="str">
        <f aca="false">IF(OR(A1237="",D1237=""),"",D1237*G1237)</f>
        <v/>
      </c>
    </row>
    <row r="1238" customFormat="false" ht="15" hidden="false" customHeight="false" outlineLevel="0" collapsed="false">
      <c r="B1238" s="12" t="str">
        <f aca="false">IF(A1238="","",IFERROR(INDEX(Recipes!$B:$B,MATCH(A1238,Recipes!$A:$A,0)),"⚠ unknown recipe_id"))</f>
        <v/>
      </c>
      <c r="E1238" s="12" t="str">
        <f aca="false">IF(C1238="","",IFERROR(INDEX('Ingredient Catalog'!$C:$C,MATCH(C1238,'Ingredient Catalog'!$A:$A,0)),"⚠ not in catalog"))</f>
        <v/>
      </c>
      <c r="G1238" s="12" t="str">
        <f aca="false">IF(A1238="","",COUNTIFS('Weekly Log'!$A:$A,'Grocery List'!$B$3,'Weekly Log'!$C:$C,A1238,'Weekly Log'!$E:$E,"Yes"))</f>
        <v/>
      </c>
      <c r="H1238" s="12" t="str">
        <f aca="false">IF(OR(A1238="",D1238=""),"",D1238*G1238)</f>
        <v/>
      </c>
    </row>
    <row r="1239" customFormat="false" ht="15" hidden="false" customHeight="false" outlineLevel="0" collapsed="false">
      <c r="B1239" s="12" t="str">
        <f aca="false">IF(A1239="","",IFERROR(INDEX(Recipes!$B:$B,MATCH(A1239,Recipes!$A:$A,0)),"⚠ unknown recipe_id"))</f>
        <v/>
      </c>
      <c r="E1239" s="12" t="str">
        <f aca="false">IF(C1239="","",IFERROR(INDEX('Ingredient Catalog'!$C:$C,MATCH(C1239,'Ingredient Catalog'!$A:$A,0)),"⚠ not in catalog"))</f>
        <v/>
      </c>
      <c r="G1239" s="12" t="str">
        <f aca="false">IF(A1239="","",COUNTIFS('Weekly Log'!$A:$A,'Grocery List'!$B$3,'Weekly Log'!$C:$C,A1239,'Weekly Log'!$E:$E,"Yes"))</f>
        <v/>
      </c>
      <c r="H1239" s="12" t="str">
        <f aca="false">IF(OR(A1239="",D1239=""),"",D1239*G1239)</f>
        <v/>
      </c>
    </row>
    <row r="1240" customFormat="false" ht="15" hidden="false" customHeight="false" outlineLevel="0" collapsed="false">
      <c r="B1240" s="12" t="str">
        <f aca="false">IF(A1240="","",IFERROR(INDEX(Recipes!$B:$B,MATCH(A1240,Recipes!$A:$A,0)),"⚠ unknown recipe_id"))</f>
        <v/>
      </c>
      <c r="E1240" s="12" t="str">
        <f aca="false">IF(C1240="","",IFERROR(INDEX('Ingredient Catalog'!$C:$C,MATCH(C1240,'Ingredient Catalog'!$A:$A,0)),"⚠ not in catalog"))</f>
        <v/>
      </c>
      <c r="G1240" s="12" t="str">
        <f aca="false">IF(A1240="","",COUNTIFS('Weekly Log'!$A:$A,'Grocery List'!$B$3,'Weekly Log'!$C:$C,A1240,'Weekly Log'!$E:$E,"Yes"))</f>
        <v/>
      </c>
      <c r="H1240" s="12" t="str">
        <f aca="false">IF(OR(A1240="",D1240=""),"",D1240*G1240)</f>
        <v/>
      </c>
    </row>
    <row r="1241" customFormat="false" ht="15" hidden="false" customHeight="false" outlineLevel="0" collapsed="false">
      <c r="B1241" s="12" t="str">
        <f aca="false">IF(A1241="","",IFERROR(INDEX(Recipes!$B:$B,MATCH(A1241,Recipes!$A:$A,0)),"⚠ unknown recipe_id"))</f>
        <v/>
      </c>
      <c r="E1241" s="12" t="str">
        <f aca="false">IF(C1241="","",IFERROR(INDEX('Ingredient Catalog'!$C:$C,MATCH(C1241,'Ingredient Catalog'!$A:$A,0)),"⚠ not in catalog"))</f>
        <v/>
      </c>
      <c r="G1241" s="12" t="str">
        <f aca="false">IF(A1241="","",COUNTIFS('Weekly Log'!$A:$A,'Grocery List'!$B$3,'Weekly Log'!$C:$C,A1241,'Weekly Log'!$E:$E,"Yes"))</f>
        <v/>
      </c>
      <c r="H1241" s="12" t="str">
        <f aca="false">IF(OR(A1241="",D1241=""),"",D1241*G1241)</f>
        <v/>
      </c>
    </row>
    <row r="1242" customFormat="false" ht="15" hidden="false" customHeight="false" outlineLevel="0" collapsed="false">
      <c r="B1242" s="12" t="str">
        <f aca="false">IF(A1242="","",IFERROR(INDEX(Recipes!$B:$B,MATCH(A1242,Recipes!$A:$A,0)),"⚠ unknown recipe_id"))</f>
        <v/>
      </c>
      <c r="E1242" s="12" t="str">
        <f aca="false">IF(C1242="","",IFERROR(INDEX('Ingredient Catalog'!$C:$C,MATCH(C1242,'Ingredient Catalog'!$A:$A,0)),"⚠ not in catalog"))</f>
        <v/>
      </c>
      <c r="G1242" s="12" t="str">
        <f aca="false">IF(A1242="","",COUNTIFS('Weekly Log'!$A:$A,'Grocery List'!$B$3,'Weekly Log'!$C:$C,A1242,'Weekly Log'!$E:$E,"Yes"))</f>
        <v/>
      </c>
      <c r="H1242" s="12" t="str">
        <f aca="false">IF(OR(A1242="",D1242=""),"",D1242*G1242)</f>
        <v/>
      </c>
    </row>
    <row r="1243" customFormat="false" ht="15" hidden="false" customHeight="false" outlineLevel="0" collapsed="false">
      <c r="B1243" s="12" t="str">
        <f aca="false">IF(A1243="","",IFERROR(INDEX(Recipes!$B:$B,MATCH(A1243,Recipes!$A:$A,0)),"⚠ unknown recipe_id"))</f>
        <v/>
      </c>
      <c r="E1243" s="12" t="str">
        <f aca="false">IF(C1243="","",IFERROR(INDEX('Ingredient Catalog'!$C:$C,MATCH(C1243,'Ingredient Catalog'!$A:$A,0)),"⚠ not in catalog"))</f>
        <v/>
      </c>
      <c r="G1243" s="12" t="str">
        <f aca="false">IF(A1243="","",COUNTIFS('Weekly Log'!$A:$A,'Grocery List'!$B$3,'Weekly Log'!$C:$C,A1243,'Weekly Log'!$E:$E,"Yes"))</f>
        <v/>
      </c>
      <c r="H1243" s="12" t="str">
        <f aca="false">IF(OR(A1243="",D1243=""),"",D1243*G1243)</f>
        <v/>
      </c>
    </row>
    <row r="1244" customFormat="false" ht="15" hidden="false" customHeight="false" outlineLevel="0" collapsed="false">
      <c r="B1244" s="12" t="str">
        <f aca="false">IF(A1244="","",IFERROR(INDEX(Recipes!$B:$B,MATCH(A1244,Recipes!$A:$A,0)),"⚠ unknown recipe_id"))</f>
        <v/>
      </c>
      <c r="E1244" s="12" t="str">
        <f aca="false">IF(C1244="","",IFERROR(INDEX('Ingredient Catalog'!$C:$C,MATCH(C1244,'Ingredient Catalog'!$A:$A,0)),"⚠ not in catalog"))</f>
        <v/>
      </c>
      <c r="G1244" s="12" t="str">
        <f aca="false">IF(A1244="","",COUNTIFS('Weekly Log'!$A:$A,'Grocery List'!$B$3,'Weekly Log'!$C:$C,A1244,'Weekly Log'!$E:$E,"Yes"))</f>
        <v/>
      </c>
      <c r="H1244" s="12" t="str">
        <f aca="false">IF(OR(A1244="",D1244=""),"",D1244*G1244)</f>
        <v/>
      </c>
    </row>
    <row r="1245" customFormat="false" ht="15" hidden="false" customHeight="false" outlineLevel="0" collapsed="false">
      <c r="B1245" s="12" t="str">
        <f aca="false">IF(A1245="","",IFERROR(INDEX(Recipes!$B:$B,MATCH(A1245,Recipes!$A:$A,0)),"⚠ unknown recipe_id"))</f>
        <v/>
      </c>
      <c r="E1245" s="12" t="str">
        <f aca="false">IF(C1245="","",IFERROR(INDEX('Ingredient Catalog'!$C:$C,MATCH(C1245,'Ingredient Catalog'!$A:$A,0)),"⚠ not in catalog"))</f>
        <v/>
      </c>
      <c r="G1245" s="12" t="str">
        <f aca="false">IF(A1245="","",COUNTIFS('Weekly Log'!$A:$A,'Grocery List'!$B$3,'Weekly Log'!$C:$C,A1245,'Weekly Log'!$E:$E,"Yes"))</f>
        <v/>
      </c>
      <c r="H1245" s="12" t="str">
        <f aca="false">IF(OR(A1245="",D1245=""),"",D1245*G1245)</f>
        <v/>
      </c>
    </row>
    <row r="1246" customFormat="false" ht="15" hidden="false" customHeight="false" outlineLevel="0" collapsed="false">
      <c r="B1246" s="12" t="str">
        <f aca="false">IF(A1246="","",IFERROR(INDEX(Recipes!$B:$B,MATCH(A1246,Recipes!$A:$A,0)),"⚠ unknown recipe_id"))</f>
        <v/>
      </c>
      <c r="E1246" s="12" t="str">
        <f aca="false">IF(C1246="","",IFERROR(INDEX('Ingredient Catalog'!$C:$C,MATCH(C1246,'Ingredient Catalog'!$A:$A,0)),"⚠ not in catalog"))</f>
        <v/>
      </c>
      <c r="G1246" s="12" t="str">
        <f aca="false">IF(A1246="","",COUNTIFS('Weekly Log'!$A:$A,'Grocery List'!$B$3,'Weekly Log'!$C:$C,A1246,'Weekly Log'!$E:$E,"Yes"))</f>
        <v/>
      </c>
      <c r="H1246" s="12" t="str">
        <f aca="false">IF(OR(A1246="",D1246=""),"",D1246*G1246)</f>
        <v/>
      </c>
    </row>
    <row r="1247" customFormat="false" ht="15" hidden="false" customHeight="false" outlineLevel="0" collapsed="false">
      <c r="B1247" s="12" t="str">
        <f aca="false">IF(A1247="","",IFERROR(INDEX(Recipes!$B:$B,MATCH(A1247,Recipes!$A:$A,0)),"⚠ unknown recipe_id"))</f>
        <v/>
      </c>
      <c r="E1247" s="12" t="str">
        <f aca="false">IF(C1247="","",IFERROR(INDEX('Ingredient Catalog'!$C:$C,MATCH(C1247,'Ingredient Catalog'!$A:$A,0)),"⚠ not in catalog"))</f>
        <v/>
      </c>
      <c r="G1247" s="12" t="str">
        <f aca="false">IF(A1247="","",COUNTIFS('Weekly Log'!$A:$A,'Grocery List'!$B$3,'Weekly Log'!$C:$C,A1247,'Weekly Log'!$E:$E,"Yes"))</f>
        <v/>
      </c>
      <c r="H1247" s="12" t="str">
        <f aca="false">IF(OR(A1247="",D1247=""),"",D1247*G1247)</f>
        <v/>
      </c>
    </row>
    <row r="1248" customFormat="false" ht="15" hidden="false" customHeight="false" outlineLevel="0" collapsed="false">
      <c r="B1248" s="12" t="str">
        <f aca="false">IF(A1248="","",IFERROR(INDEX(Recipes!$B:$B,MATCH(A1248,Recipes!$A:$A,0)),"⚠ unknown recipe_id"))</f>
        <v/>
      </c>
      <c r="E1248" s="12" t="str">
        <f aca="false">IF(C1248="","",IFERROR(INDEX('Ingredient Catalog'!$C:$C,MATCH(C1248,'Ingredient Catalog'!$A:$A,0)),"⚠ not in catalog"))</f>
        <v/>
      </c>
      <c r="G1248" s="12" t="str">
        <f aca="false">IF(A1248="","",COUNTIFS('Weekly Log'!$A:$A,'Grocery List'!$B$3,'Weekly Log'!$C:$C,A1248,'Weekly Log'!$E:$E,"Yes"))</f>
        <v/>
      </c>
      <c r="H1248" s="12" t="str">
        <f aca="false">IF(OR(A1248="",D1248=""),"",D1248*G1248)</f>
        <v/>
      </c>
    </row>
    <row r="1249" customFormat="false" ht="15" hidden="false" customHeight="false" outlineLevel="0" collapsed="false">
      <c r="B1249" s="12" t="str">
        <f aca="false">IF(A1249="","",IFERROR(INDEX(Recipes!$B:$B,MATCH(A1249,Recipes!$A:$A,0)),"⚠ unknown recipe_id"))</f>
        <v/>
      </c>
      <c r="E1249" s="12" t="str">
        <f aca="false">IF(C1249="","",IFERROR(INDEX('Ingredient Catalog'!$C:$C,MATCH(C1249,'Ingredient Catalog'!$A:$A,0)),"⚠ not in catalog"))</f>
        <v/>
      </c>
      <c r="G1249" s="12" t="str">
        <f aca="false">IF(A1249="","",COUNTIFS('Weekly Log'!$A:$A,'Grocery List'!$B$3,'Weekly Log'!$C:$C,A1249,'Weekly Log'!$E:$E,"Yes"))</f>
        <v/>
      </c>
      <c r="H1249" s="12" t="str">
        <f aca="false">IF(OR(A1249="",D1249=""),"",D1249*G1249)</f>
        <v/>
      </c>
    </row>
    <row r="1250" customFormat="false" ht="15" hidden="false" customHeight="false" outlineLevel="0" collapsed="false">
      <c r="B1250" s="12" t="str">
        <f aca="false">IF(A1250="","",IFERROR(INDEX(Recipes!$B:$B,MATCH(A1250,Recipes!$A:$A,0)),"⚠ unknown recipe_id"))</f>
        <v/>
      </c>
      <c r="E1250" s="12" t="str">
        <f aca="false">IF(C1250="","",IFERROR(INDEX('Ingredient Catalog'!$C:$C,MATCH(C1250,'Ingredient Catalog'!$A:$A,0)),"⚠ not in catalog"))</f>
        <v/>
      </c>
      <c r="G1250" s="12" t="str">
        <f aca="false">IF(A1250="","",COUNTIFS('Weekly Log'!$A:$A,'Grocery List'!$B$3,'Weekly Log'!$C:$C,A1250,'Weekly Log'!$E:$E,"Yes"))</f>
        <v/>
      </c>
      <c r="H1250" s="12" t="str">
        <f aca="false">IF(OR(A1250="",D1250=""),"",D1250*G1250)</f>
        <v/>
      </c>
    </row>
    <row r="1251" customFormat="false" ht="15" hidden="false" customHeight="false" outlineLevel="0" collapsed="false">
      <c r="B1251" s="12" t="str">
        <f aca="false">IF(A1251="","",IFERROR(INDEX(Recipes!$B:$B,MATCH(A1251,Recipes!$A:$A,0)),"⚠ unknown recipe_id"))</f>
        <v/>
      </c>
      <c r="E1251" s="12" t="str">
        <f aca="false">IF(C1251="","",IFERROR(INDEX('Ingredient Catalog'!$C:$C,MATCH(C1251,'Ingredient Catalog'!$A:$A,0)),"⚠ not in catalog"))</f>
        <v/>
      </c>
      <c r="G1251" s="12" t="str">
        <f aca="false">IF(A1251="","",COUNTIFS('Weekly Log'!$A:$A,'Grocery List'!$B$3,'Weekly Log'!$C:$C,A1251,'Weekly Log'!$E:$E,"Yes"))</f>
        <v/>
      </c>
      <c r="H1251" s="12" t="str">
        <f aca="false">IF(OR(A1251="",D1251=""),"",D1251*G1251)</f>
        <v/>
      </c>
    </row>
    <row r="1252" customFormat="false" ht="15" hidden="false" customHeight="false" outlineLevel="0" collapsed="false">
      <c r="B1252" s="12" t="str">
        <f aca="false">IF(A1252="","",IFERROR(INDEX(Recipes!$B:$B,MATCH(A1252,Recipes!$A:$A,0)),"⚠ unknown recipe_id"))</f>
        <v/>
      </c>
      <c r="E1252" s="12" t="str">
        <f aca="false">IF(C1252="","",IFERROR(INDEX('Ingredient Catalog'!$C:$C,MATCH(C1252,'Ingredient Catalog'!$A:$A,0)),"⚠ not in catalog"))</f>
        <v/>
      </c>
      <c r="G1252" s="12" t="str">
        <f aca="false">IF(A1252="","",COUNTIFS('Weekly Log'!$A:$A,'Grocery List'!$B$3,'Weekly Log'!$C:$C,A1252,'Weekly Log'!$E:$E,"Yes"))</f>
        <v/>
      </c>
      <c r="H1252" s="12" t="str">
        <f aca="false">IF(OR(A1252="",D1252=""),"",D1252*G1252)</f>
        <v/>
      </c>
    </row>
    <row r="1253" customFormat="false" ht="15" hidden="false" customHeight="false" outlineLevel="0" collapsed="false">
      <c r="B1253" s="12" t="str">
        <f aca="false">IF(A1253="","",IFERROR(INDEX(Recipes!$B:$B,MATCH(A1253,Recipes!$A:$A,0)),"⚠ unknown recipe_id"))</f>
        <v/>
      </c>
      <c r="E1253" s="12" t="str">
        <f aca="false">IF(C1253="","",IFERROR(INDEX('Ingredient Catalog'!$C:$C,MATCH(C1253,'Ingredient Catalog'!$A:$A,0)),"⚠ not in catalog"))</f>
        <v/>
      </c>
      <c r="G1253" s="12" t="str">
        <f aca="false">IF(A1253="","",COUNTIFS('Weekly Log'!$A:$A,'Grocery List'!$B$3,'Weekly Log'!$C:$C,A1253,'Weekly Log'!$E:$E,"Yes"))</f>
        <v/>
      </c>
      <c r="H1253" s="12" t="str">
        <f aca="false">IF(OR(A1253="",D1253=""),"",D1253*G1253)</f>
        <v/>
      </c>
    </row>
    <row r="1254" customFormat="false" ht="15" hidden="false" customHeight="false" outlineLevel="0" collapsed="false">
      <c r="B1254" s="12" t="str">
        <f aca="false">IF(A1254="","",IFERROR(INDEX(Recipes!$B:$B,MATCH(A1254,Recipes!$A:$A,0)),"⚠ unknown recipe_id"))</f>
        <v/>
      </c>
      <c r="E1254" s="12" t="str">
        <f aca="false">IF(C1254="","",IFERROR(INDEX('Ingredient Catalog'!$C:$C,MATCH(C1254,'Ingredient Catalog'!$A:$A,0)),"⚠ not in catalog"))</f>
        <v/>
      </c>
      <c r="G1254" s="12" t="str">
        <f aca="false">IF(A1254="","",COUNTIFS('Weekly Log'!$A:$A,'Grocery List'!$B$3,'Weekly Log'!$C:$C,A1254,'Weekly Log'!$E:$E,"Yes"))</f>
        <v/>
      </c>
      <c r="H1254" s="12" t="str">
        <f aca="false">IF(OR(A1254="",D1254=""),"",D1254*G1254)</f>
        <v/>
      </c>
    </row>
    <row r="1255" customFormat="false" ht="15" hidden="false" customHeight="false" outlineLevel="0" collapsed="false">
      <c r="B1255" s="12" t="str">
        <f aca="false">IF(A1255="","",IFERROR(INDEX(Recipes!$B:$B,MATCH(A1255,Recipes!$A:$A,0)),"⚠ unknown recipe_id"))</f>
        <v/>
      </c>
      <c r="E1255" s="12" t="str">
        <f aca="false">IF(C1255="","",IFERROR(INDEX('Ingredient Catalog'!$C:$C,MATCH(C1255,'Ingredient Catalog'!$A:$A,0)),"⚠ not in catalog"))</f>
        <v/>
      </c>
      <c r="G1255" s="12" t="str">
        <f aca="false">IF(A1255="","",COUNTIFS('Weekly Log'!$A:$A,'Grocery List'!$B$3,'Weekly Log'!$C:$C,A1255,'Weekly Log'!$E:$E,"Yes"))</f>
        <v/>
      </c>
      <c r="H1255" s="12" t="str">
        <f aca="false">IF(OR(A1255="",D1255=""),"",D1255*G1255)</f>
        <v/>
      </c>
    </row>
    <row r="1256" customFormat="false" ht="15" hidden="false" customHeight="false" outlineLevel="0" collapsed="false">
      <c r="B1256" s="12" t="str">
        <f aca="false">IF(A1256="","",IFERROR(INDEX(Recipes!$B:$B,MATCH(A1256,Recipes!$A:$A,0)),"⚠ unknown recipe_id"))</f>
        <v/>
      </c>
      <c r="E1256" s="12" t="str">
        <f aca="false">IF(C1256="","",IFERROR(INDEX('Ingredient Catalog'!$C:$C,MATCH(C1256,'Ingredient Catalog'!$A:$A,0)),"⚠ not in catalog"))</f>
        <v/>
      </c>
      <c r="G1256" s="12" t="str">
        <f aca="false">IF(A1256="","",COUNTIFS('Weekly Log'!$A:$A,'Grocery List'!$B$3,'Weekly Log'!$C:$C,A1256,'Weekly Log'!$E:$E,"Yes"))</f>
        <v/>
      </c>
      <c r="H1256" s="12" t="str">
        <f aca="false">IF(OR(A1256="",D1256=""),"",D1256*G1256)</f>
        <v/>
      </c>
    </row>
    <row r="1257" customFormat="false" ht="15" hidden="false" customHeight="false" outlineLevel="0" collapsed="false">
      <c r="B1257" s="12" t="str">
        <f aca="false">IF(A1257="","",IFERROR(INDEX(Recipes!$B:$B,MATCH(A1257,Recipes!$A:$A,0)),"⚠ unknown recipe_id"))</f>
        <v/>
      </c>
      <c r="E1257" s="12" t="str">
        <f aca="false">IF(C1257="","",IFERROR(INDEX('Ingredient Catalog'!$C:$C,MATCH(C1257,'Ingredient Catalog'!$A:$A,0)),"⚠ not in catalog"))</f>
        <v/>
      </c>
      <c r="G1257" s="12" t="str">
        <f aca="false">IF(A1257="","",COUNTIFS('Weekly Log'!$A:$A,'Grocery List'!$B$3,'Weekly Log'!$C:$C,A1257,'Weekly Log'!$E:$E,"Yes"))</f>
        <v/>
      </c>
      <c r="H1257" s="12" t="str">
        <f aca="false">IF(OR(A1257="",D1257=""),"",D1257*G1257)</f>
        <v/>
      </c>
    </row>
    <row r="1258" customFormat="false" ht="15" hidden="false" customHeight="false" outlineLevel="0" collapsed="false">
      <c r="B1258" s="12" t="str">
        <f aca="false">IF(A1258="","",IFERROR(INDEX(Recipes!$B:$B,MATCH(A1258,Recipes!$A:$A,0)),"⚠ unknown recipe_id"))</f>
        <v/>
      </c>
      <c r="E1258" s="12" t="str">
        <f aca="false">IF(C1258="","",IFERROR(INDEX('Ingredient Catalog'!$C:$C,MATCH(C1258,'Ingredient Catalog'!$A:$A,0)),"⚠ not in catalog"))</f>
        <v/>
      </c>
      <c r="G1258" s="12" t="str">
        <f aca="false">IF(A1258="","",COUNTIFS('Weekly Log'!$A:$A,'Grocery List'!$B$3,'Weekly Log'!$C:$C,A1258,'Weekly Log'!$E:$E,"Yes"))</f>
        <v/>
      </c>
      <c r="H1258" s="12" t="str">
        <f aca="false">IF(OR(A1258="",D1258=""),"",D1258*G1258)</f>
        <v/>
      </c>
    </row>
    <row r="1259" customFormat="false" ht="15" hidden="false" customHeight="false" outlineLevel="0" collapsed="false">
      <c r="B1259" s="12" t="str">
        <f aca="false">IF(A1259="","",IFERROR(INDEX(Recipes!$B:$B,MATCH(A1259,Recipes!$A:$A,0)),"⚠ unknown recipe_id"))</f>
        <v/>
      </c>
      <c r="E1259" s="12" t="str">
        <f aca="false">IF(C1259="","",IFERROR(INDEX('Ingredient Catalog'!$C:$C,MATCH(C1259,'Ingredient Catalog'!$A:$A,0)),"⚠ not in catalog"))</f>
        <v/>
      </c>
      <c r="G1259" s="12" t="str">
        <f aca="false">IF(A1259="","",COUNTIFS('Weekly Log'!$A:$A,'Grocery List'!$B$3,'Weekly Log'!$C:$C,A1259,'Weekly Log'!$E:$E,"Yes"))</f>
        <v/>
      </c>
      <c r="H1259" s="12" t="str">
        <f aca="false">IF(OR(A1259="",D1259=""),"",D1259*G1259)</f>
        <v/>
      </c>
    </row>
    <row r="1260" customFormat="false" ht="15" hidden="false" customHeight="false" outlineLevel="0" collapsed="false">
      <c r="B1260" s="12" t="str">
        <f aca="false">IF(A1260="","",IFERROR(INDEX(Recipes!$B:$B,MATCH(A1260,Recipes!$A:$A,0)),"⚠ unknown recipe_id"))</f>
        <v/>
      </c>
      <c r="E1260" s="12" t="str">
        <f aca="false">IF(C1260="","",IFERROR(INDEX('Ingredient Catalog'!$C:$C,MATCH(C1260,'Ingredient Catalog'!$A:$A,0)),"⚠ not in catalog"))</f>
        <v/>
      </c>
      <c r="G1260" s="12" t="str">
        <f aca="false">IF(A1260="","",COUNTIFS('Weekly Log'!$A:$A,'Grocery List'!$B$3,'Weekly Log'!$C:$C,A1260,'Weekly Log'!$E:$E,"Yes"))</f>
        <v/>
      </c>
      <c r="H1260" s="12" t="str">
        <f aca="false">IF(OR(A1260="",D1260=""),"",D1260*G1260)</f>
        <v/>
      </c>
    </row>
    <row r="1261" customFormat="false" ht="15" hidden="false" customHeight="false" outlineLevel="0" collapsed="false">
      <c r="B1261" s="12" t="str">
        <f aca="false">IF(A1261="","",IFERROR(INDEX(Recipes!$B:$B,MATCH(A1261,Recipes!$A:$A,0)),"⚠ unknown recipe_id"))</f>
        <v/>
      </c>
      <c r="E1261" s="12" t="str">
        <f aca="false">IF(C1261="","",IFERROR(INDEX('Ingredient Catalog'!$C:$C,MATCH(C1261,'Ingredient Catalog'!$A:$A,0)),"⚠ not in catalog"))</f>
        <v/>
      </c>
      <c r="G1261" s="12" t="str">
        <f aca="false">IF(A1261="","",COUNTIFS('Weekly Log'!$A:$A,'Grocery List'!$B$3,'Weekly Log'!$C:$C,A1261,'Weekly Log'!$E:$E,"Yes"))</f>
        <v/>
      </c>
      <c r="H1261" s="12" t="str">
        <f aca="false">IF(OR(A1261="",D1261=""),"",D1261*G1261)</f>
        <v/>
      </c>
    </row>
    <row r="1262" customFormat="false" ht="15" hidden="false" customHeight="false" outlineLevel="0" collapsed="false">
      <c r="B1262" s="12" t="str">
        <f aca="false">IF(A1262="","",IFERROR(INDEX(Recipes!$B:$B,MATCH(A1262,Recipes!$A:$A,0)),"⚠ unknown recipe_id"))</f>
        <v/>
      </c>
      <c r="E1262" s="12" t="str">
        <f aca="false">IF(C1262="","",IFERROR(INDEX('Ingredient Catalog'!$C:$C,MATCH(C1262,'Ingredient Catalog'!$A:$A,0)),"⚠ not in catalog"))</f>
        <v/>
      </c>
      <c r="G1262" s="12" t="str">
        <f aca="false">IF(A1262="","",COUNTIFS('Weekly Log'!$A:$A,'Grocery List'!$B$3,'Weekly Log'!$C:$C,A1262,'Weekly Log'!$E:$E,"Yes"))</f>
        <v/>
      </c>
      <c r="H1262" s="12" t="str">
        <f aca="false">IF(OR(A1262="",D1262=""),"",D1262*G1262)</f>
        <v/>
      </c>
    </row>
    <row r="1263" customFormat="false" ht="15" hidden="false" customHeight="false" outlineLevel="0" collapsed="false">
      <c r="B1263" s="12" t="str">
        <f aca="false">IF(A1263="","",IFERROR(INDEX(Recipes!$B:$B,MATCH(A1263,Recipes!$A:$A,0)),"⚠ unknown recipe_id"))</f>
        <v/>
      </c>
      <c r="E1263" s="12" t="str">
        <f aca="false">IF(C1263="","",IFERROR(INDEX('Ingredient Catalog'!$C:$C,MATCH(C1263,'Ingredient Catalog'!$A:$A,0)),"⚠ not in catalog"))</f>
        <v/>
      </c>
      <c r="G1263" s="12" t="str">
        <f aca="false">IF(A1263="","",COUNTIFS('Weekly Log'!$A:$A,'Grocery List'!$B$3,'Weekly Log'!$C:$C,A1263,'Weekly Log'!$E:$E,"Yes"))</f>
        <v/>
      </c>
      <c r="H1263" s="12" t="str">
        <f aca="false">IF(OR(A1263="",D1263=""),"",D1263*G1263)</f>
        <v/>
      </c>
    </row>
    <row r="1264" customFormat="false" ht="15" hidden="false" customHeight="false" outlineLevel="0" collapsed="false">
      <c r="B1264" s="12" t="str">
        <f aca="false">IF(A1264="","",IFERROR(INDEX(Recipes!$B:$B,MATCH(A1264,Recipes!$A:$A,0)),"⚠ unknown recipe_id"))</f>
        <v/>
      </c>
      <c r="E1264" s="12" t="str">
        <f aca="false">IF(C1264="","",IFERROR(INDEX('Ingredient Catalog'!$C:$C,MATCH(C1264,'Ingredient Catalog'!$A:$A,0)),"⚠ not in catalog"))</f>
        <v/>
      </c>
      <c r="G1264" s="12" t="str">
        <f aca="false">IF(A1264="","",COUNTIFS('Weekly Log'!$A:$A,'Grocery List'!$B$3,'Weekly Log'!$C:$C,A1264,'Weekly Log'!$E:$E,"Yes"))</f>
        <v/>
      </c>
      <c r="H1264" s="12" t="str">
        <f aca="false">IF(OR(A1264="",D1264=""),"",D1264*G1264)</f>
        <v/>
      </c>
    </row>
    <row r="1265" customFormat="false" ht="15" hidden="false" customHeight="false" outlineLevel="0" collapsed="false">
      <c r="B1265" s="12" t="str">
        <f aca="false">IF(A1265="","",IFERROR(INDEX(Recipes!$B:$B,MATCH(A1265,Recipes!$A:$A,0)),"⚠ unknown recipe_id"))</f>
        <v/>
      </c>
      <c r="E1265" s="12" t="str">
        <f aca="false">IF(C1265="","",IFERROR(INDEX('Ingredient Catalog'!$C:$C,MATCH(C1265,'Ingredient Catalog'!$A:$A,0)),"⚠ not in catalog"))</f>
        <v/>
      </c>
      <c r="G1265" s="12" t="str">
        <f aca="false">IF(A1265="","",COUNTIFS('Weekly Log'!$A:$A,'Grocery List'!$B$3,'Weekly Log'!$C:$C,A1265,'Weekly Log'!$E:$E,"Yes"))</f>
        <v/>
      </c>
      <c r="H1265" s="12" t="str">
        <f aca="false">IF(OR(A1265="",D1265=""),"",D1265*G1265)</f>
        <v/>
      </c>
    </row>
    <row r="1266" customFormat="false" ht="15" hidden="false" customHeight="false" outlineLevel="0" collapsed="false">
      <c r="B1266" s="12" t="str">
        <f aca="false">IF(A1266="","",IFERROR(INDEX(Recipes!$B:$B,MATCH(A1266,Recipes!$A:$A,0)),"⚠ unknown recipe_id"))</f>
        <v/>
      </c>
      <c r="E1266" s="12" t="str">
        <f aca="false">IF(C1266="","",IFERROR(INDEX('Ingredient Catalog'!$C:$C,MATCH(C1266,'Ingredient Catalog'!$A:$A,0)),"⚠ not in catalog"))</f>
        <v/>
      </c>
      <c r="G1266" s="12" t="str">
        <f aca="false">IF(A1266="","",COUNTIFS('Weekly Log'!$A:$A,'Grocery List'!$B$3,'Weekly Log'!$C:$C,A1266,'Weekly Log'!$E:$E,"Yes"))</f>
        <v/>
      </c>
      <c r="H1266" s="12" t="str">
        <f aca="false">IF(OR(A1266="",D1266=""),"",D1266*G1266)</f>
        <v/>
      </c>
    </row>
    <row r="1267" customFormat="false" ht="15" hidden="false" customHeight="false" outlineLevel="0" collapsed="false">
      <c r="B1267" s="12" t="str">
        <f aca="false">IF(A1267="","",IFERROR(INDEX(Recipes!$B:$B,MATCH(A1267,Recipes!$A:$A,0)),"⚠ unknown recipe_id"))</f>
        <v/>
      </c>
      <c r="E1267" s="12" t="str">
        <f aca="false">IF(C1267="","",IFERROR(INDEX('Ingredient Catalog'!$C:$C,MATCH(C1267,'Ingredient Catalog'!$A:$A,0)),"⚠ not in catalog"))</f>
        <v/>
      </c>
      <c r="G1267" s="12" t="str">
        <f aca="false">IF(A1267="","",COUNTIFS('Weekly Log'!$A:$A,'Grocery List'!$B$3,'Weekly Log'!$C:$C,A1267,'Weekly Log'!$E:$E,"Yes"))</f>
        <v/>
      </c>
      <c r="H1267" s="12" t="str">
        <f aca="false">IF(OR(A1267="",D1267=""),"",D1267*G1267)</f>
        <v/>
      </c>
    </row>
    <row r="1268" customFormat="false" ht="15" hidden="false" customHeight="false" outlineLevel="0" collapsed="false">
      <c r="B1268" s="12" t="str">
        <f aca="false">IF(A1268="","",IFERROR(INDEX(Recipes!$B:$B,MATCH(A1268,Recipes!$A:$A,0)),"⚠ unknown recipe_id"))</f>
        <v/>
      </c>
      <c r="E1268" s="12" t="str">
        <f aca="false">IF(C1268="","",IFERROR(INDEX('Ingredient Catalog'!$C:$C,MATCH(C1268,'Ingredient Catalog'!$A:$A,0)),"⚠ not in catalog"))</f>
        <v/>
      </c>
      <c r="G1268" s="12" t="str">
        <f aca="false">IF(A1268="","",COUNTIFS('Weekly Log'!$A:$A,'Grocery List'!$B$3,'Weekly Log'!$C:$C,A1268,'Weekly Log'!$E:$E,"Yes"))</f>
        <v/>
      </c>
      <c r="H1268" s="12" t="str">
        <f aca="false">IF(OR(A1268="",D1268=""),"",D1268*G1268)</f>
        <v/>
      </c>
    </row>
    <row r="1269" customFormat="false" ht="15" hidden="false" customHeight="false" outlineLevel="0" collapsed="false">
      <c r="B1269" s="12" t="str">
        <f aca="false">IF(A1269="","",IFERROR(INDEX(Recipes!$B:$B,MATCH(A1269,Recipes!$A:$A,0)),"⚠ unknown recipe_id"))</f>
        <v/>
      </c>
      <c r="E1269" s="12" t="str">
        <f aca="false">IF(C1269="","",IFERROR(INDEX('Ingredient Catalog'!$C:$C,MATCH(C1269,'Ingredient Catalog'!$A:$A,0)),"⚠ not in catalog"))</f>
        <v/>
      </c>
      <c r="G1269" s="12" t="str">
        <f aca="false">IF(A1269="","",COUNTIFS('Weekly Log'!$A:$A,'Grocery List'!$B$3,'Weekly Log'!$C:$C,A1269,'Weekly Log'!$E:$E,"Yes"))</f>
        <v/>
      </c>
      <c r="H1269" s="12" t="str">
        <f aca="false">IF(OR(A1269="",D1269=""),"",D1269*G1269)</f>
        <v/>
      </c>
    </row>
    <row r="1270" customFormat="false" ht="15" hidden="false" customHeight="false" outlineLevel="0" collapsed="false">
      <c r="B1270" s="12" t="str">
        <f aca="false">IF(A1270="","",IFERROR(INDEX(Recipes!$B:$B,MATCH(A1270,Recipes!$A:$A,0)),"⚠ unknown recipe_id"))</f>
        <v/>
      </c>
      <c r="E1270" s="12" t="str">
        <f aca="false">IF(C1270="","",IFERROR(INDEX('Ingredient Catalog'!$C:$C,MATCH(C1270,'Ingredient Catalog'!$A:$A,0)),"⚠ not in catalog"))</f>
        <v/>
      </c>
      <c r="G1270" s="12" t="str">
        <f aca="false">IF(A1270="","",COUNTIFS('Weekly Log'!$A:$A,'Grocery List'!$B$3,'Weekly Log'!$C:$C,A1270,'Weekly Log'!$E:$E,"Yes"))</f>
        <v/>
      </c>
      <c r="H1270" s="12" t="str">
        <f aca="false">IF(OR(A1270="",D1270=""),"",D1270*G1270)</f>
        <v/>
      </c>
    </row>
    <row r="1271" customFormat="false" ht="15" hidden="false" customHeight="false" outlineLevel="0" collapsed="false">
      <c r="B1271" s="12" t="str">
        <f aca="false">IF(A1271="","",IFERROR(INDEX(Recipes!$B:$B,MATCH(A1271,Recipes!$A:$A,0)),"⚠ unknown recipe_id"))</f>
        <v/>
      </c>
      <c r="E1271" s="12" t="str">
        <f aca="false">IF(C1271="","",IFERROR(INDEX('Ingredient Catalog'!$C:$C,MATCH(C1271,'Ingredient Catalog'!$A:$A,0)),"⚠ not in catalog"))</f>
        <v/>
      </c>
      <c r="G1271" s="12" t="str">
        <f aca="false">IF(A1271="","",COUNTIFS('Weekly Log'!$A:$A,'Grocery List'!$B$3,'Weekly Log'!$C:$C,A1271,'Weekly Log'!$E:$E,"Yes"))</f>
        <v/>
      </c>
      <c r="H1271" s="12" t="str">
        <f aca="false">IF(OR(A1271="",D1271=""),"",D1271*G1271)</f>
        <v/>
      </c>
    </row>
    <row r="1272" customFormat="false" ht="15" hidden="false" customHeight="false" outlineLevel="0" collapsed="false">
      <c r="B1272" s="12" t="str">
        <f aca="false">IF(A1272="","",IFERROR(INDEX(Recipes!$B:$B,MATCH(A1272,Recipes!$A:$A,0)),"⚠ unknown recipe_id"))</f>
        <v/>
      </c>
      <c r="E1272" s="12" t="str">
        <f aca="false">IF(C1272="","",IFERROR(INDEX('Ingredient Catalog'!$C:$C,MATCH(C1272,'Ingredient Catalog'!$A:$A,0)),"⚠ not in catalog"))</f>
        <v/>
      </c>
      <c r="G1272" s="12" t="str">
        <f aca="false">IF(A1272="","",COUNTIFS('Weekly Log'!$A:$A,'Grocery List'!$B$3,'Weekly Log'!$C:$C,A1272,'Weekly Log'!$E:$E,"Yes"))</f>
        <v/>
      </c>
      <c r="H1272" s="12" t="str">
        <f aca="false">IF(OR(A1272="",D1272=""),"",D1272*G1272)</f>
        <v/>
      </c>
    </row>
    <row r="1273" customFormat="false" ht="15" hidden="false" customHeight="false" outlineLevel="0" collapsed="false">
      <c r="B1273" s="12" t="str">
        <f aca="false">IF(A1273="","",IFERROR(INDEX(Recipes!$B:$B,MATCH(A1273,Recipes!$A:$A,0)),"⚠ unknown recipe_id"))</f>
        <v/>
      </c>
      <c r="E1273" s="12" t="str">
        <f aca="false">IF(C1273="","",IFERROR(INDEX('Ingredient Catalog'!$C:$C,MATCH(C1273,'Ingredient Catalog'!$A:$A,0)),"⚠ not in catalog"))</f>
        <v/>
      </c>
      <c r="G1273" s="12" t="str">
        <f aca="false">IF(A1273="","",COUNTIFS('Weekly Log'!$A:$A,'Grocery List'!$B$3,'Weekly Log'!$C:$C,A1273,'Weekly Log'!$E:$E,"Yes"))</f>
        <v/>
      </c>
      <c r="H1273" s="12" t="str">
        <f aca="false">IF(OR(A1273="",D1273=""),"",D1273*G1273)</f>
        <v/>
      </c>
    </row>
    <row r="1274" customFormat="false" ht="15" hidden="false" customHeight="false" outlineLevel="0" collapsed="false">
      <c r="B1274" s="12" t="str">
        <f aca="false">IF(A1274="","",IFERROR(INDEX(Recipes!$B:$B,MATCH(A1274,Recipes!$A:$A,0)),"⚠ unknown recipe_id"))</f>
        <v/>
      </c>
      <c r="E1274" s="12" t="str">
        <f aca="false">IF(C1274="","",IFERROR(INDEX('Ingredient Catalog'!$C:$C,MATCH(C1274,'Ingredient Catalog'!$A:$A,0)),"⚠ not in catalog"))</f>
        <v/>
      </c>
      <c r="G1274" s="12" t="str">
        <f aca="false">IF(A1274="","",COUNTIFS('Weekly Log'!$A:$A,'Grocery List'!$B$3,'Weekly Log'!$C:$C,A1274,'Weekly Log'!$E:$E,"Yes"))</f>
        <v/>
      </c>
      <c r="H1274" s="12" t="str">
        <f aca="false">IF(OR(A1274="",D1274=""),"",D1274*G1274)</f>
        <v/>
      </c>
    </row>
    <row r="1275" customFormat="false" ht="15" hidden="false" customHeight="false" outlineLevel="0" collapsed="false">
      <c r="B1275" s="12" t="str">
        <f aca="false">IF(A1275="","",IFERROR(INDEX(Recipes!$B:$B,MATCH(A1275,Recipes!$A:$A,0)),"⚠ unknown recipe_id"))</f>
        <v/>
      </c>
      <c r="E1275" s="12" t="str">
        <f aca="false">IF(C1275="","",IFERROR(INDEX('Ingredient Catalog'!$C:$C,MATCH(C1275,'Ingredient Catalog'!$A:$A,0)),"⚠ not in catalog"))</f>
        <v/>
      </c>
      <c r="G1275" s="12" t="str">
        <f aca="false">IF(A1275="","",COUNTIFS('Weekly Log'!$A:$A,'Grocery List'!$B$3,'Weekly Log'!$C:$C,A1275,'Weekly Log'!$E:$E,"Yes"))</f>
        <v/>
      </c>
      <c r="H1275" s="12" t="str">
        <f aca="false">IF(OR(A1275="",D1275=""),"",D1275*G1275)</f>
        <v/>
      </c>
    </row>
    <row r="1276" customFormat="false" ht="15" hidden="false" customHeight="false" outlineLevel="0" collapsed="false">
      <c r="B1276" s="12" t="str">
        <f aca="false">IF(A1276="","",IFERROR(INDEX(Recipes!$B:$B,MATCH(A1276,Recipes!$A:$A,0)),"⚠ unknown recipe_id"))</f>
        <v/>
      </c>
      <c r="E1276" s="12" t="str">
        <f aca="false">IF(C1276="","",IFERROR(INDEX('Ingredient Catalog'!$C:$C,MATCH(C1276,'Ingredient Catalog'!$A:$A,0)),"⚠ not in catalog"))</f>
        <v/>
      </c>
      <c r="G1276" s="12" t="str">
        <f aca="false">IF(A1276="","",COUNTIFS('Weekly Log'!$A:$A,'Grocery List'!$B$3,'Weekly Log'!$C:$C,A1276,'Weekly Log'!$E:$E,"Yes"))</f>
        <v/>
      </c>
      <c r="H1276" s="12" t="str">
        <f aca="false">IF(OR(A1276="",D1276=""),"",D1276*G1276)</f>
        <v/>
      </c>
    </row>
    <row r="1277" customFormat="false" ht="15" hidden="false" customHeight="false" outlineLevel="0" collapsed="false">
      <c r="B1277" s="12" t="str">
        <f aca="false">IF(A1277="","",IFERROR(INDEX(Recipes!$B:$B,MATCH(A1277,Recipes!$A:$A,0)),"⚠ unknown recipe_id"))</f>
        <v/>
      </c>
      <c r="E1277" s="12" t="str">
        <f aca="false">IF(C1277="","",IFERROR(INDEX('Ingredient Catalog'!$C:$C,MATCH(C1277,'Ingredient Catalog'!$A:$A,0)),"⚠ not in catalog"))</f>
        <v/>
      </c>
      <c r="G1277" s="12" t="str">
        <f aca="false">IF(A1277="","",COUNTIFS('Weekly Log'!$A:$A,'Grocery List'!$B$3,'Weekly Log'!$C:$C,A1277,'Weekly Log'!$E:$E,"Yes"))</f>
        <v/>
      </c>
      <c r="H1277" s="12" t="str">
        <f aca="false">IF(OR(A1277="",D1277=""),"",D1277*G1277)</f>
        <v/>
      </c>
    </row>
    <row r="1278" customFormat="false" ht="15" hidden="false" customHeight="false" outlineLevel="0" collapsed="false">
      <c r="B1278" s="12" t="str">
        <f aca="false">IF(A1278="","",IFERROR(INDEX(Recipes!$B:$B,MATCH(A1278,Recipes!$A:$A,0)),"⚠ unknown recipe_id"))</f>
        <v/>
      </c>
      <c r="E1278" s="12" t="str">
        <f aca="false">IF(C1278="","",IFERROR(INDEX('Ingredient Catalog'!$C:$C,MATCH(C1278,'Ingredient Catalog'!$A:$A,0)),"⚠ not in catalog"))</f>
        <v/>
      </c>
      <c r="G1278" s="12" t="str">
        <f aca="false">IF(A1278="","",COUNTIFS('Weekly Log'!$A:$A,'Grocery List'!$B$3,'Weekly Log'!$C:$C,A1278,'Weekly Log'!$E:$E,"Yes"))</f>
        <v/>
      </c>
      <c r="H1278" s="12" t="str">
        <f aca="false">IF(OR(A1278="",D1278=""),"",D1278*G1278)</f>
        <v/>
      </c>
    </row>
    <row r="1279" customFormat="false" ht="15" hidden="false" customHeight="false" outlineLevel="0" collapsed="false">
      <c r="B1279" s="12" t="str">
        <f aca="false">IF(A1279="","",IFERROR(INDEX(Recipes!$B:$B,MATCH(A1279,Recipes!$A:$A,0)),"⚠ unknown recipe_id"))</f>
        <v/>
      </c>
      <c r="E1279" s="12" t="str">
        <f aca="false">IF(C1279="","",IFERROR(INDEX('Ingredient Catalog'!$C:$C,MATCH(C1279,'Ingredient Catalog'!$A:$A,0)),"⚠ not in catalog"))</f>
        <v/>
      </c>
      <c r="G1279" s="12" t="str">
        <f aca="false">IF(A1279="","",COUNTIFS('Weekly Log'!$A:$A,'Grocery List'!$B$3,'Weekly Log'!$C:$C,A1279,'Weekly Log'!$E:$E,"Yes"))</f>
        <v/>
      </c>
      <c r="H1279" s="12" t="str">
        <f aca="false">IF(OR(A1279="",D1279=""),"",D1279*G1279)</f>
        <v/>
      </c>
    </row>
    <row r="1280" customFormat="false" ht="15" hidden="false" customHeight="false" outlineLevel="0" collapsed="false">
      <c r="B1280" s="12" t="str">
        <f aca="false">IF(A1280="","",IFERROR(INDEX(Recipes!$B:$B,MATCH(A1280,Recipes!$A:$A,0)),"⚠ unknown recipe_id"))</f>
        <v/>
      </c>
      <c r="E1280" s="12" t="str">
        <f aca="false">IF(C1280="","",IFERROR(INDEX('Ingredient Catalog'!$C:$C,MATCH(C1280,'Ingredient Catalog'!$A:$A,0)),"⚠ not in catalog"))</f>
        <v/>
      </c>
      <c r="G1280" s="12" t="str">
        <f aca="false">IF(A1280="","",COUNTIFS('Weekly Log'!$A:$A,'Grocery List'!$B$3,'Weekly Log'!$C:$C,A1280,'Weekly Log'!$E:$E,"Yes"))</f>
        <v/>
      </c>
      <c r="H1280" s="12" t="str">
        <f aca="false">IF(OR(A1280="",D1280=""),"",D1280*G1280)</f>
        <v/>
      </c>
    </row>
    <row r="1281" customFormat="false" ht="15" hidden="false" customHeight="false" outlineLevel="0" collapsed="false">
      <c r="B1281" s="12" t="str">
        <f aca="false">IF(A1281="","",IFERROR(INDEX(Recipes!$B:$B,MATCH(A1281,Recipes!$A:$A,0)),"⚠ unknown recipe_id"))</f>
        <v/>
      </c>
      <c r="E1281" s="12" t="str">
        <f aca="false">IF(C1281="","",IFERROR(INDEX('Ingredient Catalog'!$C:$C,MATCH(C1281,'Ingredient Catalog'!$A:$A,0)),"⚠ not in catalog"))</f>
        <v/>
      </c>
      <c r="G1281" s="12" t="str">
        <f aca="false">IF(A1281="","",COUNTIFS('Weekly Log'!$A:$A,'Grocery List'!$B$3,'Weekly Log'!$C:$C,A1281,'Weekly Log'!$E:$E,"Yes"))</f>
        <v/>
      </c>
      <c r="H1281" s="12" t="str">
        <f aca="false">IF(OR(A1281="",D1281=""),"",D1281*G1281)</f>
        <v/>
      </c>
    </row>
    <row r="1282" customFormat="false" ht="15" hidden="false" customHeight="false" outlineLevel="0" collapsed="false">
      <c r="B1282" s="12" t="str">
        <f aca="false">IF(A1282="","",IFERROR(INDEX(Recipes!$B:$B,MATCH(A1282,Recipes!$A:$A,0)),"⚠ unknown recipe_id"))</f>
        <v/>
      </c>
      <c r="E1282" s="12" t="str">
        <f aca="false">IF(C1282="","",IFERROR(INDEX('Ingredient Catalog'!$C:$C,MATCH(C1282,'Ingredient Catalog'!$A:$A,0)),"⚠ not in catalog"))</f>
        <v/>
      </c>
      <c r="G1282" s="12" t="str">
        <f aca="false">IF(A1282="","",COUNTIFS('Weekly Log'!$A:$A,'Grocery List'!$B$3,'Weekly Log'!$C:$C,A1282,'Weekly Log'!$E:$E,"Yes"))</f>
        <v/>
      </c>
      <c r="H1282" s="12" t="str">
        <f aca="false">IF(OR(A1282="",D1282=""),"",D1282*G1282)</f>
        <v/>
      </c>
    </row>
    <row r="1283" customFormat="false" ht="15" hidden="false" customHeight="false" outlineLevel="0" collapsed="false">
      <c r="B1283" s="12" t="str">
        <f aca="false">IF(A1283="","",IFERROR(INDEX(Recipes!$B:$B,MATCH(A1283,Recipes!$A:$A,0)),"⚠ unknown recipe_id"))</f>
        <v/>
      </c>
      <c r="E1283" s="12" t="str">
        <f aca="false">IF(C1283="","",IFERROR(INDEX('Ingredient Catalog'!$C:$C,MATCH(C1283,'Ingredient Catalog'!$A:$A,0)),"⚠ not in catalog"))</f>
        <v/>
      </c>
      <c r="G1283" s="12" t="str">
        <f aca="false">IF(A1283="","",COUNTIFS('Weekly Log'!$A:$A,'Grocery List'!$B$3,'Weekly Log'!$C:$C,A1283,'Weekly Log'!$E:$E,"Yes"))</f>
        <v/>
      </c>
      <c r="H1283" s="12" t="str">
        <f aca="false">IF(OR(A1283="",D1283=""),"",D1283*G1283)</f>
        <v/>
      </c>
    </row>
    <row r="1284" customFormat="false" ht="15" hidden="false" customHeight="false" outlineLevel="0" collapsed="false">
      <c r="B1284" s="12" t="str">
        <f aca="false">IF(A1284="","",IFERROR(INDEX(Recipes!$B:$B,MATCH(A1284,Recipes!$A:$A,0)),"⚠ unknown recipe_id"))</f>
        <v/>
      </c>
      <c r="E1284" s="12" t="str">
        <f aca="false">IF(C1284="","",IFERROR(INDEX('Ingredient Catalog'!$C:$C,MATCH(C1284,'Ingredient Catalog'!$A:$A,0)),"⚠ not in catalog"))</f>
        <v/>
      </c>
      <c r="G1284" s="12" t="str">
        <f aca="false">IF(A1284="","",COUNTIFS('Weekly Log'!$A:$A,'Grocery List'!$B$3,'Weekly Log'!$C:$C,A1284,'Weekly Log'!$E:$E,"Yes"))</f>
        <v/>
      </c>
      <c r="H1284" s="12" t="str">
        <f aca="false">IF(OR(A1284="",D1284=""),"",D1284*G1284)</f>
        <v/>
      </c>
    </row>
    <row r="1285" customFormat="false" ht="15" hidden="false" customHeight="false" outlineLevel="0" collapsed="false">
      <c r="B1285" s="12" t="str">
        <f aca="false">IF(A1285="","",IFERROR(INDEX(Recipes!$B:$B,MATCH(A1285,Recipes!$A:$A,0)),"⚠ unknown recipe_id"))</f>
        <v/>
      </c>
      <c r="E1285" s="12" t="str">
        <f aca="false">IF(C1285="","",IFERROR(INDEX('Ingredient Catalog'!$C:$C,MATCH(C1285,'Ingredient Catalog'!$A:$A,0)),"⚠ not in catalog"))</f>
        <v/>
      </c>
      <c r="G1285" s="12" t="str">
        <f aca="false">IF(A1285="","",COUNTIFS('Weekly Log'!$A:$A,'Grocery List'!$B$3,'Weekly Log'!$C:$C,A1285,'Weekly Log'!$E:$E,"Yes"))</f>
        <v/>
      </c>
      <c r="H1285" s="12" t="str">
        <f aca="false">IF(OR(A1285="",D1285=""),"",D1285*G1285)</f>
        <v/>
      </c>
    </row>
    <row r="1286" customFormat="false" ht="15" hidden="false" customHeight="false" outlineLevel="0" collapsed="false">
      <c r="B1286" s="12" t="str">
        <f aca="false">IF(A1286="","",IFERROR(INDEX(Recipes!$B:$B,MATCH(A1286,Recipes!$A:$A,0)),"⚠ unknown recipe_id"))</f>
        <v/>
      </c>
      <c r="E1286" s="12" t="str">
        <f aca="false">IF(C1286="","",IFERROR(INDEX('Ingredient Catalog'!$C:$C,MATCH(C1286,'Ingredient Catalog'!$A:$A,0)),"⚠ not in catalog"))</f>
        <v/>
      </c>
      <c r="G1286" s="12" t="str">
        <f aca="false">IF(A1286="","",COUNTIFS('Weekly Log'!$A:$A,'Grocery List'!$B$3,'Weekly Log'!$C:$C,A1286,'Weekly Log'!$E:$E,"Yes"))</f>
        <v/>
      </c>
      <c r="H1286" s="12" t="str">
        <f aca="false">IF(OR(A1286="",D1286=""),"",D1286*G1286)</f>
        <v/>
      </c>
    </row>
    <row r="1287" customFormat="false" ht="15" hidden="false" customHeight="false" outlineLevel="0" collapsed="false">
      <c r="B1287" s="12" t="str">
        <f aca="false">IF(A1287="","",IFERROR(INDEX(Recipes!$B:$B,MATCH(A1287,Recipes!$A:$A,0)),"⚠ unknown recipe_id"))</f>
        <v/>
      </c>
      <c r="E1287" s="12" t="str">
        <f aca="false">IF(C1287="","",IFERROR(INDEX('Ingredient Catalog'!$C:$C,MATCH(C1287,'Ingredient Catalog'!$A:$A,0)),"⚠ not in catalog"))</f>
        <v/>
      </c>
      <c r="G1287" s="12" t="str">
        <f aca="false">IF(A1287="","",COUNTIFS('Weekly Log'!$A:$A,'Grocery List'!$B$3,'Weekly Log'!$C:$C,A1287,'Weekly Log'!$E:$E,"Yes"))</f>
        <v/>
      </c>
      <c r="H1287" s="12" t="str">
        <f aca="false">IF(OR(A1287="",D1287=""),"",D1287*G1287)</f>
        <v/>
      </c>
    </row>
    <row r="1288" customFormat="false" ht="15" hidden="false" customHeight="false" outlineLevel="0" collapsed="false">
      <c r="B1288" s="12" t="str">
        <f aca="false">IF(A1288="","",IFERROR(INDEX(Recipes!$B:$B,MATCH(A1288,Recipes!$A:$A,0)),"⚠ unknown recipe_id"))</f>
        <v/>
      </c>
      <c r="E1288" s="12" t="str">
        <f aca="false">IF(C1288="","",IFERROR(INDEX('Ingredient Catalog'!$C:$C,MATCH(C1288,'Ingredient Catalog'!$A:$A,0)),"⚠ not in catalog"))</f>
        <v/>
      </c>
      <c r="G1288" s="12" t="str">
        <f aca="false">IF(A1288="","",COUNTIFS('Weekly Log'!$A:$A,'Grocery List'!$B$3,'Weekly Log'!$C:$C,A1288,'Weekly Log'!$E:$E,"Yes"))</f>
        <v/>
      </c>
      <c r="H1288" s="12" t="str">
        <f aca="false">IF(OR(A1288="",D1288=""),"",D1288*G1288)</f>
        <v/>
      </c>
    </row>
    <row r="1289" customFormat="false" ht="15" hidden="false" customHeight="false" outlineLevel="0" collapsed="false">
      <c r="B1289" s="12" t="str">
        <f aca="false">IF(A1289="","",IFERROR(INDEX(Recipes!$B:$B,MATCH(A1289,Recipes!$A:$A,0)),"⚠ unknown recipe_id"))</f>
        <v/>
      </c>
      <c r="E1289" s="12" t="str">
        <f aca="false">IF(C1289="","",IFERROR(INDEX('Ingredient Catalog'!$C:$C,MATCH(C1289,'Ingredient Catalog'!$A:$A,0)),"⚠ not in catalog"))</f>
        <v/>
      </c>
      <c r="G1289" s="12" t="str">
        <f aca="false">IF(A1289="","",COUNTIFS('Weekly Log'!$A:$A,'Grocery List'!$B$3,'Weekly Log'!$C:$C,A1289,'Weekly Log'!$E:$E,"Yes"))</f>
        <v/>
      </c>
      <c r="H1289" s="12" t="str">
        <f aca="false">IF(OR(A1289="",D1289=""),"",D1289*G1289)</f>
        <v/>
      </c>
    </row>
    <row r="1290" customFormat="false" ht="15" hidden="false" customHeight="false" outlineLevel="0" collapsed="false">
      <c r="B1290" s="12" t="str">
        <f aca="false">IF(A1290="","",IFERROR(INDEX(Recipes!$B:$B,MATCH(A1290,Recipes!$A:$A,0)),"⚠ unknown recipe_id"))</f>
        <v/>
      </c>
      <c r="E1290" s="12" t="str">
        <f aca="false">IF(C1290="","",IFERROR(INDEX('Ingredient Catalog'!$C:$C,MATCH(C1290,'Ingredient Catalog'!$A:$A,0)),"⚠ not in catalog"))</f>
        <v/>
      </c>
      <c r="G1290" s="12" t="str">
        <f aca="false">IF(A1290="","",COUNTIFS('Weekly Log'!$A:$A,'Grocery List'!$B$3,'Weekly Log'!$C:$C,A1290,'Weekly Log'!$E:$E,"Yes"))</f>
        <v/>
      </c>
      <c r="H1290" s="12" t="str">
        <f aca="false">IF(OR(A1290="",D1290=""),"",D1290*G1290)</f>
        <v/>
      </c>
    </row>
    <row r="1291" customFormat="false" ht="15" hidden="false" customHeight="false" outlineLevel="0" collapsed="false">
      <c r="B1291" s="12" t="str">
        <f aca="false">IF(A1291="","",IFERROR(INDEX(Recipes!$B:$B,MATCH(A1291,Recipes!$A:$A,0)),"⚠ unknown recipe_id"))</f>
        <v/>
      </c>
      <c r="E1291" s="12" t="str">
        <f aca="false">IF(C1291="","",IFERROR(INDEX('Ingredient Catalog'!$C:$C,MATCH(C1291,'Ingredient Catalog'!$A:$A,0)),"⚠ not in catalog"))</f>
        <v/>
      </c>
      <c r="G1291" s="12" t="str">
        <f aca="false">IF(A1291="","",COUNTIFS('Weekly Log'!$A:$A,'Grocery List'!$B$3,'Weekly Log'!$C:$C,A1291,'Weekly Log'!$E:$E,"Yes"))</f>
        <v/>
      </c>
      <c r="H1291" s="12" t="str">
        <f aca="false">IF(OR(A1291="",D1291=""),"",D1291*G1291)</f>
        <v/>
      </c>
    </row>
    <row r="1292" customFormat="false" ht="15" hidden="false" customHeight="false" outlineLevel="0" collapsed="false">
      <c r="B1292" s="12" t="str">
        <f aca="false">IF(A1292="","",IFERROR(INDEX(Recipes!$B:$B,MATCH(A1292,Recipes!$A:$A,0)),"⚠ unknown recipe_id"))</f>
        <v/>
      </c>
      <c r="E1292" s="12" t="str">
        <f aca="false">IF(C1292="","",IFERROR(INDEX('Ingredient Catalog'!$C:$C,MATCH(C1292,'Ingredient Catalog'!$A:$A,0)),"⚠ not in catalog"))</f>
        <v/>
      </c>
      <c r="G1292" s="12" t="str">
        <f aca="false">IF(A1292="","",COUNTIFS('Weekly Log'!$A:$A,'Grocery List'!$B$3,'Weekly Log'!$C:$C,A1292,'Weekly Log'!$E:$E,"Yes"))</f>
        <v/>
      </c>
      <c r="H1292" s="12" t="str">
        <f aca="false">IF(OR(A1292="",D1292=""),"",D1292*G1292)</f>
        <v/>
      </c>
    </row>
    <row r="1293" customFormat="false" ht="15" hidden="false" customHeight="false" outlineLevel="0" collapsed="false">
      <c r="B1293" s="12" t="str">
        <f aca="false">IF(A1293="","",IFERROR(INDEX(Recipes!$B:$B,MATCH(A1293,Recipes!$A:$A,0)),"⚠ unknown recipe_id"))</f>
        <v/>
      </c>
      <c r="E1293" s="12" t="str">
        <f aca="false">IF(C1293="","",IFERROR(INDEX('Ingredient Catalog'!$C:$C,MATCH(C1293,'Ingredient Catalog'!$A:$A,0)),"⚠ not in catalog"))</f>
        <v/>
      </c>
      <c r="G1293" s="12" t="str">
        <f aca="false">IF(A1293="","",COUNTIFS('Weekly Log'!$A:$A,'Grocery List'!$B$3,'Weekly Log'!$C:$C,A1293,'Weekly Log'!$E:$E,"Yes"))</f>
        <v/>
      </c>
      <c r="H1293" s="12" t="str">
        <f aca="false">IF(OR(A1293="",D1293=""),"",D1293*G1293)</f>
        <v/>
      </c>
    </row>
    <row r="1294" customFormat="false" ht="15" hidden="false" customHeight="false" outlineLevel="0" collapsed="false">
      <c r="B1294" s="12" t="str">
        <f aca="false">IF(A1294="","",IFERROR(INDEX(Recipes!$B:$B,MATCH(A1294,Recipes!$A:$A,0)),"⚠ unknown recipe_id"))</f>
        <v/>
      </c>
      <c r="E1294" s="12" t="str">
        <f aca="false">IF(C1294="","",IFERROR(INDEX('Ingredient Catalog'!$C:$C,MATCH(C1294,'Ingredient Catalog'!$A:$A,0)),"⚠ not in catalog"))</f>
        <v/>
      </c>
      <c r="G1294" s="12" t="str">
        <f aca="false">IF(A1294="","",COUNTIFS('Weekly Log'!$A:$A,'Grocery List'!$B$3,'Weekly Log'!$C:$C,A1294,'Weekly Log'!$E:$E,"Yes"))</f>
        <v/>
      </c>
      <c r="H1294" s="12" t="str">
        <f aca="false">IF(OR(A1294="",D1294=""),"",D1294*G1294)</f>
        <v/>
      </c>
    </row>
    <row r="1295" customFormat="false" ht="15" hidden="false" customHeight="false" outlineLevel="0" collapsed="false">
      <c r="B1295" s="12" t="str">
        <f aca="false">IF(A1295="","",IFERROR(INDEX(Recipes!$B:$B,MATCH(A1295,Recipes!$A:$A,0)),"⚠ unknown recipe_id"))</f>
        <v/>
      </c>
      <c r="E1295" s="12" t="str">
        <f aca="false">IF(C1295="","",IFERROR(INDEX('Ingredient Catalog'!$C:$C,MATCH(C1295,'Ingredient Catalog'!$A:$A,0)),"⚠ not in catalog"))</f>
        <v/>
      </c>
      <c r="G1295" s="12" t="str">
        <f aca="false">IF(A1295="","",COUNTIFS('Weekly Log'!$A:$A,'Grocery List'!$B$3,'Weekly Log'!$C:$C,A1295,'Weekly Log'!$E:$E,"Yes"))</f>
        <v/>
      </c>
      <c r="H1295" s="12" t="str">
        <f aca="false">IF(OR(A1295="",D1295=""),"",D1295*G1295)</f>
        <v/>
      </c>
    </row>
    <row r="1296" customFormat="false" ht="15" hidden="false" customHeight="false" outlineLevel="0" collapsed="false">
      <c r="B1296" s="12" t="str">
        <f aca="false">IF(A1296="","",IFERROR(INDEX(Recipes!$B:$B,MATCH(A1296,Recipes!$A:$A,0)),"⚠ unknown recipe_id"))</f>
        <v/>
      </c>
      <c r="E1296" s="12" t="str">
        <f aca="false">IF(C1296="","",IFERROR(INDEX('Ingredient Catalog'!$C:$C,MATCH(C1296,'Ingredient Catalog'!$A:$A,0)),"⚠ not in catalog"))</f>
        <v/>
      </c>
      <c r="G1296" s="12" t="str">
        <f aca="false">IF(A1296="","",COUNTIFS('Weekly Log'!$A:$A,'Grocery List'!$B$3,'Weekly Log'!$C:$C,A1296,'Weekly Log'!$E:$E,"Yes"))</f>
        <v/>
      </c>
      <c r="H1296" s="12" t="str">
        <f aca="false">IF(OR(A1296="",D1296=""),"",D1296*G1296)</f>
        <v/>
      </c>
    </row>
    <row r="1297" customFormat="false" ht="15" hidden="false" customHeight="false" outlineLevel="0" collapsed="false">
      <c r="B1297" s="12" t="str">
        <f aca="false">IF(A1297="","",IFERROR(INDEX(Recipes!$B:$B,MATCH(A1297,Recipes!$A:$A,0)),"⚠ unknown recipe_id"))</f>
        <v/>
      </c>
      <c r="E1297" s="12" t="str">
        <f aca="false">IF(C1297="","",IFERROR(INDEX('Ingredient Catalog'!$C:$C,MATCH(C1297,'Ingredient Catalog'!$A:$A,0)),"⚠ not in catalog"))</f>
        <v/>
      </c>
      <c r="G1297" s="12" t="str">
        <f aca="false">IF(A1297="","",COUNTIFS('Weekly Log'!$A:$A,'Grocery List'!$B$3,'Weekly Log'!$C:$C,A1297,'Weekly Log'!$E:$E,"Yes"))</f>
        <v/>
      </c>
      <c r="H1297" s="12" t="str">
        <f aca="false">IF(OR(A1297="",D1297=""),"",D1297*G1297)</f>
        <v/>
      </c>
    </row>
    <row r="1298" customFormat="false" ht="15" hidden="false" customHeight="false" outlineLevel="0" collapsed="false">
      <c r="B1298" s="12" t="str">
        <f aca="false">IF(A1298="","",IFERROR(INDEX(Recipes!$B:$B,MATCH(A1298,Recipes!$A:$A,0)),"⚠ unknown recipe_id"))</f>
        <v/>
      </c>
      <c r="E1298" s="12" t="str">
        <f aca="false">IF(C1298="","",IFERROR(INDEX('Ingredient Catalog'!$C:$C,MATCH(C1298,'Ingredient Catalog'!$A:$A,0)),"⚠ not in catalog"))</f>
        <v/>
      </c>
      <c r="G1298" s="12" t="str">
        <f aca="false">IF(A1298="","",COUNTIFS('Weekly Log'!$A:$A,'Grocery List'!$B$3,'Weekly Log'!$C:$C,A1298,'Weekly Log'!$E:$E,"Yes"))</f>
        <v/>
      </c>
      <c r="H1298" s="12" t="str">
        <f aca="false">IF(OR(A1298="",D1298=""),"",D1298*G1298)</f>
        <v/>
      </c>
    </row>
    <row r="1299" customFormat="false" ht="15" hidden="false" customHeight="false" outlineLevel="0" collapsed="false">
      <c r="B1299" s="12" t="str">
        <f aca="false">IF(A1299="","",IFERROR(INDEX(Recipes!$B:$B,MATCH(A1299,Recipes!$A:$A,0)),"⚠ unknown recipe_id"))</f>
        <v/>
      </c>
      <c r="E1299" s="12" t="str">
        <f aca="false">IF(C1299="","",IFERROR(INDEX('Ingredient Catalog'!$C:$C,MATCH(C1299,'Ingredient Catalog'!$A:$A,0)),"⚠ not in catalog"))</f>
        <v/>
      </c>
      <c r="G1299" s="12" t="str">
        <f aca="false">IF(A1299="","",COUNTIFS('Weekly Log'!$A:$A,'Grocery List'!$B$3,'Weekly Log'!$C:$C,A1299,'Weekly Log'!$E:$E,"Yes"))</f>
        <v/>
      </c>
      <c r="H1299" s="12" t="str">
        <f aca="false">IF(OR(A1299="",D1299=""),"",D1299*G1299)</f>
        <v/>
      </c>
    </row>
    <row r="1300" customFormat="false" ht="15" hidden="false" customHeight="false" outlineLevel="0" collapsed="false">
      <c r="B1300" s="12" t="str">
        <f aca="false">IF(A1300="","",IFERROR(INDEX(Recipes!$B:$B,MATCH(A1300,Recipes!$A:$A,0)),"⚠ unknown recipe_id"))</f>
        <v/>
      </c>
      <c r="E1300" s="12" t="str">
        <f aca="false">IF(C1300="","",IFERROR(INDEX('Ingredient Catalog'!$C:$C,MATCH(C1300,'Ingredient Catalog'!$A:$A,0)),"⚠ not in catalog"))</f>
        <v/>
      </c>
      <c r="G1300" s="12" t="str">
        <f aca="false">IF(A1300="","",COUNTIFS('Weekly Log'!$A:$A,'Grocery List'!$B$3,'Weekly Log'!$C:$C,A1300,'Weekly Log'!$E:$E,"Yes"))</f>
        <v/>
      </c>
      <c r="H1300" s="12" t="str">
        <f aca="false">IF(OR(A1300="",D1300=""),"",D1300*G1300)</f>
        <v/>
      </c>
    </row>
    <row r="1301" customFormat="false" ht="15" hidden="false" customHeight="false" outlineLevel="0" collapsed="false">
      <c r="B1301" s="12" t="str">
        <f aca="false">IF(A1301="","",IFERROR(INDEX(Recipes!$B:$B,MATCH(A1301,Recipes!$A:$A,0)),"⚠ unknown recipe_id"))</f>
        <v/>
      </c>
      <c r="E1301" s="12" t="str">
        <f aca="false">IF(C1301="","",IFERROR(INDEX('Ingredient Catalog'!$C:$C,MATCH(C1301,'Ingredient Catalog'!$A:$A,0)),"⚠ not in catalog"))</f>
        <v/>
      </c>
      <c r="G1301" s="12" t="str">
        <f aca="false">IF(A1301="","",COUNTIFS('Weekly Log'!$A:$A,'Grocery List'!$B$3,'Weekly Log'!$C:$C,A1301,'Weekly Log'!$E:$E,"Yes"))</f>
        <v/>
      </c>
      <c r="H1301" s="12" t="str">
        <f aca="false">IF(OR(A1301="",D1301=""),"",D1301*G1301)</f>
        <v/>
      </c>
    </row>
    <row r="1302" customFormat="false" ht="15" hidden="false" customHeight="false" outlineLevel="0" collapsed="false">
      <c r="B1302" s="12" t="str">
        <f aca="false">IF(A1302="","",IFERROR(INDEX(Recipes!$B:$B,MATCH(A1302,Recipes!$A:$A,0)),"⚠ unknown recipe_id"))</f>
        <v/>
      </c>
      <c r="E1302" s="12" t="str">
        <f aca="false">IF(C1302="","",IFERROR(INDEX('Ingredient Catalog'!$C:$C,MATCH(C1302,'Ingredient Catalog'!$A:$A,0)),"⚠ not in catalog"))</f>
        <v/>
      </c>
      <c r="G1302" s="12" t="str">
        <f aca="false">IF(A1302="","",COUNTIFS('Weekly Log'!$A:$A,'Grocery List'!$B$3,'Weekly Log'!$C:$C,A1302,'Weekly Log'!$E:$E,"Yes"))</f>
        <v/>
      </c>
      <c r="H1302" s="12" t="str">
        <f aca="false">IF(OR(A1302="",D1302=""),"",D1302*G1302)</f>
        <v/>
      </c>
    </row>
    <row r="1303" customFormat="false" ht="15" hidden="false" customHeight="false" outlineLevel="0" collapsed="false">
      <c r="B1303" s="12" t="str">
        <f aca="false">IF(A1303="","",IFERROR(INDEX(Recipes!$B:$B,MATCH(A1303,Recipes!$A:$A,0)),"⚠ unknown recipe_id"))</f>
        <v/>
      </c>
      <c r="E1303" s="12" t="str">
        <f aca="false">IF(C1303="","",IFERROR(INDEX('Ingredient Catalog'!$C:$C,MATCH(C1303,'Ingredient Catalog'!$A:$A,0)),"⚠ not in catalog"))</f>
        <v/>
      </c>
      <c r="G1303" s="12" t="str">
        <f aca="false">IF(A1303="","",COUNTIFS('Weekly Log'!$A:$A,'Grocery List'!$B$3,'Weekly Log'!$C:$C,A1303,'Weekly Log'!$E:$E,"Yes"))</f>
        <v/>
      </c>
      <c r="H1303" s="12" t="str">
        <f aca="false">IF(OR(A1303="",D1303=""),"",D1303*G1303)</f>
        <v/>
      </c>
    </row>
    <row r="1304" customFormat="false" ht="15" hidden="false" customHeight="false" outlineLevel="0" collapsed="false">
      <c r="B1304" s="12" t="str">
        <f aca="false">IF(A1304="","",IFERROR(INDEX(Recipes!$B:$B,MATCH(A1304,Recipes!$A:$A,0)),"⚠ unknown recipe_id"))</f>
        <v/>
      </c>
      <c r="E1304" s="12" t="str">
        <f aca="false">IF(C1304="","",IFERROR(INDEX('Ingredient Catalog'!$C:$C,MATCH(C1304,'Ingredient Catalog'!$A:$A,0)),"⚠ not in catalog"))</f>
        <v/>
      </c>
      <c r="G1304" s="12" t="str">
        <f aca="false">IF(A1304="","",COUNTIFS('Weekly Log'!$A:$A,'Grocery List'!$B$3,'Weekly Log'!$C:$C,A1304,'Weekly Log'!$E:$E,"Yes"))</f>
        <v/>
      </c>
      <c r="H1304" s="12" t="str">
        <f aca="false">IF(OR(A1304="",D1304=""),"",D1304*G1304)</f>
        <v/>
      </c>
    </row>
    <row r="1305" customFormat="false" ht="15" hidden="false" customHeight="false" outlineLevel="0" collapsed="false">
      <c r="B1305" s="12" t="str">
        <f aca="false">IF(A1305="","",IFERROR(INDEX(Recipes!$B:$B,MATCH(A1305,Recipes!$A:$A,0)),"⚠ unknown recipe_id"))</f>
        <v/>
      </c>
      <c r="E1305" s="12" t="str">
        <f aca="false">IF(C1305="","",IFERROR(INDEX('Ingredient Catalog'!$C:$C,MATCH(C1305,'Ingredient Catalog'!$A:$A,0)),"⚠ not in catalog"))</f>
        <v/>
      </c>
      <c r="G1305" s="12" t="str">
        <f aca="false">IF(A1305="","",COUNTIFS('Weekly Log'!$A:$A,'Grocery List'!$B$3,'Weekly Log'!$C:$C,A1305,'Weekly Log'!$E:$E,"Yes"))</f>
        <v/>
      </c>
      <c r="H1305" s="12" t="str">
        <f aca="false">IF(OR(A1305="",D1305=""),"",D1305*G1305)</f>
        <v/>
      </c>
    </row>
    <row r="1306" customFormat="false" ht="15" hidden="false" customHeight="false" outlineLevel="0" collapsed="false">
      <c r="B1306" s="12" t="str">
        <f aca="false">IF(A1306="","",IFERROR(INDEX(Recipes!$B:$B,MATCH(A1306,Recipes!$A:$A,0)),"⚠ unknown recipe_id"))</f>
        <v/>
      </c>
      <c r="E1306" s="12" t="str">
        <f aca="false">IF(C1306="","",IFERROR(INDEX('Ingredient Catalog'!$C:$C,MATCH(C1306,'Ingredient Catalog'!$A:$A,0)),"⚠ not in catalog"))</f>
        <v/>
      </c>
      <c r="G1306" s="12" t="str">
        <f aca="false">IF(A1306="","",COUNTIFS('Weekly Log'!$A:$A,'Grocery List'!$B$3,'Weekly Log'!$C:$C,A1306,'Weekly Log'!$E:$E,"Yes"))</f>
        <v/>
      </c>
      <c r="H1306" s="12" t="str">
        <f aca="false">IF(OR(A1306="",D1306=""),"",D1306*G1306)</f>
        <v/>
      </c>
    </row>
    <row r="1307" customFormat="false" ht="15" hidden="false" customHeight="false" outlineLevel="0" collapsed="false">
      <c r="B1307" s="12" t="str">
        <f aca="false">IF(A1307="","",IFERROR(INDEX(Recipes!$B:$B,MATCH(A1307,Recipes!$A:$A,0)),"⚠ unknown recipe_id"))</f>
        <v/>
      </c>
      <c r="E1307" s="12" t="str">
        <f aca="false">IF(C1307="","",IFERROR(INDEX('Ingredient Catalog'!$C:$C,MATCH(C1307,'Ingredient Catalog'!$A:$A,0)),"⚠ not in catalog"))</f>
        <v/>
      </c>
      <c r="G1307" s="12" t="str">
        <f aca="false">IF(A1307="","",COUNTIFS('Weekly Log'!$A:$A,'Grocery List'!$B$3,'Weekly Log'!$C:$C,A1307,'Weekly Log'!$E:$E,"Yes"))</f>
        <v/>
      </c>
      <c r="H1307" s="12" t="str">
        <f aca="false">IF(OR(A1307="",D1307=""),"",D1307*G1307)</f>
        <v/>
      </c>
    </row>
    <row r="1308" customFormat="false" ht="15" hidden="false" customHeight="false" outlineLevel="0" collapsed="false">
      <c r="B1308" s="12" t="str">
        <f aca="false">IF(A1308="","",IFERROR(INDEX(Recipes!$B:$B,MATCH(A1308,Recipes!$A:$A,0)),"⚠ unknown recipe_id"))</f>
        <v/>
      </c>
      <c r="E1308" s="12" t="str">
        <f aca="false">IF(C1308="","",IFERROR(INDEX('Ingredient Catalog'!$C:$C,MATCH(C1308,'Ingredient Catalog'!$A:$A,0)),"⚠ not in catalog"))</f>
        <v/>
      </c>
      <c r="G1308" s="12" t="str">
        <f aca="false">IF(A1308="","",COUNTIFS('Weekly Log'!$A:$A,'Grocery List'!$B$3,'Weekly Log'!$C:$C,A1308,'Weekly Log'!$E:$E,"Yes"))</f>
        <v/>
      </c>
      <c r="H1308" s="12" t="str">
        <f aca="false">IF(OR(A1308="",D1308=""),"",D1308*G1308)</f>
        <v/>
      </c>
    </row>
    <row r="1309" customFormat="false" ht="15" hidden="false" customHeight="false" outlineLevel="0" collapsed="false">
      <c r="B1309" s="12" t="str">
        <f aca="false">IF(A1309="","",IFERROR(INDEX(Recipes!$B:$B,MATCH(A1309,Recipes!$A:$A,0)),"⚠ unknown recipe_id"))</f>
        <v/>
      </c>
      <c r="E1309" s="12" t="str">
        <f aca="false">IF(C1309="","",IFERROR(INDEX('Ingredient Catalog'!$C:$C,MATCH(C1309,'Ingredient Catalog'!$A:$A,0)),"⚠ not in catalog"))</f>
        <v/>
      </c>
      <c r="G1309" s="12" t="str">
        <f aca="false">IF(A1309="","",COUNTIFS('Weekly Log'!$A:$A,'Grocery List'!$B$3,'Weekly Log'!$C:$C,A1309,'Weekly Log'!$E:$E,"Yes"))</f>
        <v/>
      </c>
      <c r="H1309" s="12" t="str">
        <f aca="false">IF(OR(A1309="",D1309=""),"",D1309*G1309)</f>
        <v/>
      </c>
    </row>
    <row r="1310" customFormat="false" ht="15" hidden="false" customHeight="false" outlineLevel="0" collapsed="false">
      <c r="B1310" s="12" t="str">
        <f aca="false">IF(A1310="","",IFERROR(INDEX(Recipes!$B:$B,MATCH(A1310,Recipes!$A:$A,0)),"⚠ unknown recipe_id"))</f>
        <v/>
      </c>
      <c r="E1310" s="12" t="str">
        <f aca="false">IF(C1310="","",IFERROR(INDEX('Ingredient Catalog'!$C:$C,MATCH(C1310,'Ingredient Catalog'!$A:$A,0)),"⚠ not in catalog"))</f>
        <v/>
      </c>
      <c r="G1310" s="12" t="str">
        <f aca="false">IF(A1310="","",COUNTIFS('Weekly Log'!$A:$A,'Grocery List'!$B$3,'Weekly Log'!$C:$C,A1310,'Weekly Log'!$E:$E,"Yes"))</f>
        <v/>
      </c>
      <c r="H1310" s="12" t="str">
        <f aca="false">IF(OR(A1310="",D1310=""),"",D1310*G1310)</f>
        <v/>
      </c>
    </row>
    <row r="1311" customFormat="false" ht="15" hidden="false" customHeight="false" outlineLevel="0" collapsed="false">
      <c r="B1311" s="12" t="str">
        <f aca="false">IF(A1311="","",IFERROR(INDEX(Recipes!$B:$B,MATCH(A1311,Recipes!$A:$A,0)),"⚠ unknown recipe_id"))</f>
        <v/>
      </c>
      <c r="E1311" s="12" t="str">
        <f aca="false">IF(C1311="","",IFERROR(INDEX('Ingredient Catalog'!$C:$C,MATCH(C1311,'Ingredient Catalog'!$A:$A,0)),"⚠ not in catalog"))</f>
        <v/>
      </c>
      <c r="G1311" s="12" t="str">
        <f aca="false">IF(A1311="","",COUNTIFS('Weekly Log'!$A:$A,'Grocery List'!$B$3,'Weekly Log'!$C:$C,A1311,'Weekly Log'!$E:$E,"Yes"))</f>
        <v/>
      </c>
      <c r="H1311" s="12" t="str">
        <f aca="false">IF(OR(A1311="",D1311=""),"",D1311*G1311)</f>
        <v/>
      </c>
    </row>
    <row r="1312" customFormat="false" ht="15" hidden="false" customHeight="false" outlineLevel="0" collapsed="false">
      <c r="B1312" s="12" t="str">
        <f aca="false">IF(A1312="","",IFERROR(INDEX(Recipes!$B:$B,MATCH(A1312,Recipes!$A:$A,0)),"⚠ unknown recipe_id"))</f>
        <v/>
      </c>
      <c r="E1312" s="12" t="str">
        <f aca="false">IF(C1312="","",IFERROR(INDEX('Ingredient Catalog'!$C:$C,MATCH(C1312,'Ingredient Catalog'!$A:$A,0)),"⚠ not in catalog"))</f>
        <v/>
      </c>
      <c r="G1312" s="12" t="str">
        <f aca="false">IF(A1312="","",COUNTIFS('Weekly Log'!$A:$A,'Grocery List'!$B$3,'Weekly Log'!$C:$C,A1312,'Weekly Log'!$E:$E,"Yes"))</f>
        <v/>
      </c>
      <c r="H1312" s="12" t="str">
        <f aca="false">IF(OR(A1312="",D1312=""),"",D1312*G1312)</f>
        <v/>
      </c>
    </row>
    <row r="1313" customFormat="false" ht="15" hidden="false" customHeight="false" outlineLevel="0" collapsed="false">
      <c r="B1313" s="12" t="str">
        <f aca="false">IF(A1313="","",IFERROR(INDEX(Recipes!$B:$B,MATCH(A1313,Recipes!$A:$A,0)),"⚠ unknown recipe_id"))</f>
        <v/>
      </c>
      <c r="E1313" s="12" t="str">
        <f aca="false">IF(C1313="","",IFERROR(INDEX('Ingredient Catalog'!$C:$C,MATCH(C1313,'Ingredient Catalog'!$A:$A,0)),"⚠ not in catalog"))</f>
        <v/>
      </c>
      <c r="G1313" s="12" t="str">
        <f aca="false">IF(A1313="","",COUNTIFS('Weekly Log'!$A:$A,'Grocery List'!$B$3,'Weekly Log'!$C:$C,A1313,'Weekly Log'!$E:$E,"Yes"))</f>
        <v/>
      </c>
      <c r="H1313" s="12" t="str">
        <f aca="false">IF(OR(A1313="",D1313=""),"",D1313*G1313)</f>
        <v/>
      </c>
    </row>
    <row r="1314" customFormat="false" ht="15" hidden="false" customHeight="false" outlineLevel="0" collapsed="false">
      <c r="B1314" s="12" t="str">
        <f aca="false">IF(A1314="","",IFERROR(INDEX(Recipes!$B:$B,MATCH(A1314,Recipes!$A:$A,0)),"⚠ unknown recipe_id"))</f>
        <v/>
      </c>
      <c r="E1314" s="12" t="str">
        <f aca="false">IF(C1314="","",IFERROR(INDEX('Ingredient Catalog'!$C:$C,MATCH(C1314,'Ingredient Catalog'!$A:$A,0)),"⚠ not in catalog"))</f>
        <v/>
      </c>
      <c r="G1314" s="12" t="str">
        <f aca="false">IF(A1314="","",COUNTIFS('Weekly Log'!$A:$A,'Grocery List'!$B$3,'Weekly Log'!$C:$C,A1314,'Weekly Log'!$E:$E,"Yes"))</f>
        <v/>
      </c>
      <c r="H1314" s="12" t="str">
        <f aca="false">IF(OR(A1314="",D1314=""),"",D1314*G1314)</f>
        <v/>
      </c>
    </row>
    <row r="1315" customFormat="false" ht="15" hidden="false" customHeight="false" outlineLevel="0" collapsed="false">
      <c r="B1315" s="12" t="str">
        <f aca="false">IF(A1315="","",IFERROR(INDEX(Recipes!$B:$B,MATCH(A1315,Recipes!$A:$A,0)),"⚠ unknown recipe_id"))</f>
        <v/>
      </c>
      <c r="E1315" s="12" t="str">
        <f aca="false">IF(C1315="","",IFERROR(INDEX('Ingredient Catalog'!$C:$C,MATCH(C1315,'Ingredient Catalog'!$A:$A,0)),"⚠ not in catalog"))</f>
        <v/>
      </c>
      <c r="G1315" s="12" t="str">
        <f aca="false">IF(A1315="","",COUNTIFS('Weekly Log'!$A:$A,'Grocery List'!$B$3,'Weekly Log'!$C:$C,A1315,'Weekly Log'!$E:$E,"Yes"))</f>
        <v/>
      </c>
      <c r="H1315" s="12" t="str">
        <f aca="false">IF(OR(A1315="",D1315=""),"",D1315*G1315)</f>
        <v/>
      </c>
    </row>
    <row r="1316" customFormat="false" ht="15" hidden="false" customHeight="false" outlineLevel="0" collapsed="false">
      <c r="B1316" s="12" t="str">
        <f aca="false">IF(A1316="","",IFERROR(INDEX(Recipes!$B:$B,MATCH(A1316,Recipes!$A:$A,0)),"⚠ unknown recipe_id"))</f>
        <v/>
      </c>
      <c r="E1316" s="12" t="str">
        <f aca="false">IF(C1316="","",IFERROR(INDEX('Ingredient Catalog'!$C:$C,MATCH(C1316,'Ingredient Catalog'!$A:$A,0)),"⚠ not in catalog"))</f>
        <v/>
      </c>
      <c r="G1316" s="12" t="str">
        <f aca="false">IF(A1316="","",COUNTIFS('Weekly Log'!$A:$A,'Grocery List'!$B$3,'Weekly Log'!$C:$C,A1316,'Weekly Log'!$E:$E,"Yes"))</f>
        <v/>
      </c>
      <c r="H1316" s="12" t="str">
        <f aca="false">IF(OR(A1316="",D1316=""),"",D1316*G1316)</f>
        <v/>
      </c>
    </row>
    <row r="1317" customFormat="false" ht="15" hidden="false" customHeight="false" outlineLevel="0" collapsed="false">
      <c r="B1317" s="12" t="str">
        <f aca="false">IF(A1317="","",IFERROR(INDEX(Recipes!$B:$B,MATCH(A1317,Recipes!$A:$A,0)),"⚠ unknown recipe_id"))</f>
        <v/>
      </c>
      <c r="E1317" s="12" t="str">
        <f aca="false">IF(C1317="","",IFERROR(INDEX('Ingredient Catalog'!$C:$C,MATCH(C1317,'Ingredient Catalog'!$A:$A,0)),"⚠ not in catalog"))</f>
        <v/>
      </c>
      <c r="G1317" s="12" t="str">
        <f aca="false">IF(A1317="","",COUNTIFS('Weekly Log'!$A:$A,'Grocery List'!$B$3,'Weekly Log'!$C:$C,A1317,'Weekly Log'!$E:$E,"Yes"))</f>
        <v/>
      </c>
      <c r="H1317" s="12" t="str">
        <f aca="false">IF(OR(A1317="",D1317=""),"",D1317*G1317)</f>
        <v/>
      </c>
    </row>
    <row r="1318" customFormat="false" ht="15" hidden="false" customHeight="false" outlineLevel="0" collapsed="false">
      <c r="B1318" s="12" t="str">
        <f aca="false">IF(A1318="","",IFERROR(INDEX(Recipes!$B:$B,MATCH(A1318,Recipes!$A:$A,0)),"⚠ unknown recipe_id"))</f>
        <v/>
      </c>
      <c r="E1318" s="12" t="str">
        <f aca="false">IF(C1318="","",IFERROR(INDEX('Ingredient Catalog'!$C:$C,MATCH(C1318,'Ingredient Catalog'!$A:$A,0)),"⚠ not in catalog"))</f>
        <v/>
      </c>
      <c r="G1318" s="12" t="str">
        <f aca="false">IF(A1318="","",COUNTIFS('Weekly Log'!$A:$A,'Grocery List'!$B$3,'Weekly Log'!$C:$C,A1318,'Weekly Log'!$E:$E,"Yes"))</f>
        <v/>
      </c>
      <c r="H1318" s="12" t="str">
        <f aca="false">IF(OR(A1318="",D1318=""),"",D1318*G1318)</f>
        <v/>
      </c>
    </row>
    <row r="1319" customFormat="false" ht="15" hidden="false" customHeight="false" outlineLevel="0" collapsed="false">
      <c r="B1319" s="12" t="str">
        <f aca="false">IF(A1319="","",IFERROR(INDEX(Recipes!$B:$B,MATCH(A1319,Recipes!$A:$A,0)),"⚠ unknown recipe_id"))</f>
        <v/>
      </c>
      <c r="E1319" s="12" t="str">
        <f aca="false">IF(C1319="","",IFERROR(INDEX('Ingredient Catalog'!$C:$C,MATCH(C1319,'Ingredient Catalog'!$A:$A,0)),"⚠ not in catalog"))</f>
        <v/>
      </c>
      <c r="G1319" s="12" t="str">
        <f aca="false">IF(A1319="","",COUNTIFS('Weekly Log'!$A:$A,'Grocery List'!$B$3,'Weekly Log'!$C:$C,A1319,'Weekly Log'!$E:$E,"Yes"))</f>
        <v/>
      </c>
      <c r="H1319" s="12" t="str">
        <f aca="false">IF(OR(A1319="",D1319=""),"",D1319*G1319)</f>
        <v/>
      </c>
    </row>
    <row r="1320" customFormat="false" ht="15" hidden="false" customHeight="false" outlineLevel="0" collapsed="false">
      <c r="B1320" s="12" t="str">
        <f aca="false">IF(A1320="","",IFERROR(INDEX(Recipes!$B:$B,MATCH(A1320,Recipes!$A:$A,0)),"⚠ unknown recipe_id"))</f>
        <v/>
      </c>
      <c r="E1320" s="12" t="str">
        <f aca="false">IF(C1320="","",IFERROR(INDEX('Ingredient Catalog'!$C:$C,MATCH(C1320,'Ingredient Catalog'!$A:$A,0)),"⚠ not in catalog"))</f>
        <v/>
      </c>
      <c r="G1320" s="12" t="str">
        <f aca="false">IF(A1320="","",COUNTIFS('Weekly Log'!$A:$A,'Grocery List'!$B$3,'Weekly Log'!$C:$C,A1320,'Weekly Log'!$E:$E,"Yes"))</f>
        <v/>
      </c>
      <c r="H1320" s="12" t="str">
        <f aca="false">IF(OR(A1320="",D1320=""),"",D1320*G1320)</f>
        <v/>
      </c>
    </row>
    <row r="1321" customFormat="false" ht="15" hidden="false" customHeight="false" outlineLevel="0" collapsed="false">
      <c r="B1321" s="12" t="str">
        <f aca="false">IF(A1321="","",IFERROR(INDEX(Recipes!$B:$B,MATCH(A1321,Recipes!$A:$A,0)),"⚠ unknown recipe_id"))</f>
        <v/>
      </c>
      <c r="E1321" s="12" t="str">
        <f aca="false">IF(C1321="","",IFERROR(INDEX('Ingredient Catalog'!$C:$C,MATCH(C1321,'Ingredient Catalog'!$A:$A,0)),"⚠ not in catalog"))</f>
        <v/>
      </c>
      <c r="G1321" s="12" t="str">
        <f aca="false">IF(A1321="","",COUNTIFS('Weekly Log'!$A:$A,'Grocery List'!$B$3,'Weekly Log'!$C:$C,A1321,'Weekly Log'!$E:$E,"Yes"))</f>
        <v/>
      </c>
      <c r="H1321" s="12" t="str">
        <f aca="false">IF(OR(A1321="",D1321=""),"",D1321*G1321)</f>
        <v/>
      </c>
    </row>
    <row r="1322" customFormat="false" ht="15" hidden="false" customHeight="false" outlineLevel="0" collapsed="false">
      <c r="B1322" s="12" t="str">
        <f aca="false">IF(A1322="","",IFERROR(INDEX(Recipes!$B:$B,MATCH(A1322,Recipes!$A:$A,0)),"⚠ unknown recipe_id"))</f>
        <v/>
      </c>
      <c r="E1322" s="12" t="str">
        <f aca="false">IF(C1322="","",IFERROR(INDEX('Ingredient Catalog'!$C:$C,MATCH(C1322,'Ingredient Catalog'!$A:$A,0)),"⚠ not in catalog"))</f>
        <v/>
      </c>
      <c r="G1322" s="12" t="str">
        <f aca="false">IF(A1322="","",COUNTIFS('Weekly Log'!$A:$A,'Grocery List'!$B$3,'Weekly Log'!$C:$C,A1322,'Weekly Log'!$E:$E,"Yes"))</f>
        <v/>
      </c>
      <c r="H1322" s="12" t="str">
        <f aca="false">IF(OR(A1322="",D1322=""),"",D1322*G1322)</f>
        <v/>
      </c>
    </row>
    <row r="1323" customFormat="false" ht="15" hidden="false" customHeight="false" outlineLevel="0" collapsed="false">
      <c r="B1323" s="12" t="str">
        <f aca="false">IF(A1323="","",IFERROR(INDEX(Recipes!$B:$B,MATCH(A1323,Recipes!$A:$A,0)),"⚠ unknown recipe_id"))</f>
        <v/>
      </c>
      <c r="E1323" s="12" t="str">
        <f aca="false">IF(C1323="","",IFERROR(INDEX('Ingredient Catalog'!$C:$C,MATCH(C1323,'Ingredient Catalog'!$A:$A,0)),"⚠ not in catalog"))</f>
        <v/>
      </c>
      <c r="G1323" s="12" t="str">
        <f aca="false">IF(A1323="","",COUNTIFS('Weekly Log'!$A:$A,'Grocery List'!$B$3,'Weekly Log'!$C:$C,A1323,'Weekly Log'!$E:$E,"Yes"))</f>
        <v/>
      </c>
      <c r="H1323" s="12" t="str">
        <f aca="false">IF(OR(A1323="",D1323=""),"",D1323*G1323)</f>
        <v/>
      </c>
    </row>
    <row r="1324" customFormat="false" ht="15" hidden="false" customHeight="false" outlineLevel="0" collapsed="false">
      <c r="B1324" s="12" t="str">
        <f aca="false">IF(A1324="","",IFERROR(INDEX(Recipes!$B:$B,MATCH(A1324,Recipes!$A:$A,0)),"⚠ unknown recipe_id"))</f>
        <v/>
      </c>
      <c r="E1324" s="12" t="str">
        <f aca="false">IF(C1324="","",IFERROR(INDEX('Ingredient Catalog'!$C:$C,MATCH(C1324,'Ingredient Catalog'!$A:$A,0)),"⚠ not in catalog"))</f>
        <v/>
      </c>
      <c r="G1324" s="12" t="str">
        <f aca="false">IF(A1324="","",COUNTIFS('Weekly Log'!$A:$A,'Grocery List'!$B$3,'Weekly Log'!$C:$C,A1324,'Weekly Log'!$E:$E,"Yes"))</f>
        <v/>
      </c>
      <c r="H1324" s="12" t="str">
        <f aca="false">IF(OR(A1324="",D1324=""),"",D1324*G1324)</f>
        <v/>
      </c>
    </row>
    <row r="1325" customFormat="false" ht="15" hidden="false" customHeight="false" outlineLevel="0" collapsed="false">
      <c r="B1325" s="12" t="str">
        <f aca="false">IF(A1325="","",IFERROR(INDEX(Recipes!$B:$B,MATCH(A1325,Recipes!$A:$A,0)),"⚠ unknown recipe_id"))</f>
        <v/>
      </c>
      <c r="E1325" s="12" t="str">
        <f aca="false">IF(C1325="","",IFERROR(INDEX('Ingredient Catalog'!$C:$C,MATCH(C1325,'Ingredient Catalog'!$A:$A,0)),"⚠ not in catalog"))</f>
        <v/>
      </c>
      <c r="G1325" s="12" t="str">
        <f aca="false">IF(A1325="","",COUNTIFS('Weekly Log'!$A:$A,'Grocery List'!$B$3,'Weekly Log'!$C:$C,A1325,'Weekly Log'!$E:$E,"Yes"))</f>
        <v/>
      </c>
      <c r="H1325" s="12" t="str">
        <f aca="false">IF(OR(A1325="",D1325=""),"",D1325*G1325)</f>
        <v/>
      </c>
    </row>
    <row r="1326" customFormat="false" ht="15" hidden="false" customHeight="false" outlineLevel="0" collapsed="false">
      <c r="B1326" s="12" t="str">
        <f aca="false">IF(A1326="","",IFERROR(INDEX(Recipes!$B:$B,MATCH(A1326,Recipes!$A:$A,0)),"⚠ unknown recipe_id"))</f>
        <v/>
      </c>
      <c r="E1326" s="12" t="str">
        <f aca="false">IF(C1326="","",IFERROR(INDEX('Ingredient Catalog'!$C:$C,MATCH(C1326,'Ingredient Catalog'!$A:$A,0)),"⚠ not in catalog"))</f>
        <v/>
      </c>
      <c r="G1326" s="12" t="str">
        <f aca="false">IF(A1326="","",COUNTIFS('Weekly Log'!$A:$A,'Grocery List'!$B$3,'Weekly Log'!$C:$C,A1326,'Weekly Log'!$E:$E,"Yes"))</f>
        <v/>
      </c>
      <c r="H1326" s="12" t="str">
        <f aca="false">IF(OR(A1326="",D1326=""),"",D1326*G1326)</f>
        <v/>
      </c>
    </row>
    <row r="1327" customFormat="false" ht="15" hidden="false" customHeight="false" outlineLevel="0" collapsed="false">
      <c r="B1327" s="12" t="str">
        <f aca="false">IF(A1327="","",IFERROR(INDEX(Recipes!$B:$B,MATCH(A1327,Recipes!$A:$A,0)),"⚠ unknown recipe_id"))</f>
        <v/>
      </c>
      <c r="E1327" s="12" t="str">
        <f aca="false">IF(C1327="","",IFERROR(INDEX('Ingredient Catalog'!$C:$C,MATCH(C1327,'Ingredient Catalog'!$A:$A,0)),"⚠ not in catalog"))</f>
        <v/>
      </c>
      <c r="G1327" s="12" t="str">
        <f aca="false">IF(A1327="","",COUNTIFS('Weekly Log'!$A:$A,'Grocery List'!$B$3,'Weekly Log'!$C:$C,A1327,'Weekly Log'!$E:$E,"Yes"))</f>
        <v/>
      </c>
      <c r="H1327" s="12" t="str">
        <f aca="false">IF(OR(A1327="",D1327=""),"",D1327*G1327)</f>
        <v/>
      </c>
    </row>
    <row r="1328" customFormat="false" ht="15" hidden="false" customHeight="false" outlineLevel="0" collapsed="false">
      <c r="B1328" s="12" t="str">
        <f aca="false">IF(A1328="","",IFERROR(INDEX(Recipes!$B:$B,MATCH(A1328,Recipes!$A:$A,0)),"⚠ unknown recipe_id"))</f>
        <v/>
      </c>
      <c r="E1328" s="12" t="str">
        <f aca="false">IF(C1328="","",IFERROR(INDEX('Ingredient Catalog'!$C:$C,MATCH(C1328,'Ingredient Catalog'!$A:$A,0)),"⚠ not in catalog"))</f>
        <v/>
      </c>
      <c r="G1328" s="12" t="str">
        <f aca="false">IF(A1328="","",COUNTIFS('Weekly Log'!$A:$A,'Grocery List'!$B$3,'Weekly Log'!$C:$C,A1328,'Weekly Log'!$E:$E,"Yes"))</f>
        <v/>
      </c>
      <c r="H1328" s="12" t="str">
        <f aca="false">IF(OR(A1328="",D1328=""),"",D1328*G1328)</f>
        <v/>
      </c>
    </row>
    <row r="1329" customFormat="false" ht="15" hidden="false" customHeight="false" outlineLevel="0" collapsed="false">
      <c r="B1329" s="12" t="str">
        <f aca="false">IF(A1329="","",IFERROR(INDEX(Recipes!$B:$B,MATCH(A1329,Recipes!$A:$A,0)),"⚠ unknown recipe_id"))</f>
        <v/>
      </c>
      <c r="E1329" s="12" t="str">
        <f aca="false">IF(C1329="","",IFERROR(INDEX('Ingredient Catalog'!$C:$C,MATCH(C1329,'Ingredient Catalog'!$A:$A,0)),"⚠ not in catalog"))</f>
        <v/>
      </c>
      <c r="G1329" s="12" t="str">
        <f aca="false">IF(A1329="","",COUNTIFS('Weekly Log'!$A:$A,'Grocery List'!$B$3,'Weekly Log'!$C:$C,A1329,'Weekly Log'!$E:$E,"Yes"))</f>
        <v/>
      </c>
      <c r="H1329" s="12" t="str">
        <f aca="false">IF(OR(A1329="",D1329=""),"",D1329*G1329)</f>
        <v/>
      </c>
    </row>
    <row r="1330" customFormat="false" ht="15" hidden="false" customHeight="false" outlineLevel="0" collapsed="false">
      <c r="B1330" s="12" t="str">
        <f aca="false">IF(A1330="","",IFERROR(INDEX(Recipes!$B:$B,MATCH(A1330,Recipes!$A:$A,0)),"⚠ unknown recipe_id"))</f>
        <v/>
      </c>
      <c r="E1330" s="12" t="str">
        <f aca="false">IF(C1330="","",IFERROR(INDEX('Ingredient Catalog'!$C:$C,MATCH(C1330,'Ingredient Catalog'!$A:$A,0)),"⚠ not in catalog"))</f>
        <v/>
      </c>
      <c r="G1330" s="12" t="str">
        <f aca="false">IF(A1330="","",COUNTIFS('Weekly Log'!$A:$A,'Grocery List'!$B$3,'Weekly Log'!$C:$C,A1330,'Weekly Log'!$E:$E,"Yes"))</f>
        <v/>
      </c>
      <c r="H1330" s="12" t="str">
        <f aca="false">IF(OR(A1330="",D1330=""),"",D1330*G1330)</f>
        <v/>
      </c>
    </row>
    <row r="1331" customFormat="false" ht="15" hidden="false" customHeight="false" outlineLevel="0" collapsed="false">
      <c r="B1331" s="12" t="str">
        <f aca="false">IF(A1331="","",IFERROR(INDEX(Recipes!$B:$B,MATCH(A1331,Recipes!$A:$A,0)),"⚠ unknown recipe_id"))</f>
        <v/>
      </c>
      <c r="E1331" s="12" t="str">
        <f aca="false">IF(C1331="","",IFERROR(INDEX('Ingredient Catalog'!$C:$C,MATCH(C1331,'Ingredient Catalog'!$A:$A,0)),"⚠ not in catalog"))</f>
        <v/>
      </c>
      <c r="G1331" s="12" t="str">
        <f aca="false">IF(A1331="","",COUNTIFS('Weekly Log'!$A:$A,'Grocery List'!$B$3,'Weekly Log'!$C:$C,A1331,'Weekly Log'!$E:$E,"Yes"))</f>
        <v/>
      </c>
      <c r="H1331" s="12" t="str">
        <f aca="false">IF(OR(A1331="",D1331=""),"",D1331*G1331)</f>
        <v/>
      </c>
    </row>
    <row r="1332" customFormat="false" ht="15" hidden="false" customHeight="false" outlineLevel="0" collapsed="false">
      <c r="B1332" s="12" t="str">
        <f aca="false">IF(A1332="","",IFERROR(INDEX(Recipes!$B:$B,MATCH(A1332,Recipes!$A:$A,0)),"⚠ unknown recipe_id"))</f>
        <v/>
      </c>
      <c r="E1332" s="12" t="str">
        <f aca="false">IF(C1332="","",IFERROR(INDEX('Ingredient Catalog'!$C:$C,MATCH(C1332,'Ingredient Catalog'!$A:$A,0)),"⚠ not in catalog"))</f>
        <v/>
      </c>
      <c r="G1332" s="12" t="str">
        <f aca="false">IF(A1332="","",COUNTIFS('Weekly Log'!$A:$A,'Grocery List'!$B$3,'Weekly Log'!$C:$C,A1332,'Weekly Log'!$E:$E,"Yes"))</f>
        <v/>
      </c>
      <c r="H1332" s="12" t="str">
        <f aca="false">IF(OR(A1332="",D1332=""),"",D1332*G1332)</f>
        <v/>
      </c>
    </row>
    <row r="1333" customFormat="false" ht="15" hidden="false" customHeight="false" outlineLevel="0" collapsed="false">
      <c r="B1333" s="12" t="str">
        <f aca="false">IF(A1333="","",IFERROR(INDEX(Recipes!$B:$B,MATCH(A1333,Recipes!$A:$A,0)),"⚠ unknown recipe_id"))</f>
        <v/>
      </c>
      <c r="E1333" s="12" t="str">
        <f aca="false">IF(C1333="","",IFERROR(INDEX('Ingredient Catalog'!$C:$C,MATCH(C1333,'Ingredient Catalog'!$A:$A,0)),"⚠ not in catalog"))</f>
        <v/>
      </c>
      <c r="G1333" s="12" t="str">
        <f aca="false">IF(A1333="","",COUNTIFS('Weekly Log'!$A:$A,'Grocery List'!$B$3,'Weekly Log'!$C:$C,A1333,'Weekly Log'!$E:$E,"Yes"))</f>
        <v/>
      </c>
      <c r="H1333" s="12" t="str">
        <f aca="false">IF(OR(A1333="",D1333=""),"",D1333*G1333)</f>
        <v/>
      </c>
    </row>
    <row r="1334" customFormat="false" ht="15" hidden="false" customHeight="false" outlineLevel="0" collapsed="false">
      <c r="B1334" s="12" t="str">
        <f aca="false">IF(A1334="","",IFERROR(INDEX(Recipes!$B:$B,MATCH(A1334,Recipes!$A:$A,0)),"⚠ unknown recipe_id"))</f>
        <v/>
      </c>
      <c r="E1334" s="12" t="str">
        <f aca="false">IF(C1334="","",IFERROR(INDEX('Ingredient Catalog'!$C:$C,MATCH(C1334,'Ingredient Catalog'!$A:$A,0)),"⚠ not in catalog"))</f>
        <v/>
      </c>
      <c r="G1334" s="12" t="str">
        <f aca="false">IF(A1334="","",COUNTIFS('Weekly Log'!$A:$A,'Grocery List'!$B$3,'Weekly Log'!$C:$C,A1334,'Weekly Log'!$E:$E,"Yes"))</f>
        <v/>
      </c>
      <c r="H1334" s="12" t="str">
        <f aca="false">IF(OR(A1334="",D1334=""),"",D1334*G1334)</f>
        <v/>
      </c>
    </row>
    <row r="1335" customFormat="false" ht="15" hidden="false" customHeight="false" outlineLevel="0" collapsed="false">
      <c r="B1335" s="12" t="str">
        <f aca="false">IF(A1335="","",IFERROR(INDEX(Recipes!$B:$B,MATCH(A1335,Recipes!$A:$A,0)),"⚠ unknown recipe_id"))</f>
        <v/>
      </c>
      <c r="E1335" s="12" t="str">
        <f aca="false">IF(C1335="","",IFERROR(INDEX('Ingredient Catalog'!$C:$C,MATCH(C1335,'Ingredient Catalog'!$A:$A,0)),"⚠ not in catalog"))</f>
        <v/>
      </c>
      <c r="G1335" s="12" t="str">
        <f aca="false">IF(A1335="","",COUNTIFS('Weekly Log'!$A:$A,'Grocery List'!$B$3,'Weekly Log'!$C:$C,A1335,'Weekly Log'!$E:$E,"Yes"))</f>
        <v/>
      </c>
      <c r="H1335" s="12" t="str">
        <f aca="false">IF(OR(A1335="",D1335=""),"",D1335*G1335)</f>
        <v/>
      </c>
    </row>
    <row r="1336" customFormat="false" ht="15" hidden="false" customHeight="false" outlineLevel="0" collapsed="false">
      <c r="B1336" s="12" t="str">
        <f aca="false">IF(A1336="","",IFERROR(INDEX(Recipes!$B:$B,MATCH(A1336,Recipes!$A:$A,0)),"⚠ unknown recipe_id"))</f>
        <v/>
      </c>
      <c r="E1336" s="12" t="str">
        <f aca="false">IF(C1336="","",IFERROR(INDEX('Ingredient Catalog'!$C:$C,MATCH(C1336,'Ingredient Catalog'!$A:$A,0)),"⚠ not in catalog"))</f>
        <v/>
      </c>
      <c r="G1336" s="12" t="str">
        <f aca="false">IF(A1336="","",COUNTIFS('Weekly Log'!$A:$A,'Grocery List'!$B$3,'Weekly Log'!$C:$C,A1336,'Weekly Log'!$E:$E,"Yes"))</f>
        <v/>
      </c>
      <c r="H1336" s="12" t="str">
        <f aca="false">IF(OR(A1336="",D1336=""),"",D1336*G1336)</f>
        <v/>
      </c>
    </row>
    <row r="1337" customFormat="false" ht="15" hidden="false" customHeight="false" outlineLevel="0" collapsed="false">
      <c r="B1337" s="12" t="str">
        <f aca="false">IF(A1337="","",IFERROR(INDEX(Recipes!$B:$B,MATCH(A1337,Recipes!$A:$A,0)),"⚠ unknown recipe_id"))</f>
        <v/>
      </c>
      <c r="E1337" s="12" t="str">
        <f aca="false">IF(C1337="","",IFERROR(INDEX('Ingredient Catalog'!$C:$C,MATCH(C1337,'Ingredient Catalog'!$A:$A,0)),"⚠ not in catalog"))</f>
        <v/>
      </c>
      <c r="G1337" s="12" t="str">
        <f aca="false">IF(A1337="","",COUNTIFS('Weekly Log'!$A:$A,'Grocery List'!$B$3,'Weekly Log'!$C:$C,A1337,'Weekly Log'!$E:$E,"Yes"))</f>
        <v/>
      </c>
      <c r="H1337" s="12" t="str">
        <f aca="false">IF(OR(A1337="",D1337=""),"",D1337*G1337)</f>
        <v/>
      </c>
    </row>
    <row r="1338" customFormat="false" ht="15" hidden="false" customHeight="false" outlineLevel="0" collapsed="false">
      <c r="B1338" s="12" t="str">
        <f aca="false">IF(A1338="","",IFERROR(INDEX(Recipes!$B:$B,MATCH(A1338,Recipes!$A:$A,0)),"⚠ unknown recipe_id"))</f>
        <v/>
      </c>
      <c r="E1338" s="12" t="str">
        <f aca="false">IF(C1338="","",IFERROR(INDEX('Ingredient Catalog'!$C:$C,MATCH(C1338,'Ingredient Catalog'!$A:$A,0)),"⚠ not in catalog"))</f>
        <v/>
      </c>
      <c r="G1338" s="12" t="str">
        <f aca="false">IF(A1338="","",COUNTIFS('Weekly Log'!$A:$A,'Grocery List'!$B$3,'Weekly Log'!$C:$C,A1338,'Weekly Log'!$E:$E,"Yes"))</f>
        <v/>
      </c>
      <c r="H1338" s="12" t="str">
        <f aca="false">IF(OR(A1338="",D1338=""),"",D1338*G1338)</f>
        <v/>
      </c>
    </row>
    <row r="1339" customFormat="false" ht="15" hidden="false" customHeight="false" outlineLevel="0" collapsed="false">
      <c r="B1339" s="12" t="str">
        <f aca="false">IF(A1339="","",IFERROR(INDEX(Recipes!$B:$B,MATCH(A1339,Recipes!$A:$A,0)),"⚠ unknown recipe_id"))</f>
        <v/>
      </c>
      <c r="E1339" s="12" t="str">
        <f aca="false">IF(C1339="","",IFERROR(INDEX('Ingredient Catalog'!$C:$C,MATCH(C1339,'Ingredient Catalog'!$A:$A,0)),"⚠ not in catalog"))</f>
        <v/>
      </c>
      <c r="G1339" s="12" t="str">
        <f aca="false">IF(A1339="","",COUNTIFS('Weekly Log'!$A:$A,'Grocery List'!$B$3,'Weekly Log'!$C:$C,A1339,'Weekly Log'!$E:$E,"Yes"))</f>
        <v/>
      </c>
      <c r="H1339" s="12" t="str">
        <f aca="false">IF(OR(A1339="",D1339=""),"",D1339*G1339)</f>
        <v/>
      </c>
    </row>
    <row r="1340" customFormat="false" ht="15" hidden="false" customHeight="false" outlineLevel="0" collapsed="false">
      <c r="B1340" s="12" t="str">
        <f aca="false">IF(A1340="","",IFERROR(INDEX(Recipes!$B:$B,MATCH(A1340,Recipes!$A:$A,0)),"⚠ unknown recipe_id"))</f>
        <v/>
      </c>
      <c r="E1340" s="12" t="str">
        <f aca="false">IF(C1340="","",IFERROR(INDEX('Ingredient Catalog'!$C:$C,MATCH(C1340,'Ingredient Catalog'!$A:$A,0)),"⚠ not in catalog"))</f>
        <v/>
      </c>
      <c r="G1340" s="12" t="str">
        <f aca="false">IF(A1340="","",COUNTIFS('Weekly Log'!$A:$A,'Grocery List'!$B$3,'Weekly Log'!$C:$C,A1340,'Weekly Log'!$E:$E,"Yes"))</f>
        <v/>
      </c>
      <c r="H1340" s="12" t="str">
        <f aca="false">IF(OR(A1340="",D1340=""),"",D1340*G1340)</f>
        <v/>
      </c>
    </row>
    <row r="1341" customFormat="false" ht="15" hidden="false" customHeight="false" outlineLevel="0" collapsed="false">
      <c r="B1341" s="12" t="str">
        <f aca="false">IF(A1341="","",IFERROR(INDEX(Recipes!$B:$B,MATCH(A1341,Recipes!$A:$A,0)),"⚠ unknown recipe_id"))</f>
        <v/>
      </c>
      <c r="E1341" s="12" t="str">
        <f aca="false">IF(C1341="","",IFERROR(INDEX('Ingredient Catalog'!$C:$C,MATCH(C1341,'Ingredient Catalog'!$A:$A,0)),"⚠ not in catalog"))</f>
        <v/>
      </c>
      <c r="G1341" s="12" t="str">
        <f aca="false">IF(A1341="","",COUNTIFS('Weekly Log'!$A:$A,'Grocery List'!$B$3,'Weekly Log'!$C:$C,A1341,'Weekly Log'!$E:$E,"Yes"))</f>
        <v/>
      </c>
      <c r="H1341" s="12" t="str">
        <f aca="false">IF(OR(A1341="",D1341=""),"",D1341*G1341)</f>
        <v/>
      </c>
    </row>
    <row r="1342" customFormat="false" ht="15" hidden="false" customHeight="false" outlineLevel="0" collapsed="false">
      <c r="B1342" s="12" t="str">
        <f aca="false">IF(A1342="","",IFERROR(INDEX(Recipes!$B:$B,MATCH(A1342,Recipes!$A:$A,0)),"⚠ unknown recipe_id"))</f>
        <v/>
      </c>
      <c r="E1342" s="12" t="str">
        <f aca="false">IF(C1342="","",IFERROR(INDEX('Ingredient Catalog'!$C:$C,MATCH(C1342,'Ingredient Catalog'!$A:$A,0)),"⚠ not in catalog"))</f>
        <v/>
      </c>
      <c r="G1342" s="12" t="str">
        <f aca="false">IF(A1342="","",COUNTIFS('Weekly Log'!$A:$A,'Grocery List'!$B$3,'Weekly Log'!$C:$C,A1342,'Weekly Log'!$E:$E,"Yes"))</f>
        <v/>
      </c>
      <c r="H1342" s="12" t="str">
        <f aca="false">IF(OR(A1342="",D1342=""),"",D1342*G1342)</f>
        <v/>
      </c>
    </row>
    <row r="1343" customFormat="false" ht="15" hidden="false" customHeight="false" outlineLevel="0" collapsed="false">
      <c r="B1343" s="12" t="str">
        <f aca="false">IF(A1343="","",IFERROR(INDEX(Recipes!$B:$B,MATCH(A1343,Recipes!$A:$A,0)),"⚠ unknown recipe_id"))</f>
        <v/>
      </c>
      <c r="E1343" s="12" t="str">
        <f aca="false">IF(C1343="","",IFERROR(INDEX('Ingredient Catalog'!$C:$C,MATCH(C1343,'Ingredient Catalog'!$A:$A,0)),"⚠ not in catalog"))</f>
        <v/>
      </c>
      <c r="G1343" s="12" t="str">
        <f aca="false">IF(A1343="","",COUNTIFS('Weekly Log'!$A:$A,'Grocery List'!$B$3,'Weekly Log'!$C:$C,A1343,'Weekly Log'!$E:$E,"Yes"))</f>
        <v/>
      </c>
      <c r="H1343" s="12" t="str">
        <f aca="false">IF(OR(A1343="",D1343=""),"",D1343*G1343)</f>
        <v/>
      </c>
    </row>
    <row r="1344" customFormat="false" ht="15" hidden="false" customHeight="false" outlineLevel="0" collapsed="false">
      <c r="B1344" s="12" t="str">
        <f aca="false">IF(A1344="","",IFERROR(INDEX(Recipes!$B:$B,MATCH(A1344,Recipes!$A:$A,0)),"⚠ unknown recipe_id"))</f>
        <v/>
      </c>
      <c r="E1344" s="12" t="str">
        <f aca="false">IF(C1344="","",IFERROR(INDEX('Ingredient Catalog'!$C:$C,MATCH(C1344,'Ingredient Catalog'!$A:$A,0)),"⚠ not in catalog"))</f>
        <v/>
      </c>
      <c r="G1344" s="12" t="str">
        <f aca="false">IF(A1344="","",COUNTIFS('Weekly Log'!$A:$A,'Grocery List'!$B$3,'Weekly Log'!$C:$C,A1344,'Weekly Log'!$E:$E,"Yes"))</f>
        <v/>
      </c>
      <c r="H1344" s="12" t="str">
        <f aca="false">IF(OR(A1344="",D1344=""),"",D1344*G1344)</f>
        <v/>
      </c>
    </row>
    <row r="1345" customFormat="false" ht="15" hidden="false" customHeight="false" outlineLevel="0" collapsed="false">
      <c r="B1345" s="12" t="str">
        <f aca="false">IF(A1345="","",IFERROR(INDEX(Recipes!$B:$B,MATCH(A1345,Recipes!$A:$A,0)),"⚠ unknown recipe_id"))</f>
        <v/>
      </c>
      <c r="E1345" s="12" t="str">
        <f aca="false">IF(C1345="","",IFERROR(INDEX('Ingredient Catalog'!$C:$C,MATCH(C1345,'Ingredient Catalog'!$A:$A,0)),"⚠ not in catalog"))</f>
        <v/>
      </c>
      <c r="G1345" s="12" t="str">
        <f aca="false">IF(A1345="","",COUNTIFS('Weekly Log'!$A:$A,'Grocery List'!$B$3,'Weekly Log'!$C:$C,A1345,'Weekly Log'!$E:$E,"Yes"))</f>
        <v/>
      </c>
      <c r="H1345" s="12" t="str">
        <f aca="false">IF(OR(A1345="",D1345=""),"",D1345*G1345)</f>
        <v/>
      </c>
    </row>
    <row r="1346" customFormat="false" ht="15" hidden="false" customHeight="false" outlineLevel="0" collapsed="false">
      <c r="B1346" s="12" t="str">
        <f aca="false">IF(A1346="","",IFERROR(INDEX(Recipes!$B:$B,MATCH(A1346,Recipes!$A:$A,0)),"⚠ unknown recipe_id"))</f>
        <v/>
      </c>
      <c r="E1346" s="12" t="str">
        <f aca="false">IF(C1346="","",IFERROR(INDEX('Ingredient Catalog'!$C:$C,MATCH(C1346,'Ingredient Catalog'!$A:$A,0)),"⚠ not in catalog"))</f>
        <v/>
      </c>
      <c r="G1346" s="12" t="str">
        <f aca="false">IF(A1346="","",COUNTIFS('Weekly Log'!$A:$A,'Grocery List'!$B$3,'Weekly Log'!$C:$C,A1346,'Weekly Log'!$E:$E,"Yes"))</f>
        <v/>
      </c>
      <c r="H1346" s="12" t="str">
        <f aca="false">IF(OR(A1346="",D1346=""),"",D1346*G1346)</f>
        <v/>
      </c>
    </row>
    <row r="1347" customFormat="false" ht="15" hidden="false" customHeight="false" outlineLevel="0" collapsed="false">
      <c r="B1347" s="12" t="str">
        <f aca="false">IF(A1347="","",IFERROR(INDEX(Recipes!$B:$B,MATCH(A1347,Recipes!$A:$A,0)),"⚠ unknown recipe_id"))</f>
        <v/>
      </c>
      <c r="E1347" s="12" t="str">
        <f aca="false">IF(C1347="","",IFERROR(INDEX('Ingredient Catalog'!$C:$C,MATCH(C1347,'Ingredient Catalog'!$A:$A,0)),"⚠ not in catalog"))</f>
        <v/>
      </c>
      <c r="G1347" s="12" t="str">
        <f aca="false">IF(A1347="","",COUNTIFS('Weekly Log'!$A:$A,'Grocery List'!$B$3,'Weekly Log'!$C:$C,A1347,'Weekly Log'!$E:$E,"Yes"))</f>
        <v/>
      </c>
      <c r="H1347" s="12" t="str">
        <f aca="false">IF(OR(A1347="",D1347=""),"",D1347*G1347)</f>
        <v/>
      </c>
    </row>
    <row r="1348" customFormat="false" ht="15" hidden="false" customHeight="false" outlineLevel="0" collapsed="false">
      <c r="B1348" s="12" t="str">
        <f aca="false">IF(A1348="","",IFERROR(INDEX(Recipes!$B:$B,MATCH(A1348,Recipes!$A:$A,0)),"⚠ unknown recipe_id"))</f>
        <v/>
      </c>
      <c r="E1348" s="12" t="str">
        <f aca="false">IF(C1348="","",IFERROR(INDEX('Ingredient Catalog'!$C:$C,MATCH(C1348,'Ingredient Catalog'!$A:$A,0)),"⚠ not in catalog"))</f>
        <v/>
      </c>
      <c r="G1348" s="12" t="str">
        <f aca="false">IF(A1348="","",COUNTIFS('Weekly Log'!$A:$A,'Grocery List'!$B$3,'Weekly Log'!$C:$C,A1348,'Weekly Log'!$E:$E,"Yes"))</f>
        <v/>
      </c>
      <c r="H1348" s="12" t="str">
        <f aca="false">IF(OR(A1348="",D1348=""),"",D1348*G1348)</f>
        <v/>
      </c>
    </row>
    <row r="1349" customFormat="false" ht="15" hidden="false" customHeight="false" outlineLevel="0" collapsed="false">
      <c r="B1349" s="12" t="str">
        <f aca="false">IF(A1349="","",IFERROR(INDEX(Recipes!$B:$B,MATCH(A1349,Recipes!$A:$A,0)),"⚠ unknown recipe_id"))</f>
        <v/>
      </c>
      <c r="E1349" s="12" t="str">
        <f aca="false">IF(C1349="","",IFERROR(INDEX('Ingredient Catalog'!$C:$C,MATCH(C1349,'Ingredient Catalog'!$A:$A,0)),"⚠ not in catalog"))</f>
        <v/>
      </c>
      <c r="G1349" s="12" t="str">
        <f aca="false">IF(A1349="","",COUNTIFS('Weekly Log'!$A:$A,'Grocery List'!$B$3,'Weekly Log'!$C:$C,A1349,'Weekly Log'!$E:$E,"Yes"))</f>
        <v/>
      </c>
      <c r="H1349" s="12" t="str">
        <f aca="false">IF(OR(A1349="",D1349=""),"",D1349*G1349)</f>
        <v/>
      </c>
    </row>
    <row r="1350" customFormat="false" ht="15" hidden="false" customHeight="false" outlineLevel="0" collapsed="false">
      <c r="B1350" s="12" t="str">
        <f aca="false">IF(A1350="","",IFERROR(INDEX(Recipes!$B:$B,MATCH(A1350,Recipes!$A:$A,0)),"⚠ unknown recipe_id"))</f>
        <v/>
      </c>
      <c r="E1350" s="12" t="str">
        <f aca="false">IF(C1350="","",IFERROR(INDEX('Ingredient Catalog'!$C:$C,MATCH(C1350,'Ingredient Catalog'!$A:$A,0)),"⚠ not in catalog"))</f>
        <v/>
      </c>
      <c r="G1350" s="12" t="str">
        <f aca="false">IF(A1350="","",COUNTIFS('Weekly Log'!$A:$A,'Grocery List'!$B$3,'Weekly Log'!$C:$C,A1350,'Weekly Log'!$E:$E,"Yes"))</f>
        <v/>
      </c>
      <c r="H1350" s="12" t="str">
        <f aca="false">IF(OR(A1350="",D1350=""),"",D1350*G1350)</f>
        <v/>
      </c>
    </row>
    <row r="1351" customFormat="false" ht="15" hidden="false" customHeight="false" outlineLevel="0" collapsed="false">
      <c r="B1351" s="12" t="str">
        <f aca="false">IF(A1351="","",IFERROR(INDEX(Recipes!$B:$B,MATCH(A1351,Recipes!$A:$A,0)),"⚠ unknown recipe_id"))</f>
        <v/>
      </c>
      <c r="E1351" s="12" t="str">
        <f aca="false">IF(C1351="","",IFERROR(INDEX('Ingredient Catalog'!$C:$C,MATCH(C1351,'Ingredient Catalog'!$A:$A,0)),"⚠ not in catalog"))</f>
        <v/>
      </c>
      <c r="G1351" s="12" t="str">
        <f aca="false">IF(A1351="","",COUNTIFS('Weekly Log'!$A:$A,'Grocery List'!$B$3,'Weekly Log'!$C:$C,A1351,'Weekly Log'!$E:$E,"Yes"))</f>
        <v/>
      </c>
      <c r="H1351" s="12" t="str">
        <f aca="false">IF(OR(A1351="",D1351=""),"",D1351*G1351)</f>
        <v/>
      </c>
    </row>
    <row r="1352" customFormat="false" ht="15" hidden="false" customHeight="false" outlineLevel="0" collapsed="false">
      <c r="B1352" s="12" t="str">
        <f aca="false">IF(A1352="","",IFERROR(INDEX(Recipes!$B:$B,MATCH(A1352,Recipes!$A:$A,0)),"⚠ unknown recipe_id"))</f>
        <v/>
      </c>
      <c r="E1352" s="12" t="str">
        <f aca="false">IF(C1352="","",IFERROR(INDEX('Ingredient Catalog'!$C:$C,MATCH(C1352,'Ingredient Catalog'!$A:$A,0)),"⚠ not in catalog"))</f>
        <v/>
      </c>
      <c r="G1352" s="12" t="str">
        <f aca="false">IF(A1352="","",COUNTIFS('Weekly Log'!$A:$A,'Grocery List'!$B$3,'Weekly Log'!$C:$C,A1352,'Weekly Log'!$E:$E,"Yes"))</f>
        <v/>
      </c>
      <c r="H1352" s="12" t="str">
        <f aca="false">IF(OR(A1352="",D1352=""),"",D1352*G1352)</f>
        <v/>
      </c>
    </row>
    <row r="1353" customFormat="false" ht="15" hidden="false" customHeight="false" outlineLevel="0" collapsed="false">
      <c r="B1353" s="12" t="str">
        <f aca="false">IF(A1353="","",IFERROR(INDEX(Recipes!$B:$B,MATCH(A1353,Recipes!$A:$A,0)),"⚠ unknown recipe_id"))</f>
        <v/>
      </c>
      <c r="E1353" s="12" t="str">
        <f aca="false">IF(C1353="","",IFERROR(INDEX('Ingredient Catalog'!$C:$C,MATCH(C1353,'Ingredient Catalog'!$A:$A,0)),"⚠ not in catalog"))</f>
        <v/>
      </c>
      <c r="G1353" s="12" t="str">
        <f aca="false">IF(A1353="","",COUNTIFS('Weekly Log'!$A:$A,'Grocery List'!$B$3,'Weekly Log'!$C:$C,A1353,'Weekly Log'!$E:$E,"Yes"))</f>
        <v/>
      </c>
      <c r="H1353" s="12" t="str">
        <f aca="false">IF(OR(A1353="",D1353=""),"",D1353*G1353)</f>
        <v/>
      </c>
    </row>
    <row r="1354" customFormat="false" ht="15" hidden="false" customHeight="false" outlineLevel="0" collapsed="false">
      <c r="B1354" s="12" t="str">
        <f aca="false">IF(A1354="","",IFERROR(INDEX(Recipes!$B:$B,MATCH(A1354,Recipes!$A:$A,0)),"⚠ unknown recipe_id"))</f>
        <v/>
      </c>
      <c r="E1354" s="12" t="str">
        <f aca="false">IF(C1354="","",IFERROR(INDEX('Ingredient Catalog'!$C:$C,MATCH(C1354,'Ingredient Catalog'!$A:$A,0)),"⚠ not in catalog"))</f>
        <v/>
      </c>
      <c r="G1354" s="12" t="str">
        <f aca="false">IF(A1354="","",COUNTIFS('Weekly Log'!$A:$A,'Grocery List'!$B$3,'Weekly Log'!$C:$C,A1354,'Weekly Log'!$E:$E,"Yes"))</f>
        <v/>
      </c>
      <c r="H1354" s="12" t="str">
        <f aca="false">IF(OR(A1354="",D1354=""),"",D1354*G1354)</f>
        <v/>
      </c>
    </row>
    <row r="1355" customFormat="false" ht="15" hidden="false" customHeight="false" outlineLevel="0" collapsed="false">
      <c r="B1355" s="12" t="str">
        <f aca="false">IF(A1355="","",IFERROR(INDEX(Recipes!$B:$B,MATCH(A1355,Recipes!$A:$A,0)),"⚠ unknown recipe_id"))</f>
        <v/>
      </c>
      <c r="E1355" s="12" t="str">
        <f aca="false">IF(C1355="","",IFERROR(INDEX('Ingredient Catalog'!$C:$C,MATCH(C1355,'Ingredient Catalog'!$A:$A,0)),"⚠ not in catalog"))</f>
        <v/>
      </c>
      <c r="G1355" s="12" t="str">
        <f aca="false">IF(A1355="","",COUNTIFS('Weekly Log'!$A:$A,'Grocery List'!$B$3,'Weekly Log'!$C:$C,A1355,'Weekly Log'!$E:$E,"Yes"))</f>
        <v/>
      </c>
      <c r="H1355" s="12" t="str">
        <f aca="false">IF(OR(A1355="",D1355=""),"",D1355*G1355)</f>
        <v/>
      </c>
    </row>
    <row r="1356" customFormat="false" ht="15" hidden="false" customHeight="false" outlineLevel="0" collapsed="false">
      <c r="B1356" s="12" t="str">
        <f aca="false">IF(A1356="","",IFERROR(INDEX(Recipes!$B:$B,MATCH(A1356,Recipes!$A:$A,0)),"⚠ unknown recipe_id"))</f>
        <v/>
      </c>
      <c r="E1356" s="12" t="str">
        <f aca="false">IF(C1356="","",IFERROR(INDEX('Ingredient Catalog'!$C:$C,MATCH(C1356,'Ingredient Catalog'!$A:$A,0)),"⚠ not in catalog"))</f>
        <v/>
      </c>
      <c r="G1356" s="12" t="str">
        <f aca="false">IF(A1356="","",COUNTIFS('Weekly Log'!$A:$A,'Grocery List'!$B$3,'Weekly Log'!$C:$C,A1356,'Weekly Log'!$E:$E,"Yes"))</f>
        <v/>
      </c>
      <c r="H1356" s="12" t="str">
        <f aca="false">IF(OR(A1356="",D1356=""),"",D1356*G1356)</f>
        <v/>
      </c>
    </row>
    <row r="1357" customFormat="false" ht="15" hidden="false" customHeight="false" outlineLevel="0" collapsed="false">
      <c r="B1357" s="12" t="str">
        <f aca="false">IF(A1357="","",IFERROR(INDEX(Recipes!$B:$B,MATCH(A1357,Recipes!$A:$A,0)),"⚠ unknown recipe_id"))</f>
        <v/>
      </c>
      <c r="E1357" s="12" t="str">
        <f aca="false">IF(C1357="","",IFERROR(INDEX('Ingredient Catalog'!$C:$C,MATCH(C1357,'Ingredient Catalog'!$A:$A,0)),"⚠ not in catalog"))</f>
        <v/>
      </c>
      <c r="G1357" s="12" t="str">
        <f aca="false">IF(A1357="","",COUNTIFS('Weekly Log'!$A:$A,'Grocery List'!$B$3,'Weekly Log'!$C:$C,A1357,'Weekly Log'!$E:$E,"Yes"))</f>
        <v/>
      </c>
      <c r="H1357" s="12" t="str">
        <f aca="false">IF(OR(A1357="",D1357=""),"",D1357*G1357)</f>
        <v/>
      </c>
    </row>
    <row r="1358" customFormat="false" ht="15" hidden="false" customHeight="false" outlineLevel="0" collapsed="false">
      <c r="B1358" s="12" t="str">
        <f aca="false">IF(A1358="","",IFERROR(INDEX(Recipes!$B:$B,MATCH(A1358,Recipes!$A:$A,0)),"⚠ unknown recipe_id"))</f>
        <v/>
      </c>
      <c r="E1358" s="12" t="str">
        <f aca="false">IF(C1358="","",IFERROR(INDEX('Ingredient Catalog'!$C:$C,MATCH(C1358,'Ingredient Catalog'!$A:$A,0)),"⚠ not in catalog"))</f>
        <v/>
      </c>
      <c r="G1358" s="12" t="str">
        <f aca="false">IF(A1358="","",COUNTIFS('Weekly Log'!$A:$A,'Grocery List'!$B$3,'Weekly Log'!$C:$C,A1358,'Weekly Log'!$E:$E,"Yes"))</f>
        <v/>
      </c>
      <c r="H1358" s="12" t="str">
        <f aca="false">IF(OR(A1358="",D1358=""),"",D1358*G1358)</f>
        <v/>
      </c>
    </row>
    <row r="1359" customFormat="false" ht="15" hidden="false" customHeight="false" outlineLevel="0" collapsed="false">
      <c r="B1359" s="12" t="str">
        <f aca="false">IF(A1359="","",IFERROR(INDEX(Recipes!$B:$B,MATCH(A1359,Recipes!$A:$A,0)),"⚠ unknown recipe_id"))</f>
        <v/>
      </c>
      <c r="E1359" s="12" t="str">
        <f aca="false">IF(C1359="","",IFERROR(INDEX('Ingredient Catalog'!$C:$C,MATCH(C1359,'Ingredient Catalog'!$A:$A,0)),"⚠ not in catalog"))</f>
        <v/>
      </c>
      <c r="G1359" s="12" t="str">
        <f aca="false">IF(A1359="","",COUNTIFS('Weekly Log'!$A:$A,'Grocery List'!$B$3,'Weekly Log'!$C:$C,A1359,'Weekly Log'!$E:$E,"Yes"))</f>
        <v/>
      </c>
      <c r="H1359" s="12" t="str">
        <f aca="false">IF(OR(A1359="",D1359=""),"",D1359*G1359)</f>
        <v/>
      </c>
    </row>
    <row r="1360" customFormat="false" ht="15" hidden="false" customHeight="false" outlineLevel="0" collapsed="false">
      <c r="B1360" s="12" t="str">
        <f aca="false">IF(A1360="","",IFERROR(INDEX(Recipes!$B:$B,MATCH(A1360,Recipes!$A:$A,0)),"⚠ unknown recipe_id"))</f>
        <v/>
      </c>
      <c r="E1360" s="12" t="str">
        <f aca="false">IF(C1360="","",IFERROR(INDEX('Ingredient Catalog'!$C:$C,MATCH(C1360,'Ingredient Catalog'!$A:$A,0)),"⚠ not in catalog"))</f>
        <v/>
      </c>
      <c r="G1360" s="12" t="str">
        <f aca="false">IF(A1360="","",COUNTIFS('Weekly Log'!$A:$A,'Grocery List'!$B$3,'Weekly Log'!$C:$C,A1360,'Weekly Log'!$E:$E,"Yes"))</f>
        <v/>
      </c>
      <c r="H1360" s="12" t="str">
        <f aca="false">IF(OR(A1360="",D1360=""),"",D1360*G1360)</f>
        <v/>
      </c>
    </row>
    <row r="1361" customFormat="false" ht="15" hidden="false" customHeight="false" outlineLevel="0" collapsed="false">
      <c r="B1361" s="12" t="str">
        <f aca="false">IF(A1361="","",IFERROR(INDEX(Recipes!$B:$B,MATCH(A1361,Recipes!$A:$A,0)),"⚠ unknown recipe_id"))</f>
        <v/>
      </c>
      <c r="E1361" s="12" t="str">
        <f aca="false">IF(C1361="","",IFERROR(INDEX('Ingredient Catalog'!$C:$C,MATCH(C1361,'Ingredient Catalog'!$A:$A,0)),"⚠ not in catalog"))</f>
        <v/>
      </c>
      <c r="G1361" s="12" t="str">
        <f aca="false">IF(A1361="","",COUNTIFS('Weekly Log'!$A:$A,'Grocery List'!$B$3,'Weekly Log'!$C:$C,A1361,'Weekly Log'!$E:$E,"Yes"))</f>
        <v/>
      </c>
      <c r="H1361" s="12" t="str">
        <f aca="false">IF(OR(A1361="",D1361=""),"",D1361*G1361)</f>
        <v/>
      </c>
    </row>
    <row r="1362" customFormat="false" ht="15" hidden="false" customHeight="false" outlineLevel="0" collapsed="false">
      <c r="B1362" s="12" t="str">
        <f aca="false">IF(A1362="","",IFERROR(INDEX(Recipes!$B:$B,MATCH(A1362,Recipes!$A:$A,0)),"⚠ unknown recipe_id"))</f>
        <v/>
      </c>
      <c r="E1362" s="12" t="str">
        <f aca="false">IF(C1362="","",IFERROR(INDEX('Ingredient Catalog'!$C:$C,MATCH(C1362,'Ingredient Catalog'!$A:$A,0)),"⚠ not in catalog"))</f>
        <v/>
      </c>
      <c r="G1362" s="12" t="str">
        <f aca="false">IF(A1362="","",COUNTIFS('Weekly Log'!$A:$A,'Grocery List'!$B$3,'Weekly Log'!$C:$C,A1362,'Weekly Log'!$E:$E,"Yes"))</f>
        <v/>
      </c>
      <c r="H1362" s="12" t="str">
        <f aca="false">IF(OR(A1362="",D1362=""),"",D1362*G1362)</f>
        <v/>
      </c>
    </row>
    <row r="1363" customFormat="false" ht="15" hidden="false" customHeight="false" outlineLevel="0" collapsed="false">
      <c r="B1363" s="12" t="str">
        <f aca="false">IF(A1363="","",IFERROR(INDEX(Recipes!$B:$B,MATCH(A1363,Recipes!$A:$A,0)),"⚠ unknown recipe_id"))</f>
        <v/>
      </c>
      <c r="E1363" s="12" t="str">
        <f aca="false">IF(C1363="","",IFERROR(INDEX('Ingredient Catalog'!$C:$C,MATCH(C1363,'Ingredient Catalog'!$A:$A,0)),"⚠ not in catalog"))</f>
        <v/>
      </c>
      <c r="G1363" s="12" t="str">
        <f aca="false">IF(A1363="","",COUNTIFS('Weekly Log'!$A:$A,'Grocery List'!$B$3,'Weekly Log'!$C:$C,A1363,'Weekly Log'!$E:$E,"Yes"))</f>
        <v/>
      </c>
      <c r="H1363" s="12" t="str">
        <f aca="false">IF(OR(A1363="",D1363=""),"",D1363*G1363)</f>
        <v/>
      </c>
    </row>
    <row r="1364" customFormat="false" ht="15" hidden="false" customHeight="false" outlineLevel="0" collapsed="false">
      <c r="B1364" s="12" t="str">
        <f aca="false">IF(A1364="","",IFERROR(INDEX(Recipes!$B:$B,MATCH(A1364,Recipes!$A:$A,0)),"⚠ unknown recipe_id"))</f>
        <v/>
      </c>
      <c r="E1364" s="12" t="str">
        <f aca="false">IF(C1364="","",IFERROR(INDEX('Ingredient Catalog'!$C:$C,MATCH(C1364,'Ingredient Catalog'!$A:$A,0)),"⚠ not in catalog"))</f>
        <v/>
      </c>
      <c r="G1364" s="12" t="str">
        <f aca="false">IF(A1364="","",COUNTIFS('Weekly Log'!$A:$A,'Grocery List'!$B$3,'Weekly Log'!$C:$C,A1364,'Weekly Log'!$E:$E,"Yes"))</f>
        <v/>
      </c>
      <c r="H1364" s="12" t="str">
        <f aca="false">IF(OR(A1364="",D1364=""),"",D1364*G1364)</f>
        <v/>
      </c>
    </row>
    <row r="1365" customFormat="false" ht="15" hidden="false" customHeight="false" outlineLevel="0" collapsed="false">
      <c r="B1365" s="12" t="str">
        <f aca="false">IF(A1365="","",IFERROR(INDEX(Recipes!$B:$B,MATCH(A1365,Recipes!$A:$A,0)),"⚠ unknown recipe_id"))</f>
        <v/>
      </c>
      <c r="E1365" s="12" t="str">
        <f aca="false">IF(C1365="","",IFERROR(INDEX('Ingredient Catalog'!$C:$C,MATCH(C1365,'Ingredient Catalog'!$A:$A,0)),"⚠ not in catalog"))</f>
        <v/>
      </c>
      <c r="G1365" s="12" t="str">
        <f aca="false">IF(A1365="","",COUNTIFS('Weekly Log'!$A:$A,'Grocery List'!$B$3,'Weekly Log'!$C:$C,A1365,'Weekly Log'!$E:$E,"Yes"))</f>
        <v/>
      </c>
      <c r="H1365" s="12" t="str">
        <f aca="false">IF(OR(A1365="",D1365=""),"",D1365*G1365)</f>
        <v/>
      </c>
    </row>
    <row r="1366" customFormat="false" ht="15" hidden="false" customHeight="false" outlineLevel="0" collapsed="false">
      <c r="B1366" s="12" t="str">
        <f aca="false">IF(A1366="","",IFERROR(INDEX(Recipes!$B:$B,MATCH(A1366,Recipes!$A:$A,0)),"⚠ unknown recipe_id"))</f>
        <v/>
      </c>
      <c r="E1366" s="12" t="str">
        <f aca="false">IF(C1366="","",IFERROR(INDEX('Ingredient Catalog'!$C:$C,MATCH(C1366,'Ingredient Catalog'!$A:$A,0)),"⚠ not in catalog"))</f>
        <v/>
      </c>
      <c r="G1366" s="12" t="str">
        <f aca="false">IF(A1366="","",COUNTIFS('Weekly Log'!$A:$A,'Grocery List'!$B$3,'Weekly Log'!$C:$C,A1366,'Weekly Log'!$E:$E,"Yes"))</f>
        <v/>
      </c>
      <c r="H1366" s="12" t="str">
        <f aca="false">IF(OR(A1366="",D1366=""),"",D1366*G1366)</f>
        <v/>
      </c>
    </row>
    <row r="1367" customFormat="false" ht="15" hidden="false" customHeight="false" outlineLevel="0" collapsed="false">
      <c r="B1367" s="12" t="str">
        <f aca="false">IF(A1367="","",IFERROR(INDEX(Recipes!$B:$B,MATCH(A1367,Recipes!$A:$A,0)),"⚠ unknown recipe_id"))</f>
        <v/>
      </c>
      <c r="E1367" s="12" t="str">
        <f aca="false">IF(C1367="","",IFERROR(INDEX('Ingredient Catalog'!$C:$C,MATCH(C1367,'Ingredient Catalog'!$A:$A,0)),"⚠ not in catalog"))</f>
        <v/>
      </c>
      <c r="G1367" s="12" t="str">
        <f aca="false">IF(A1367="","",COUNTIFS('Weekly Log'!$A:$A,'Grocery List'!$B$3,'Weekly Log'!$C:$C,A1367,'Weekly Log'!$E:$E,"Yes"))</f>
        <v/>
      </c>
      <c r="H1367" s="12" t="str">
        <f aca="false">IF(OR(A1367="",D1367=""),"",D1367*G1367)</f>
        <v/>
      </c>
    </row>
    <row r="1368" customFormat="false" ht="15" hidden="false" customHeight="false" outlineLevel="0" collapsed="false">
      <c r="B1368" s="12" t="str">
        <f aca="false">IF(A1368="","",IFERROR(INDEX(Recipes!$B:$B,MATCH(A1368,Recipes!$A:$A,0)),"⚠ unknown recipe_id"))</f>
        <v/>
      </c>
      <c r="E1368" s="12" t="str">
        <f aca="false">IF(C1368="","",IFERROR(INDEX('Ingredient Catalog'!$C:$C,MATCH(C1368,'Ingredient Catalog'!$A:$A,0)),"⚠ not in catalog"))</f>
        <v/>
      </c>
      <c r="G1368" s="12" t="str">
        <f aca="false">IF(A1368="","",COUNTIFS('Weekly Log'!$A:$A,'Grocery List'!$B$3,'Weekly Log'!$C:$C,A1368,'Weekly Log'!$E:$E,"Yes"))</f>
        <v/>
      </c>
      <c r="H1368" s="12" t="str">
        <f aca="false">IF(OR(A1368="",D1368=""),"",D1368*G1368)</f>
        <v/>
      </c>
    </row>
    <row r="1369" customFormat="false" ht="15" hidden="false" customHeight="false" outlineLevel="0" collapsed="false">
      <c r="B1369" s="12" t="str">
        <f aca="false">IF(A1369="","",IFERROR(INDEX(Recipes!$B:$B,MATCH(A1369,Recipes!$A:$A,0)),"⚠ unknown recipe_id"))</f>
        <v/>
      </c>
      <c r="E1369" s="12" t="str">
        <f aca="false">IF(C1369="","",IFERROR(INDEX('Ingredient Catalog'!$C:$C,MATCH(C1369,'Ingredient Catalog'!$A:$A,0)),"⚠ not in catalog"))</f>
        <v/>
      </c>
      <c r="G1369" s="12" t="str">
        <f aca="false">IF(A1369="","",COUNTIFS('Weekly Log'!$A:$A,'Grocery List'!$B$3,'Weekly Log'!$C:$C,A1369,'Weekly Log'!$E:$E,"Yes"))</f>
        <v/>
      </c>
      <c r="H1369" s="12" t="str">
        <f aca="false">IF(OR(A1369="",D1369=""),"",D1369*G1369)</f>
        <v/>
      </c>
    </row>
    <row r="1370" customFormat="false" ht="15" hidden="false" customHeight="false" outlineLevel="0" collapsed="false">
      <c r="B1370" s="12" t="str">
        <f aca="false">IF(A1370="","",IFERROR(INDEX(Recipes!$B:$B,MATCH(A1370,Recipes!$A:$A,0)),"⚠ unknown recipe_id"))</f>
        <v/>
      </c>
      <c r="E1370" s="12" t="str">
        <f aca="false">IF(C1370="","",IFERROR(INDEX('Ingredient Catalog'!$C:$C,MATCH(C1370,'Ingredient Catalog'!$A:$A,0)),"⚠ not in catalog"))</f>
        <v/>
      </c>
      <c r="G1370" s="12" t="str">
        <f aca="false">IF(A1370="","",COUNTIFS('Weekly Log'!$A:$A,'Grocery List'!$B$3,'Weekly Log'!$C:$C,A1370,'Weekly Log'!$E:$E,"Yes"))</f>
        <v/>
      </c>
      <c r="H1370" s="12" t="str">
        <f aca="false">IF(OR(A1370="",D1370=""),"",D1370*G1370)</f>
        <v/>
      </c>
    </row>
    <row r="1371" customFormat="false" ht="15" hidden="false" customHeight="false" outlineLevel="0" collapsed="false">
      <c r="B1371" s="12" t="str">
        <f aca="false">IF(A1371="","",IFERROR(INDEX(Recipes!$B:$B,MATCH(A1371,Recipes!$A:$A,0)),"⚠ unknown recipe_id"))</f>
        <v/>
      </c>
      <c r="E1371" s="12" t="str">
        <f aca="false">IF(C1371="","",IFERROR(INDEX('Ingredient Catalog'!$C:$C,MATCH(C1371,'Ingredient Catalog'!$A:$A,0)),"⚠ not in catalog"))</f>
        <v/>
      </c>
      <c r="G1371" s="12" t="str">
        <f aca="false">IF(A1371="","",COUNTIFS('Weekly Log'!$A:$A,'Grocery List'!$B$3,'Weekly Log'!$C:$C,A1371,'Weekly Log'!$E:$E,"Yes"))</f>
        <v/>
      </c>
      <c r="H1371" s="12" t="str">
        <f aca="false">IF(OR(A1371="",D1371=""),"",D1371*G1371)</f>
        <v/>
      </c>
    </row>
    <row r="1372" customFormat="false" ht="15" hidden="false" customHeight="false" outlineLevel="0" collapsed="false">
      <c r="B1372" s="12" t="str">
        <f aca="false">IF(A1372="","",IFERROR(INDEX(Recipes!$B:$B,MATCH(A1372,Recipes!$A:$A,0)),"⚠ unknown recipe_id"))</f>
        <v/>
      </c>
      <c r="E1372" s="12" t="str">
        <f aca="false">IF(C1372="","",IFERROR(INDEX('Ingredient Catalog'!$C:$C,MATCH(C1372,'Ingredient Catalog'!$A:$A,0)),"⚠ not in catalog"))</f>
        <v/>
      </c>
      <c r="G1372" s="12" t="str">
        <f aca="false">IF(A1372="","",COUNTIFS('Weekly Log'!$A:$A,'Grocery List'!$B$3,'Weekly Log'!$C:$C,A1372,'Weekly Log'!$E:$E,"Yes"))</f>
        <v/>
      </c>
      <c r="H1372" s="12" t="str">
        <f aca="false">IF(OR(A1372="",D1372=""),"",D1372*G1372)</f>
        <v/>
      </c>
    </row>
    <row r="1373" customFormat="false" ht="15" hidden="false" customHeight="false" outlineLevel="0" collapsed="false">
      <c r="B1373" s="12" t="str">
        <f aca="false">IF(A1373="","",IFERROR(INDEX(Recipes!$B:$B,MATCH(A1373,Recipes!$A:$A,0)),"⚠ unknown recipe_id"))</f>
        <v/>
      </c>
      <c r="E1373" s="12" t="str">
        <f aca="false">IF(C1373="","",IFERROR(INDEX('Ingredient Catalog'!$C:$C,MATCH(C1373,'Ingredient Catalog'!$A:$A,0)),"⚠ not in catalog"))</f>
        <v/>
      </c>
      <c r="G1373" s="12" t="str">
        <f aca="false">IF(A1373="","",COUNTIFS('Weekly Log'!$A:$A,'Grocery List'!$B$3,'Weekly Log'!$C:$C,A1373,'Weekly Log'!$E:$E,"Yes"))</f>
        <v/>
      </c>
      <c r="H1373" s="12" t="str">
        <f aca="false">IF(OR(A1373="",D1373=""),"",D1373*G1373)</f>
        <v/>
      </c>
    </row>
    <row r="1374" customFormat="false" ht="15" hidden="false" customHeight="false" outlineLevel="0" collapsed="false">
      <c r="B1374" s="12" t="str">
        <f aca="false">IF(A1374="","",IFERROR(INDEX(Recipes!$B:$B,MATCH(A1374,Recipes!$A:$A,0)),"⚠ unknown recipe_id"))</f>
        <v/>
      </c>
      <c r="E1374" s="12" t="str">
        <f aca="false">IF(C1374="","",IFERROR(INDEX('Ingredient Catalog'!$C:$C,MATCH(C1374,'Ingredient Catalog'!$A:$A,0)),"⚠ not in catalog"))</f>
        <v/>
      </c>
      <c r="G1374" s="12" t="str">
        <f aca="false">IF(A1374="","",COUNTIFS('Weekly Log'!$A:$A,'Grocery List'!$B$3,'Weekly Log'!$C:$C,A1374,'Weekly Log'!$E:$E,"Yes"))</f>
        <v/>
      </c>
      <c r="H1374" s="12" t="str">
        <f aca="false">IF(OR(A1374="",D1374=""),"",D1374*G1374)</f>
        <v/>
      </c>
    </row>
    <row r="1375" customFormat="false" ht="15" hidden="false" customHeight="false" outlineLevel="0" collapsed="false">
      <c r="B1375" s="12" t="str">
        <f aca="false">IF(A1375="","",IFERROR(INDEX(Recipes!$B:$B,MATCH(A1375,Recipes!$A:$A,0)),"⚠ unknown recipe_id"))</f>
        <v/>
      </c>
      <c r="E1375" s="12" t="str">
        <f aca="false">IF(C1375="","",IFERROR(INDEX('Ingredient Catalog'!$C:$C,MATCH(C1375,'Ingredient Catalog'!$A:$A,0)),"⚠ not in catalog"))</f>
        <v/>
      </c>
      <c r="G1375" s="12" t="str">
        <f aca="false">IF(A1375="","",COUNTIFS('Weekly Log'!$A:$A,'Grocery List'!$B$3,'Weekly Log'!$C:$C,A1375,'Weekly Log'!$E:$E,"Yes"))</f>
        <v/>
      </c>
      <c r="H1375" s="12" t="str">
        <f aca="false">IF(OR(A1375="",D1375=""),"",D1375*G1375)</f>
        <v/>
      </c>
    </row>
    <row r="1376" customFormat="false" ht="15" hidden="false" customHeight="false" outlineLevel="0" collapsed="false">
      <c r="B1376" s="12" t="str">
        <f aca="false">IF(A1376="","",IFERROR(INDEX(Recipes!$B:$B,MATCH(A1376,Recipes!$A:$A,0)),"⚠ unknown recipe_id"))</f>
        <v/>
      </c>
      <c r="E1376" s="12" t="str">
        <f aca="false">IF(C1376="","",IFERROR(INDEX('Ingredient Catalog'!$C:$C,MATCH(C1376,'Ingredient Catalog'!$A:$A,0)),"⚠ not in catalog"))</f>
        <v/>
      </c>
      <c r="G1376" s="12" t="str">
        <f aca="false">IF(A1376="","",COUNTIFS('Weekly Log'!$A:$A,'Grocery List'!$B$3,'Weekly Log'!$C:$C,A1376,'Weekly Log'!$E:$E,"Yes"))</f>
        <v/>
      </c>
      <c r="H1376" s="12" t="str">
        <f aca="false">IF(OR(A1376="",D1376=""),"",D1376*G1376)</f>
        <v/>
      </c>
    </row>
    <row r="1377" customFormat="false" ht="15" hidden="false" customHeight="false" outlineLevel="0" collapsed="false">
      <c r="B1377" s="12" t="str">
        <f aca="false">IF(A1377="","",IFERROR(INDEX(Recipes!$B:$B,MATCH(A1377,Recipes!$A:$A,0)),"⚠ unknown recipe_id"))</f>
        <v/>
      </c>
      <c r="E1377" s="12" t="str">
        <f aca="false">IF(C1377="","",IFERROR(INDEX('Ingredient Catalog'!$C:$C,MATCH(C1377,'Ingredient Catalog'!$A:$A,0)),"⚠ not in catalog"))</f>
        <v/>
      </c>
      <c r="G1377" s="12" t="str">
        <f aca="false">IF(A1377="","",COUNTIFS('Weekly Log'!$A:$A,'Grocery List'!$B$3,'Weekly Log'!$C:$C,A1377,'Weekly Log'!$E:$E,"Yes"))</f>
        <v/>
      </c>
      <c r="H1377" s="12" t="str">
        <f aca="false">IF(OR(A1377="",D1377=""),"",D1377*G1377)</f>
        <v/>
      </c>
    </row>
    <row r="1378" customFormat="false" ht="15" hidden="false" customHeight="false" outlineLevel="0" collapsed="false">
      <c r="B1378" s="12" t="str">
        <f aca="false">IF(A1378="","",IFERROR(INDEX(Recipes!$B:$B,MATCH(A1378,Recipes!$A:$A,0)),"⚠ unknown recipe_id"))</f>
        <v/>
      </c>
      <c r="E1378" s="12" t="str">
        <f aca="false">IF(C1378="","",IFERROR(INDEX('Ingredient Catalog'!$C:$C,MATCH(C1378,'Ingredient Catalog'!$A:$A,0)),"⚠ not in catalog"))</f>
        <v/>
      </c>
      <c r="G1378" s="12" t="str">
        <f aca="false">IF(A1378="","",COUNTIFS('Weekly Log'!$A:$A,'Grocery List'!$B$3,'Weekly Log'!$C:$C,A1378,'Weekly Log'!$E:$E,"Yes"))</f>
        <v/>
      </c>
      <c r="H1378" s="12" t="str">
        <f aca="false">IF(OR(A1378="",D1378=""),"",D1378*G1378)</f>
        <v/>
      </c>
    </row>
    <row r="1379" customFormat="false" ht="15" hidden="false" customHeight="false" outlineLevel="0" collapsed="false">
      <c r="B1379" s="12" t="str">
        <f aca="false">IF(A1379="","",IFERROR(INDEX(Recipes!$B:$B,MATCH(A1379,Recipes!$A:$A,0)),"⚠ unknown recipe_id"))</f>
        <v/>
      </c>
      <c r="E1379" s="12" t="str">
        <f aca="false">IF(C1379="","",IFERROR(INDEX('Ingredient Catalog'!$C:$C,MATCH(C1379,'Ingredient Catalog'!$A:$A,0)),"⚠ not in catalog"))</f>
        <v/>
      </c>
      <c r="G1379" s="12" t="str">
        <f aca="false">IF(A1379="","",COUNTIFS('Weekly Log'!$A:$A,'Grocery List'!$B$3,'Weekly Log'!$C:$C,A1379,'Weekly Log'!$E:$E,"Yes"))</f>
        <v/>
      </c>
      <c r="H1379" s="12" t="str">
        <f aca="false">IF(OR(A1379="",D1379=""),"",D1379*G1379)</f>
        <v/>
      </c>
    </row>
    <row r="1380" customFormat="false" ht="15" hidden="false" customHeight="false" outlineLevel="0" collapsed="false">
      <c r="B1380" s="12" t="str">
        <f aca="false">IF(A1380="","",IFERROR(INDEX(Recipes!$B:$B,MATCH(A1380,Recipes!$A:$A,0)),"⚠ unknown recipe_id"))</f>
        <v/>
      </c>
      <c r="E1380" s="12" t="str">
        <f aca="false">IF(C1380="","",IFERROR(INDEX('Ingredient Catalog'!$C:$C,MATCH(C1380,'Ingredient Catalog'!$A:$A,0)),"⚠ not in catalog"))</f>
        <v/>
      </c>
      <c r="G1380" s="12" t="str">
        <f aca="false">IF(A1380="","",COUNTIFS('Weekly Log'!$A:$A,'Grocery List'!$B$3,'Weekly Log'!$C:$C,A1380,'Weekly Log'!$E:$E,"Yes"))</f>
        <v/>
      </c>
      <c r="H1380" s="12" t="str">
        <f aca="false">IF(OR(A1380="",D1380=""),"",D1380*G1380)</f>
        <v/>
      </c>
    </row>
    <row r="1381" customFormat="false" ht="15" hidden="false" customHeight="false" outlineLevel="0" collapsed="false">
      <c r="B1381" s="12" t="str">
        <f aca="false">IF(A1381="","",IFERROR(INDEX(Recipes!$B:$B,MATCH(A1381,Recipes!$A:$A,0)),"⚠ unknown recipe_id"))</f>
        <v/>
      </c>
      <c r="E1381" s="12" t="str">
        <f aca="false">IF(C1381="","",IFERROR(INDEX('Ingredient Catalog'!$C:$C,MATCH(C1381,'Ingredient Catalog'!$A:$A,0)),"⚠ not in catalog"))</f>
        <v/>
      </c>
      <c r="G1381" s="12" t="str">
        <f aca="false">IF(A1381="","",COUNTIFS('Weekly Log'!$A:$A,'Grocery List'!$B$3,'Weekly Log'!$C:$C,A1381,'Weekly Log'!$E:$E,"Yes"))</f>
        <v/>
      </c>
      <c r="H1381" s="12" t="str">
        <f aca="false">IF(OR(A1381="",D1381=""),"",D1381*G1381)</f>
        <v/>
      </c>
    </row>
    <row r="1382" customFormat="false" ht="15" hidden="false" customHeight="false" outlineLevel="0" collapsed="false">
      <c r="B1382" s="12" t="str">
        <f aca="false">IF(A1382="","",IFERROR(INDEX(Recipes!$B:$B,MATCH(A1382,Recipes!$A:$A,0)),"⚠ unknown recipe_id"))</f>
        <v/>
      </c>
      <c r="E1382" s="12" t="str">
        <f aca="false">IF(C1382="","",IFERROR(INDEX('Ingredient Catalog'!$C:$C,MATCH(C1382,'Ingredient Catalog'!$A:$A,0)),"⚠ not in catalog"))</f>
        <v/>
      </c>
      <c r="G1382" s="12" t="str">
        <f aca="false">IF(A1382="","",COUNTIFS('Weekly Log'!$A:$A,'Grocery List'!$B$3,'Weekly Log'!$C:$C,A1382,'Weekly Log'!$E:$E,"Yes"))</f>
        <v/>
      </c>
      <c r="H1382" s="12" t="str">
        <f aca="false">IF(OR(A1382="",D1382=""),"",D1382*G1382)</f>
        <v/>
      </c>
    </row>
    <row r="1383" customFormat="false" ht="15" hidden="false" customHeight="false" outlineLevel="0" collapsed="false">
      <c r="B1383" s="12" t="str">
        <f aca="false">IF(A1383="","",IFERROR(INDEX(Recipes!$B:$B,MATCH(A1383,Recipes!$A:$A,0)),"⚠ unknown recipe_id"))</f>
        <v/>
      </c>
      <c r="E1383" s="12" t="str">
        <f aca="false">IF(C1383="","",IFERROR(INDEX('Ingredient Catalog'!$C:$C,MATCH(C1383,'Ingredient Catalog'!$A:$A,0)),"⚠ not in catalog"))</f>
        <v/>
      </c>
      <c r="G1383" s="12" t="str">
        <f aca="false">IF(A1383="","",COUNTIFS('Weekly Log'!$A:$A,'Grocery List'!$B$3,'Weekly Log'!$C:$C,A1383,'Weekly Log'!$E:$E,"Yes"))</f>
        <v/>
      </c>
      <c r="H1383" s="12" t="str">
        <f aca="false">IF(OR(A1383="",D1383=""),"",D1383*G1383)</f>
        <v/>
      </c>
    </row>
    <row r="1384" customFormat="false" ht="15" hidden="false" customHeight="false" outlineLevel="0" collapsed="false">
      <c r="B1384" s="12" t="str">
        <f aca="false">IF(A1384="","",IFERROR(INDEX(Recipes!$B:$B,MATCH(A1384,Recipes!$A:$A,0)),"⚠ unknown recipe_id"))</f>
        <v/>
      </c>
      <c r="E1384" s="12" t="str">
        <f aca="false">IF(C1384="","",IFERROR(INDEX('Ingredient Catalog'!$C:$C,MATCH(C1384,'Ingredient Catalog'!$A:$A,0)),"⚠ not in catalog"))</f>
        <v/>
      </c>
      <c r="G1384" s="12" t="str">
        <f aca="false">IF(A1384="","",COUNTIFS('Weekly Log'!$A:$A,'Grocery List'!$B$3,'Weekly Log'!$C:$C,A1384,'Weekly Log'!$E:$E,"Yes"))</f>
        <v/>
      </c>
      <c r="H1384" s="12" t="str">
        <f aca="false">IF(OR(A1384="",D1384=""),"",D1384*G1384)</f>
        <v/>
      </c>
    </row>
    <row r="1385" customFormat="false" ht="15" hidden="false" customHeight="false" outlineLevel="0" collapsed="false">
      <c r="B1385" s="12" t="str">
        <f aca="false">IF(A1385="","",IFERROR(INDEX(Recipes!$B:$B,MATCH(A1385,Recipes!$A:$A,0)),"⚠ unknown recipe_id"))</f>
        <v/>
      </c>
      <c r="E1385" s="12" t="str">
        <f aca="false">IF(C1385="","",IFERROR(INDEX('Ingredient Catalog'!$C:$C,MATCH(C1385,'Ingredient Catalog'!$A:$A,0)),"⚠ not in catalog"))</f>
        <v/>
      </c>
      <c r="G1385" s="12" t="str">
        <f aca="false">IF(A1385="","",COUNTIFS('Weekly Log'!$A:$A,'Grocery List'!$B$3,'Weekly Log'!$C:$C,A1385,'Weekly Log'!$E:$E,"Yes"))</f>
        <v/>
      </c>
      <c r="H1385" s="12" t="str">
        <f aca="false">IF(OR(A1385="",D1385=""),"",D1385*G1385)</f>
        <v/>
      </c>
    </row>
    <row r="1386" customFormat="false" ht="15" hidden="false" customHeight="false" outlineLevel="0" collapsed="false">
      <c r="B1386" s="12" t="str">
        <f aca="false">IF(A1386="","",IFERROR(INDEX(Recipes!$B:$B,MATCH(A1386,Recipes!$A:$A,0)),"⚠ unknown recipe_id"))</f>
        <v/>
      </c>
      <c r="E1386" s="12" t="str">
        <f aca="false">IF(C1386="","",IFERROR(INDEX('Ingredient Catalog'!$C:$C,MATCH(C1386,'Ingredient Catalog'!$A:$A,0)),"⚠ not in catalog"))</f>
        <v/>
      </c>
      <c r="G1386" s="12" t="str">
        <f aca="false">IF(A1386="","",COUNTIFS('Weekly Log'!$A:$A,'Grocery List'!$B$3,'Weekly Log'!$C:$C,A1386,'Weekly Log'!$E:$E,"Yes"))</f>
        <v/>
      </c>
      <c r="H1386" s="12" t="str">
        <f aca="false">IF(OR(A1386="",D1386=""),"",D1386*G1386)</f>
        <v/>
      </c>
    </row>
    <row r="1387" customFormat="false" ht="15" hidden="false" customHeight="false" outlineLevel="0" collapsed="false">
      <c r="B1387" s="12" t="str">
        <f aca="false">IF(A1387="","",IFERROR(INDEX(Recipes!$B:$B,MATCH(A1387,Recipes!$A:$A,0)),"⚠ unknown recipe_id"))</f>
        <v/>
      </c>
      <c r="E1387" s="12" t="str">
        <f aca="false">IF(C1387="","",IFERROR(INDEX('Ingredient Catalog'!$C:$C,MATCH(C1387,'Ingredient Catalog'!$A:$A,0)),"⚠ not in catalog"))</f>
        <v/>
      </c>
      <c r="G1387" s="12" t="str">
        <f aca="false">IF(A1387="","",COUNTIFS('Weekly Log'!$A:$A,'Grocery List'!$B$3,'Weekly Log'!$C:$C,A1387,'Weekly Log'!$E:$E,"Yes"))</f>
        <v/>
      </c>
      <c r="H1387" s="12" t="str">
        <f aca="false">IF(OR(A1387="",D1387=""),"",D1387*G1387)</f>
        <v/>
      </c>
    </row>
    <row r="1388" customFormat="false" ht="15" hidden="false" customHeight="false" outlineLevel="0" collapsed="false">
      <c r="B1388" s="12" t="str">
        <f aca="false">IF(A1388="","",IFERROR(INDEX(Recipes!$B:$B,MATCH(A1388,Recipes!$A:$A,0)),"⚠ unknown recipe_id"))</f>
        <v/>
      </c>
      <c r="E1388" s="12" t="str">
        <f aca="false">IF(C1388="","",IFERROR(INDEX('Ingredient Catalog'!$C:$C,MATCH(C1388,'Ingredient Catalog'!$A:$A,0)),"⚠ not in catalog"))</f>
        <v/>
      </c>
      <c r="G1388" s="12" t="str">
        <f aca="false">IF(A1388="","",COUNTIFS('Weekly Log'!$A:$A,'Grocery List'!$B$3,'Weekly Log'!$C:$C,A1388,'Weekly Log'!$E:$E,"Yes"))</f>
        <v/>
      </c>
      <c r="H1388" s="12" t="str">
        <f aca="false">IF(OR(A1388="",D1388=""),"",D1388*G1388)</f>
        <v/>
      </c>
    </row>
    <row r="1389" customFormat="false" ht="15" hidden="false" customHeight="false" outlineLevel="0" collapsed="false">
      <c r="B1389" s="12" t="str">
        <f aca="false">IF(A1389="","",IFERROR(INDEX(Recipes!$B:$B,MATCH(A1389,Recipes!$A:$A,0)),"⚠ unknown recipe_id"))</f>
        <v/>
      </c>
      <c r="E1389" s="12" t="str">
        <f aca="false">IF(C1389="","",IFERROR(INDEX('Ingredient Catalog'!$C:$C,MATCH(C1389,'Ingredient Catalog'!$A:$A,0)),"⚠ not in catalog"))</f>
        <v/>
      </c>
      <c r="G1389" s="12" t="str">
        <f aca="false">IF(A1389="","",COUNTIFS('Weekly Log'!$A:$A,'Grocery List'!$B$3,'Weekly Log'!$C:$C,A1389,'Weekly Log'!$E:$E,"Yes"))</f>
        <v/>
      </c>
      <c r="H1389" s="12" t="str">
        <f aca="false">IF(OR(A1389="",D1389=""),"",D1389*G1389)</f>
        <v/>
      </c>
    </row>
    <row r="1390" customFormat="false" ht="15" hidden="false" customHeight="false" outlineLevel="0" collapsed="false">
      <c r="B1390" s="12" t="str">
        <f aca="false">IF(A1390="","",IFERROR(INDEX(Recipes!$B:$B,MATCH(A1390,Recipes!$A:$A,0)),"⚠ unknown recipe_id"))</f>
        <v/>
      </c>
      <c r="E1390" s="12" t="str">
        <f aca="false">IF(C1390="","",IFERROR(INDEX('Ingredient Catalog'!$C:$C,MATCH(C1390,'Ingredient Catalog'!$A:$A,0)),"⚠ not in catalog"))</f>
        <v/>
      </c>
      <c r="G1390" s="12" t="str">
        <f aca="false">IF(A1390="","",COUNTIFS('Weekly Log'!$A:$A,'Grocery List'!$B$3,'Weekly Log'!$C:$C,A1390,'Weekly Log'!$E:$E,"Yes"))</f>
        <v/>
      </c>
      <c r="H1390" s="12" t="str">
        <f aca="false">IF(OR(A1390="",D1390=""),"",D1390*G1390)</f>
        <v/>
      </c>
    </row>
    <row r="1391" customFormat="false" ht="15" hidden="false" customHeight="false" outlineLevel="0" collapsed="false">
      <c r="B1391" s="12" t="str">
        <f aca="false">IF(A1391="","",IFERROR(INDEX(Recipes!$B:$B,MATCH(A1391,Recipes!$A:$A,0)),"⚠ unknown recipe_id"))</f>
        <v/>
      </c>
      <c r="E1391" s="12" t="str">
        <f aca="false">IF(C1391="","",IFERROR(INDEX('Ingredient Catalog'!$C:$C,MATCH(C1391,'Ingredient Catalog'!$A:$A,0)),"⚠ not in catalog"))</f>
        <v/>
      </c>
      <c r="G1391" s="12" t="str">
        <f aca="false">IF(A1391="","",COUNTIFS('Weekly Log'!$A:$A,'Grocery List'!$B$3,'Weekly Log'!$C:$C,A1391,'Weekly Log'!$E:$E,"Yes"))</f>
        <v/>
      </c>
      <c r="H1391" s="12" t="str">
        <f aca="false">IF(OR(A1391="",D1391=""),"",D1391*G1391)</f>
        <v/>
      </c>
    </row>
    <row r="1392" customFormat="false" ht="15" hidden="false" customHeight="false" outlineLevel="0" collapsed="false">
      <c r="B1392" s="12" t="str">
        <f aca="false">IF(A1392="","",IFERROR(INDEX(Recipes!$B:$B,MATCH(A1392,Recipes!$A:$A,0)),"⚠ unknown recipe_id"))</f>
        <v/>
      </c>
      <c r="E1392" s="12" t="str">
        <f aca="false">IF(C1392="","",IFERROR(INDEX('Ingredient Catalog'!$C:$C,MATCH(C1392,'Ingredient Catalog'!$A:$A,0)),"⚠ not in catalog"))</f>
        <v/>
      </c>
      <c r="G1392" s="12" t="str">
        <f aca="false">IF(A1392="","",COUNTIFS('Weekly Log'!$A:$A,'Grocery List'!$B$3,'Weekly Log'!$C:$C,A1392,'Weekly Log'!$E:$E,"Yes"))</f>
        <v/>
      </c>
      <c r="H1392" s="12" t="str">
        <f aca="false">IF(OR(A1392="",D1392=""),"",D1392*G1392)</f>
        <v/>
      </c>
    </row>
    <row r="1393" customFormat="false" ht="15" hidden="false" customHeight="false" outlineLevel="0" collapsed="false">
      <c r="B1393" s="12" t="str">
        <f aca="false">IF(A1393="","",IFERROR(INDEX(Recipes!$B:$B,MATCH(A1393,Recipes!$A:$A,0)),"⚠ unknown recipe_id"))</f>
        <v/>
      </c>
      <c r="E1393" s="12" t="str">
        <f aca="false">IF(C1393="","",IFERROR(INDEX('Ingredient Catalog'!$C:$C,MATCH(C1393,'Ingredient Catalog'!$A:$A,0)),"⚠ not in catalog"))</f>
        <v/>
      </c>
      <c r="G1393" s="12" t="str">
        <f aca="false">IF(A1393="","",COUNTIFS('Weekly Log'!$A:$A,'Grocery List'!$B$3,'Weekly Log'!$C:$C,A1393,'Weekly Log'!$E:$E,"Yes"))</f>
        <v/>
      </c>
      <c r="H1393" s="12" t="str">
        <f aca="false">IF(OR(A1393="",D1393=""),"",D1393*G1393)</f>
        <v/>
      </c>
    </row>
    <row r="1394" customFormat="false" ht="15" hidden="false" customHeight="false" outlineLevel="0" collapsed="false">
      <c r="B1394" s="12" t="str">
        <f aca="false">IF(A1394="","",IFERROR(INDEX(Recipes!$B:$B,MATCH(A1394,Recipes!$A:$A,0)),"⚠ unknown recipe_id"))</f>
        <v/>
      </c>
      <c r="E1394" s="12" t="str">
        <f aca="false">IF(C1394="","",IFERROR(INDEX('Ingredient Catalog'!$C:$C,MATCH(C1394,'Ingredient Catalog'!$A:$A,0)),"⚠ not in catalog"))</f>
        <v/>
      </c>
      <c r="G1394" s="12" t="str">
        <f aca="false">IF(A1394="","",COUNTIFS('Weekly Log'!$A:$A,'Grocery List'!$B$3,'Weekly Log'!$C:$C,A1394,'Weekly Log'!$E:$E,"Yes"))</f>
        <v/>
      </c>
      <c r="H1394" s="12" t="str">
        <f aca="false">IF(OR(A1394="",D1394=""),"",D1394*G1394)</f>
        <v/>
      </c>
    </row>
    <row r="1395" customFormat="false" ht="15" hidden="false" customHeight="false" outlineLevel="0" collapsed="false">
      <c r="B1395" s="12" t="str">
        <f aca="false">IF(A1395="","",IFERROR(INDEX(Recipes!$B:$B,MATCH(A1395,Recipes!$A:$A,0)),"⚠ unknown recipe_id"))</f>
        <v/>
      </c>
      <c r="E1395" s="12" t="str">
        <f aca="false">IF(C1395="","",IFERROR(INDEX('Ingredient Catalog'!$C:$C,MATCH(C1395,'Ingredient Catalog'!$A:$A,0)),"⚠ not in catalog"))</f>
        <v/>
      </c>
      <c r="G1395" s="12" t="str">
        <f aca="false">IF(A1395="","",COUNTIFS('Weekly Log'!$A:$A,'Grocery List'!$B$3,'Weekly Log'!$C:$C,A1395,'Weekly Log'!$E:$E,"Yes"))</f>
        <v/>
      </c>
      <c r="H1395" s="12" t="str">
        <f aca="false">IF(OR(A1395="",D1395=""),"",D1395*G1395)</f>
        <v/>
      </c>
    </row>
    <row r="1396" customFormat="false" ht="15" hidden="false" customHeight="false" outlineLevel="0" collapsed="false">
      <c r="B1396" s="12" t="str">
        <f aca="false">IF(A1396="","",IFERROR(INDEX(Recipes!$B:$B,MATCH(A1396,Recipes!$A:$A,0)),"⚠ unknown recipe_id"))</f>
        <v/>
      </c>
      <c r="E1396" s="12" t="str">
        <f aca="false">IF(C1396="","",IFERROR(INDEX('Ingredient Catalog'!$C:$C,MATCH(C1396,'Ingredient Catalog'!$A:$A,0)),"⚠ not in catalog"))</f>
        <v/>
      </c>
      <c r="G1396" s="12" t="str">
        <f aca="false">IF(A1396="","",COUNTIFS('Weekly Log'!$A:$A,'Grocery List'!$B$3,'Weekly Log'!$C:$C,A1396,'Weekly Log'!$E:$E,"Yes"))</f>
        <v/>
      </c>
      <c r="H1396" s="12" t="str">
        <f aca="false">IF(OR(A1396="",D1396=""),"",D1396*G1396)</f>
        <v/>
      </c>
    </row>
    <row r="1397" customFormat="false" ht="15" hidden="false" customHeight="false" outlineLevel="0" collapsed="false">
      <c r="B1397" s="12" t="str">
        <f aca="false">IF(A1397="","",IFERROR(INDEX(Recipes!$B:$B,MATCH(A1397,Recipes!$A:$A,0)),"⚠ unknown recipe_id"))</f>
        <v/>
      </c>
      <c r="E1397" s="12" t="str">
        <f aca="false">IF(C1397="","",IFERROR(INDEX('Ingredient Catalog'!$C:$C,MATCH(C1397,'Ingredient Catalog'!$A:$A,0)),"⚠ not in catalog"))</f>
        <v/>
      </c>
      <c r="G1397" s="12" t="str">
        <f aca="false">IF(A1397="","",COUNTIFS('Weekly Log'!$A:$A,'Grocery List'!$B$3,'Weekly Log'!$C:$C,A1397,'Weekly Log'!$E:$E,"Yes"))</f>
        <v/>
      </c>
      <c r="H1397" s="12" t="str">
        <f aca="false">IF(OR(A1397="",D1397=""),"",D1397*G1397)</f>
        <v/>
      </c>
    </row>
    <row r="1398" customFormat="false" ht="15" hidden="false" customHeight="false" outlineLevel="0" collapsed="false">
      <c r="B1398" s="12" t="str">
        <f aca="false">IF(A1398="","",IFERROR(INDEX(Recipes!$B:$B,MATCH(A1398,Recipes!$A:$A,0)),"⚠ unknown recipe_id"))</f>
        <v/>
      </c>
      <c r="E1398" s="12" t="str">
        <f aca="false">IF(C1398="","",IFERROR(INDEX('Ingredient Catalog'!$C:$C,MATCH(C1398,'Ingredient Catalog'!$A:$A,0)),"⚠ not in catalog"))</f>
        <v/>
      </c>
      <c r="G1398" s="12" t="str">
        <f aca="false">IF(A1398="","",COUNTIFS('Weekly Log'!$A:$A,'Grocery List'!$B$3,'Weekly Log'!$C:$C,A1398,'Weekly Log'!$E:$E,"Yes"))</f>
        <v/>
      </c>
      <c r="H1398" s="12" t="str">
        <f aca="false">IF(OR(A1398="",D1398=""),"",D1398*G1398)</f>
        <v/>
      </c>
    </row>
    <row r="1399" customFormat="false" ht="15" hidden="false" customHeight="false" outlineLevel="0" collapsed="false">
      <c r="B1399" s="12" t="str">
        <f aca="false">IF(A1399="","",IFERROR(INDEX(Recipes!$B:$B,MATCH(A1399,Recipes!$A:$A,0)),"⚠ unknown recipe_id"))</f>
        <v/>
      </c>
      <c r="E1399" s="12" t="str">
        <f aca="false">IF(C1399="","",IFERROR(INDEX('Ingredient Catalog'!$C:$C,MATCH(C1399,'Ingredient Catalog'!$A:$A,0)),"⚠ not in catalog"))</f>
        <v/>
      </c>
      <c r="G1399" s="12" t="str">
        <f aca="false">IF(A1399="","",COUNTIFS('Weekly Log'!$A:$A,'Grocery List'!$B$3,'Weekly Log'!$C:$C,A1399,'Weekly Log'!$E:$E,"Yes"))</f>
        <v/>
      </c>
      <c r="H1399" s="12" t="str">
        <f aca="false">IF(OR(A1399="",D1399=""),"",D1399*G1399)</f>
        <v/>
      </c>
    </row>
    <row r="1400" customFormat="false" ht="15" hidden="false" customHeight="false" outlineLevel="0" collapsed="false">
      <c r="B1400" s="12" t="str">
        <f aca="false">IF(A1400="","",IFERROR(INDEX(Recipes!$B:$B,MATCH(A1400,Recipes!$A:$A,0)),"⚠ unknown recipe_id"))</f>
        <v/>
      </c>
      <c r="E1400" s="12" t="str">
        <f aca="false">IF(C1400="","",IFERROR(INDEX('Ingredient Catalog'!$C:$C,MATCH(C1400,'Ingredient Catalog'!$A:$A,0)),"⚠ not in catalog"))</f>
        <v/>
      </c>
      <c r="G1400" s="12" t="str">
        <f aca="false">IF(A1400="","",COUNTIFS('Weekly Log'!$A:$A,'Grocery List'!$B$3,'Weekly Log'!$C:$C,A1400,'Weekly Log'!$E:$E,"Yes"))</f>
        <v/>
      </c>
      <c r="H1400" s="12" t="str">
        <f aca="false">IF(OR(A1400="",D1400=""),"",D1400*G1400)</f>
        <v/>
      </c>
    </row>
    <row r="1401" customFormat="false" ht="15" hidden="false" customHeight="false" outlineLevel="0" collapsed="false">
      <c r="B1401" s="12" t="str">
        <f aca="false">IF(A1401="","",IFERROR(INDEX(Recipes!$B:$B,MATCH(A1401,Recipes!$A:$A,0)),"⚠ unknown recipe_id"))</f>
        <v/>
      </c>
      <c r="E1401" s="12" t="str">
        <f aca="false">IF(C1401="","",IFERROR(INDEX('Ingredient Catalog'!$C:$C,MATCH(C1401,'Ingredient Catalog'!$A:$A,0)),"⚠ not in catalog"))</f>
        <v/>
      </c>
      <c r="G1401" s="12" t="str">
        <f aca="false">IF(A1401="","",COUNTIFS('Weekly Log'!$A:$A,'Grocery List'!$B$3,'Weekly Log'!$C:$C,A1401,'Weekly Log'!$E:$E,"Yes"))</f>
        <v/>
      </c>
      <c r="H1401" s="12" t="str">
        <f aca="false">IF(OR(A1401="",D1401=""),"",D1401*G1401)</f>
        <v/>
      </c>
    </row>
    <row r="1402" customFormat="false" ht="15" hidden="false" customHeight="false" outlineLevel="0" collapsed="false">
      <c r="B1402" s="12" t="str">
        <f aca="false">IF(A1402="","",IFERROR(INDEX(Recipes!$B:$B,MATCH(A1402,Recipes!$A:$A,0)),"⚠ unknown recipe_id"))</f>
        <v/>
      </c>
      <c r="E1402" s="12" t="str">
        <f aca="false">IF(C1402="","",IFERROR(INDEX('Ingredient Catalog'!$C:$C,MATCH(C1402,'Ingredient Catalog'!$A:$A,0)),"⚠ not in catalog"))</f>
        <v/>
      </c>
      <c r="G1402" s="12" t="str">
        <f aca="false">IF(A1402="","",COUNTIFS('Weekly Log'!$A:$A,'Grocery List'!$B$3,'Weekly Log'!$C:$C,A1402,'Weekly Log'!$E:$E,"Yes"))</f>
        <v/>
      </c>
      <c r="H1402" s="12" t="str">
        <f aca="false">IF(OR(A1402="",D1402=""),"",D1402*G1402)</f>
        <v/>
      </c>
    </row>
    <row r="1403" customFormat="false" ht="15" hidden="false" customHeight="false" outlineLevel="0" collapsed="false">
      <c r="B1403" s="12" t="str">
        <f aca="false">IF(A1403="","",IFERROR(INDEX(Recipes!$B:$B,MATCH(A1403,Recipes!$A:$A,0)),"⚠ unknown recipe_id"))</f>
        <v/>
      </c>
      <c r="E1403" s="12" t="str">
        <f aca="false">IF(C1403="","",IFERROR(INDEX('Ingredient Catalog'!$C:$C,MATCH(C1403,'Ingredient Catalog'!$A:$A,0)),"⚠ not in catalog"))</f>
        <v/>
      </c>
      <c r="G1403" s="12" t="str">
        <f aca="false">IF(A1403="","",COUNTIFS('Weekly Log'!$A:$A,'Grocery List'!$B$3,'Weekly Log'!$C:$C,A1403,'Weekly Log'!$E:$E,"Yes"))</f>
        <v/>
      </c>
      <c r="H1403" s="12" t="str">
        <f aca="false">IF(OR(A1403="",D1403=""),"",D1403*G1403)</f>
        <v/>
      </c>
    </row>
    <row r="1404" customFormat="false" ht="15" hidden="false" customHeight="false" outlineLevel="0" collapsed="false">
      <c r="B1404" s="12" t="str">
        <f aca="false">IF(A1404="","",IFERROR(INDEX(Recipes!$B:$B,MATCH(A1404,Recipes!$A:$A,0)),"⚠ unknown recipe_id"))</f>
        <v/>
      </c>
      <c r="E1404" s="12" t="str">
        <f aca="false">IF(C1404="","",IFERROR(INDEX('Ingredient Catalog'!$C:$C,MATCH(C1404,'Ingredient Catalog'!$A:$A,0)),"⚠ not in catalog"))</f>
        <v/>
      </c>
      <c r="G1404" s="12" t="str">
        <f aca="false">IF(A1404="","",COUNTIFS('Weekly Log'!$A:$A,'Grocery List'!$B$3,'Weekly Log'!$C:$C,A1404,'Weekly Log'!$E:$E,"Yes"))</f>
        <v/>
      </c>
      <c r="H1404" s="12" t="str">
        <f aca="false">IF(OR(A1404="",D1404=""),"",D1404*G1404)</f>
        <v/>
      </c>
    </row>
    <row r="1405" customFormat="false" ht="15" hidden="false" customHeight="false" outlineLevel="0" collapsed="false">
      <c r="B1405" s="12" t="str">
        <f aca="false">IF(A1405="","",IFERROR(INDEX(Recipes!$B:$B,MATCH(A1405,Recipes!$A:$A,0)),"⚠ unknown recipe_id"))</f>
        <v/>
      </c>
      <c r="E1405" s="12" t="str">
        <f aca="false">IF(C1405="","",IFERROR(INDEX('Ingredient Catalog'!$C:$C,MATCH(C1405,'Ingredient Catalog'!$A:$A,0)),"⚠ not in catalog"))</f>
        <v/>
      </c>
      <c r="G1405" s="12" t="str">
        <f aca="false">IF(A1405="","",COUNTIFS('Weekly Log'!$A:$A,'Grocery List'!$B$3,'Weekly Log'!$C:$C,A1405,'Weekly Log'!$E:$E,"Yes"))</f>
        <v/>
      </c>
      <c r="H1405" s="12" t="str">
        <f aca="false">IF(OR(A1405="",D1405=""),"",D1405*G1405)</f>
        <v/>
      </c>
    </row>
    <row r="1406" customFormat="false" ht="15" hidden="false" customHeight="false" outlineLevel="0" collapsed="false">
      <c r="B1406" s="12" t="str">
        <f aca="false">IF(A1406="","",IFERROR(INDEX(Recipes!$B:$B,MATCH(A1406,Recipes!$A:$A,0)),"⚠ unknown recipe_id"))</f>
        <v/>
      </c>
      <c r="E1406" s="12" t="str">
        <f aca="false">IF(C1406="","",IFERROR(INDEX('Ingredient Catalog'!$C:$C,MATCH(C1406,'Ingredient Catalog'!$A:$A,0)),"⚠ not in catalog"))</f>
        <v/>
      </c>
      <c r="G1406" s="12" t="str">
        <f aca="false">IF(A1406="","",COUNTIFS('Weekly Log'!$A:$A,'Grocery List'!$B$3,'Weekly Log'!$C:$C,A1406,'Weekly Log'!$E:$E,"Yes"))</f>
        <v/>
      </c>
      <c r="H1406" s="12" t="str">
        <f aca="false">IF(OR(A1406="",D1406=""),"",D1406*G1406)</f>
        <v/>
      </c>
    </row>
    <row r="1407" customFormat="false" ht="15" hidden="false" customHeight="false" outlineLevel="0" collapsed="false">
      <c r="B1407" s="12" t="str">
        <f aca="false">IF(A1407="","",IFERROR(INDEX(Recipes!$B:$B,MATCH(A1407,Recipes!$A:$A,0)),"⚠ unknown recipe_id"))</f>
        <v/>
      </c>
      <c r="E1407" s="12" t="str">
        <f aca="false">IF(C1407="","",IFERROR(INDEX('Ingredient Catalog'!$C:$C,MATCH(C1407,'Ingredient Catalog'!$A:$A,0)),"⚠ not in catalog"))</f>
        <v/>
      </c>
      <c r="G1407" s="12" t="str">
        <f aca="false">IF(A1407="","",COUNTIFS('Weekly Log'!$A:$A,'Grocery List'!$B$3,'Weekly Log'!$C:$C,A1407,'Weekly Log'!$E:$E,"Yes"))</f>
        <v/>
      </c>
      <c r="H1407" s="12" t="str">
        <f aca="false">IF(OR(A1407="",D1407=""),"",D1407*G1407)</f>
        <v/>
      </c>
    </row>
    <row r="1408" customFormat="false" ht="15" hidden="false" customHeight="false" outlineLevel="0" collapsed="false">
      <c r="B1408" s="12" t="str">
        <f aca="false">IF(A1408="","",IFERROR(INDEX(Recipes!$B:$B,MATCH(A1408,Recipes!$A:$A,0)),"⚠ unknown recipe_id"))</f>
        <v/>
      </c>
      <c r="E1408" s="12" t="str">
        <f aca="false">IF(C1408="","",IFERROR(INDEX('Ingredient Catalog'!$C:$C,MATCH(C1408,'Ingredient Catalog'!$A:$A,0)),"⚠ not in catalog"))</f>
        <v/>
      </c>
      <c r="G1408" s="12" t="str">
        <f aca="false">IF(A1408="","",COUNTIFS('Weekly Log'!$A:$A,'Grocery List'!$B$3,'Weekly Log'!$C:$C,A1408,'Weekly Log'!$E:$E,"Yes"))</f>
        <v/>
      </c>
      <c r="H1408" s="12" t="str">
        <f aca="false">IF(OR(A1408="",D1408=""),"",D1408*G1408)</f>
        <v/>
      </c>
    </row>
    <row r="1409" customFormat="false" ht="15" hidden="false" customHeight="false" outlineLevel="0" collapsed="false">
      <c r="B1409" s="12" t="str">
        <f aca="false">IF(A1409="","",IFERROR(INDEX(Recipes!$B:$B,MATCH(A1409,Recipes!$A:$A,0)),"⚠ unknown recipe_id"))</f>
        <v/>
      </c>
      <c r="E1409" s="12" t="str">
        <f aca="false">IF(C1409="","",IFERROR(INDEX('Ingredient Catalog'!$C:$C,MATCH(C1409,'Ingredient Catalog'!$A:$A,0)),"⚠ not in catalog"))</f>
        <v/>
      </c>
      <c r="G1409" s="12" t="str">
        <f aca="false">IF(A1409="","",COUNTIFS('Weekly Log'!$A:$A,'Grocery List'!$B$3,'Weekly Log'!$C:$C,A1409,'Weekly Log'!$E:$E,"Yes"))</f>
        <v/>
      </c>
      <c r="H1409" s="12" t="str">
        <f aca="false">IF(OR(A1409="",D1409=""),"",D1409*G1409)</f>
        <v/>
      </c>
    </row>
    <row r="1410" customFormat="false" ht="15" hidden="false" customHeight="false" outlineLevel="0" collapsed="false">
      <c r="B1410" s="12" t="str">
        <f aca="false">IF(A1410="","",IFERROR(INDEX(Recipes!$B:$B,MATCH(A1410,Recipes!$A:$A,0)),"⚠ unknown recipe_id"))</f>
        <v/>
      </c>
      <c r="E1410" s="12" t="str">
        <f aca="false">IF(C1410="","",IFERROR(INDEX('Ingredient Catalog'!$C:$C,MATCH(C1410,'Ingredient Catalog'!$A:$A,0)),"⚠ not in catalog"))</f>
        <v/>
      </c>
      <c r="G1410" s="12" t="str">
        <f aca="false">IF(A1410="","",COUNTIFS('Weekly Log'!$A:$A,'Grocery List'!$B$3,'Weekly Log'!$C:$C,A1410,'Weekly Log'!$E:$E,"Yes"))</f>
        <v/>
      </c>
      <c r="H1410" s="12" t="str">
        <f aca="false">IF(OR(A1410="",D1410=""),"",D1410*G1410)</f>
        <v/>
      </c>
    </row>
    <row r="1411" customFormat="false" ht="15" hidden="false" customHeight="false" outlineLevel="0" collapsed="false">
      <c r="B1411" s="12" t="str">
        <f aca="false">IF(A1411="","",IFERROR(INDEX(Recipes!$B:$B,MATCH(A1411,Recipes!$A:$A,0)),"⚠ unknown recipe_id"))</f>
        <v/>
      </c>
      <c r="E1411" s="12" t="str">
        <f aca="false">IF(C1411="","",IFERROR(INDEX('Ingredient Catalog'!$C:$C,MATCH(C1411,'Ingredient Catalog'!$A:$A,0)),"⚠ not in catalog"))</f>
        <v/>
      </c>
      <c r="G1411" s="12" t="str">
        <f aca="false">IF(A1411="","",COUNTIFS('Weekly Log'!$A:$A,'Grocery List'!$B$3,'Weekly Log'!$C:$C,A1411,'Weekly Log'!$E:$E,"Yes"))</f>
        <v/>
      </c>
      <c r="H1411" s="12" t="str">
        <f aca="false">IF(OR(A1411="",D1411=""),"",D1411*G1411)</f>
        <v/>
      </c>
    </row>
    <row r="1412" customFormat="false" ht="15" hidden="false" customHeight="false" outlineLevel="0" collapsed="false">
      <c r="B1412" s="12" t="str">
        <f aca="false">IF(A1412="","",IFERROR(INDEX(Recipes!$B:$B,MATCH(A1412,Recipes!$A:$A,0)),"⚠ unknown recipe_id"))</f>
        <v/>
      </c>
      <c r="E1412" s="12" t="str">
        <f aca="false">IF(C1412="","",IFERROR(INDEX('Ingredient Catalog'!$C:$C,MATCH(C1412,'Ingredient Catalog'!$A:$A,0)),"⚠ not in catalog"))</f>
        <v/>
      </c>
      <c r="G1412" s="12" t="str">
        <f aca="false">IF(A1412="","",COUNTIFS('Weekly Log'!$A:$A,'Grocery List'!$B$3,'Weekly Log'!$C:$C,A1412,'Weekly Log'!$E:$E,"Yes"))</f>
        <v/>
      </c>
      <c r="H1412" s="12" t="str">
        <f aca="false">IF(OR(A1412="",D1412=""),"",D1412*G1412)</f>
        <v/>
      </c>
    </row>
    <row r="1413" customFormat="false" ht="15" hidden="false" customHeight="false" outlineLevel="0" collapsed="false">
      <c r="B1413" s="12" t="str">
        <f aca="false">IF(A1413="","",IFERROR(INDEX(Recipes!$B:$B,MATCH(A1413,Recipes!$A:$A,0)),"⚠ unknown recipe_id"))</f>
        <v/>
      </c>
      <c r="E1413" s="12" t="str">
        <f aca="false">IF(C1413="","",IFERROR(INDEX('Ingredient Catalog'!$C:$C,MATCH(C1413,'Ingredient Catalog'!$A:$A,0)),"⚠ not in catalog"))</f>
        <v/>
      </c>
      <c r="G1413" s="12" t="str">
        <f aca="false">IF(A1413="","",COUNTIFS('Weekly Log'!$A:$A,'Grocery List'!$B$3,'Weekly Log'!$C:$C,A1413,'Weekly Log'!$E:$E,"Yes"))</f>
        <v/>
      </c>
      <c r="H1413" s="12" t="str">
        <f aca="false">IF(OR(A1413="",D1413=""),"",D1413*G1413)</f>
        <v/>
      </c>
    </row>
    <row r="1414" customFormat="false" ht="15" hidden="false" customHeight="false" outlineLevel="0" collapsed="false">
      <c r="B1414" s="12" t="str">
        <f aca="false">IF(A1414="","",IFERROR(INDEX(Recipes!$B:$B,MATCH(A1414,Recipes!$A:$A,0)),"⚠ unknown recipe_id"))</f>
        <v/>
      </c>
      <c r="E1414" s="12" t="str">
        <f aca="false">IF(C1414="","",IFERROR(INDEX('Ingredient Catalog'!$C:$C,MATCH(C1414,'Ingredient Catalog'!$A:$A,0)),"⚠ not in catalog"))</f>
        <v/>
      </c>
      <c r="G1414" s="12" t="str">
        <f aca="false">IF(A1414="","",COUNTIFS('Weekly Log'!$A:$A,'Grocery List'!$B$3,'Weekly Log'!$C:$C,A1414,'Weekly Log'!$E:$E,"Yes"))</f>
        <v/>
      </c>
      <c r="H1414" s="12" t="str">
        <f aca="false">IF(OR(A1414="",D1414=""),"",D1414*G1414)</f>
        <v/>
      </c>
    </row>
    <row r="1415" customFormat="false" ht="15" hidden="false" customHeight="false" outlineLevel="0" collapsed="false">
      <c r="B1415" s="12" t="str">
        <f aca="false">IF(A1415="","",IFERROR(INDEX(Recipes!$B:$B,MATCH(A1415,Recipes!$A:$A,0)),"⚠ unknown recipe_id"))</f>
        <v/>
      </c>
      <c r="E1415" s="12" t="str">
        <f aca="false">IF(C1415="","",IFERROR(INDEX('Ingredient Catalog'!$C:$C,MATCH(C1415,'Ingredient Catalog'!$A:$A,0)),"⚠ not in catalog"))</f>
        <v/>
      </c>
      <c r="G1415" s="12" t="str">
        <f aca="false">IF(A1415="","",COUNTIFS('Weekly Log'!$A:$A,'Grocery List'!$B$3,'Weekly Log'!$C:$C,A1415,'Weekly Log'!$E:$E,"Yes"))</f>
        <v/>
      </c>
      <c r="H1415" s="12" t="str">
        <f aca="false">IF(OR(A1415="",D1415=""),"",D1415*G1415)</f>
        <v/>
      </c>
    </row>
    <row r="1416" customFormat="false" ht="15" hidden="false" customHeight="false" outlineLevel="0" collapsed="false">
      <c r="B1416" s="12" t="str">
        <f aca="false">IF(A1416="","",IFERROR(INDEX(Recipes!$B:$B,MATCH(A1416,Recipes!$A:$A,0)),"⚠ unknown recipe_id"))</f>
        <v/>
      </c>
      <c r="E1416" s="12" t="str">
        <f aca="false">IF(C1416="","",IFERROR(INDEX('Ingredient Catalog'!$C:$C,MATCH(C1416,'Ingredient Catalog'!$A:$A,0)),"⚠ not in catalog"))</f>
        <v/>
      </c>
      <c r="G1416" s="12" t="str">
        <f aca="false">IF(A1416="","",COUNTIFS('Weekly Log'!$A:$A,'Grocery List'!$B$3,'Weekly Log'!$C:$C,A1416,'Weekly Log'!$E:$E,"Yes"))</f>
        <v/>
      </c>
      <c r="H1416" s="12" t="str">
        <f aca="false">IF(OR(A1416="",D1416=""),"",D1416*G1416)</f>
        <v/>
      </c>
    </row>
    <row r="1417" customFormat="false" ht="15" hidden="false" customHeight="false" outlineLevel="0" collapsed="false">
      <c r="B1417" s="12" t="str">
        <f aca="false">IF(A1417="","",IFERROR(INDEX(Recipes!$B:$B,MATCH(A1417,Recipes!$A:$A,0)),"⚠ unknown recipe_id"))</f>
        <v/>
      </c>
      <c r="E1417" s="12" t="str">
        <f aca="false">IF(C1417="","",IFERROR(INDEX('Ingredient Catalog'!$C:$C,MATCH(C1417,'Ingredient Catalog'!$A:$A,0)),"⚠ not in catalog"))</f>
        <v/>
      </c>
      <c r="G1417" s="12" t="str">
        <f aca="false">IF(A1417="","",COUNTIFS('Weekly Log'!$A:$A,'Grocery List'!$B$3,'Weekly Log'!$C:$C,A1417,'Weekly Log'!$E:$E,"Yes"))</f>
        <v/>
      </c>
      <c r="H1417" s="12" t="str">
        <f aca="false">IF(OR(A1417="",D1417=""),"",D1417*G1417)</f>
        <v/>
      </c>
    </row>
    <row r="1418" customFormat="false" ht="15" hidden="false" customHeight="false" outlineLevel="0" collapsed="false">
      <c r="B1418" s="12" t="str">
        <f aca="false">IF(A1418="","",IFERROR(INDEX(Recipes!$B:$B,MATCH(A1418,Recipes!$A:$A,0)),"⚠ unknown recipe_id"))</f>
        <v/>
      </c>
      <c r="E1418" s="12" t="str">
        <f aca="false">IF(C1418="","",IFERROR(INDEX('Ingredient Catalog'!$C:$C,MATCH(C1418,'Ingredient Catalog'!$A:$A,0)),"⚠ not in catalog"))</f>
        <v/>
      </c>
      <c r="G1418" s="12" t="str">
        <f aca="false">IF(A1418="","",COUNTIFS('Weekly Log'!$A:$A,'Grocery List'!$B$3,'Weekly Log'!$C:$C,A1418,'Weekly Log'!$E:$E,"Yes"))</f>
        <v/>
      </c>
      <c r="H1418" s="12" t="str">
        <f aca="false">IF(OR(A1418="",D1418=""),"",D1418*G1418)</f>
        <v/>
      </c>
    </row>
    <row r="1419" customFormat="false" ht="15" hidden="false" customHeight="false" outlineLevel="0" collapsed="false">
      <c r="B1419" s="12" t="str">
        <f aca="false">IF(A1419="","",IFERROR(INDEX(Recipes!$B:$B,MATCH(A1419,Recipes!$A:$A,0)),"⚠ unknown recipe_id"))</f>
        <v/>
      </c>
      <c r="E1419" s="12" t="str">
        <f aca="false">IF(C1419="","",IFERROR(INDEX('Ingredient Catalog'!$C:$C,MATCH(C1419,'Ingredient Catalog'!$A:$A,0)),"⚠ not in catalog"))</f>
        <v/>
      </c>
      <c r="G1419" s="12" t="str">
        <f aca="false">IF(A1419="","",COUNTIFS('Weekly Log'!$A:$A,'Grocery List'!$B$3,'Weekly Log'!$C:$C,A1419,'Weekly Log'!$E:$E,"Yes"))</f>
        <v/>
      </c>
      <c r="H1419" s="12" t="str">
        <f aca="false">IF(OR(A1419="",D1419=""),"",D1419*G1419)</f>
        <v/>
      </c>
    </row>
    <row r="1420" customFormat="false" ht="15" hidden="false" customHeight="false" outlineLevel="0" collapsed="false">
      <c r="B1420" s="12" t="str">
        <f aca="false">IF(A1420="","",IFERROR(INDEX(Recipes!$B:$B,MATCH(A1420,Recipes!$A:$A,0)),"⚠ unknown recipe_id"))</f>
        <v/>
      </c>
      <c r="E1420" s="12" t="str">
        <f aca="false">IF(C1420="","",IFERROR(INDEX('Ingredient Catalog'!$C:$C,MATCH(C1420,'Ingredient Catalog'!$A:$A,0)),"⚠ not in catalog"))</f>
        <v/>
      </c>
      <c r="G1420" s="12" t="str">
        <f aca="false">IF(A1420="","",COUNTIFS('Weekly Log'!$A:$A,'Grocery List'!$B$3,'Weekly Log'!$C:$C,A1420,'Weekly Log'!$E:$E,"Yes"))</f>
        <v/>
      </c>
      <c r="H1420" s="12" t="str">
        <f aca="false">IF(OR(A1420="",D1420=""),"",D1420*G1420)</f>
        <v/>
      </c>
    </row>
    <row r="1421" customFormat="false" ht="15" hidden="false" customHeight="false" outlineLevel="0" collapsed="false">
      <c r="B1421" s="12" t="str">
        <f aca="false">IF(A1421="","",IFERROR(INDEX(Recipes!$B:$B,MATCH(A1421,Recipes!$A:$A,0)),"⚠ unknown recipe_id"))</f>
        <v/>
      </c>
      <c r="E1421" s="12" t="str">
        <f aca="false">IF(C1421="","",IFERROR(INDEX('Ingredient Catalog'!$C:$C,MATCH(C1421,'Ingredient Catalog'!$A:$A,0)),"⚠ not in catalog"))</f>
        <v/>
      </c>
      <c r="G1421" s="12" t="str">
        <f aca="false">IF(A1421="","",COUNTIFS('Weekly Log'!$A:$A,'Grocery List'!$B$3,'Weekly Log'!$C:$C,A1421,'Weekly Log'!$E:$E,"Yes"))</f>
        <v/>
      </c>
      <c r="H1421" s="12" t="str">
        <f aca="false">IF(OR(A1421="",D1421=""),"",D1421*G1421)</f>
        <v/>
      </c>
    </row>
    <row r="1422" customFormat="false" ht="15" hidden="false" customHeight="false" outlineLevel="0" collapsed="false">
      <c r="B1422" s="12" t="str">
        <f aca="false">IF(A1422="","",IFERROR(INDEX(Recipes!$B:$B,MATCH(A1422,Recipes!$A:$A,0)),"⚠ unknown recipe_id"))</f>
        <v/>
      </c>
      <c r="E1422" s="12" t="str">
        <f aca="false">IF(C1422="","",IFERROR(INDEX('Ingredient Catalog'!$C:$C,MATCH(C1422,'Ingredient Catalog'!$A:$A,0)),"⚠ not in catalog"))</f>
        <v/>
      </c>
      <c r="G1422" s="12" t="str">
        <f aca="false">IF(A1422="","",COUNTIFS('Weekly Log'!$A:$A,'Grocery List'!$B$3,'Weekly Log'!$C:$C,A1422,'Weekly Log'!$E:$E,"Yes"))</f>
        <v/>
      </c>
      <c r="H1422" s="12" t="str">
        <f aca="false">IF(OR(A1422="",D1422=""),"",D1422*G1422)</f>
        <v/>
      </c>
    </row>
    <row r="1423" customFormat="false" ht="15" hidden="false" customHeight="false" outlineLevel="0" collapsed="false">
      <c r="B1423" s="12" t="str">
        <f aca="false">IF(A1423="","",IFERROR(INDEX(Recipes!$B:$B,MATCH(A1423,Recipes!$A:$A,0)),"⚠ unknown recipe_id"))</f>
        <v/>
      </c>
      <c r="E1423" s="12" t="str">
        <f aca="false">IF(C1423="","",IFERROR(INDEX('Ingredient Catalog'!$C:$C,MATCH(C1423,'Ingredient Catalog'!$A:$A,0)),"⚠ not in catalog"))</f>
        <v/>
      </c>
      <c r="G1423" s="12" t="str">
        <f aca="false">IF(A1423="","",COUNTIFS('Weekly Log'!$A:$A,'Grocery List'!$B$3,'Weekly Log'!$C:$C,A1423,'Weekly Log'!$E:$E,"Yes"))</f>
        <v/>
      </c>
      <c r="H1423" s="12" t="str">
        <f aca="false">IF(OR(A1423="",D1423=""),"",D1423*G1423)</f>
        <v/>
      </c>
    </row>
    <row r="1424" customFormat="false" ht="15" hidden="false" customHeight="false" outlineLevel="0" collapsed="false">
      <c r="B1424" s="12" t="str">
        <f aca="false">IF(A1424="","",IFERROR(INDEX(Recipes!$B:$B,MATCH(A1424,Recipes!$A:$A,0)),"⚠ unknown recipe_id"))</f>
        <v/>
      </c>
      <c r="E1424" s="12" t="str">
        <f aca="false">IF(C1424="","",IFERROR(INDEX('Ingredient Catalog'!$C:$C,MATCH(C1424,'Ingredient Catalog'!$A:$A,0)),"⚠ not in catalog"))</f>
        <v/>
      </c>
      <c r="G1424" s="12" t="str">
        <f aca="false">IF(A1424="","",COUNTIFS('Weekly Log'!$A:$A,'Grocery List'!$B$3,'Weekly Log'!$C:$C,A1424,'Weekly Log'!$E:$E,"Yes"))</f>
        <v/>
      </c>
      <c r="H1424" s="12" t="str">
        <f aca="false">IF(OR(A1424="",D1424=""),"",D1424*G1424)</f>
        <v/>
      </c>
    </row>
    <row r="1425" customFormat="false" ht="15" hidden="false" customHeight="false" outlineLevel="0" collapsed="false">
      <c r="B1425" s="12" t="str">
        <f aca="false">IF(A1425="","",IFERROR(INDEX(Recipes!$B:$B,MATCH(A1425,Recipes!$A:$A,0)),"⚠ unknown recipe_id"))</f>
        <v/>
      </c>
      <c r="E1425" s="12" t="str">
        <f aca="false">IF(C1425="","",IFERROR(INDEX('Ingredient Catalog'!$C:$C,MATCH(C1425,'Ingredient Catalog'!$A:$A,0)),"⚠ not in catalog"))</f>
        <v/>
      </c>
      <c r="G1425" s="12" t="str">
        <f aca="false">IF(A1425="","",COUNTIFS('Weekly Log'!$A:$A,'Grocery List'!$B$3,'Weekly Log'!$C:$C,A1425,'Weekly Log'!$E:$E,"Yes"))</f>
        <v/>
      </c>
      <c r="H1425" s="12" t="str">
        <f aca="false">IF(OR(A1425="",D1425=""),"",D1425*G1425)</f>
        <v/>
      </c>
    </row>
    <row r="1426" customFormat="false" ht="15" hidden="false" customHeight="false" outlineLevel="0" collapsed="false">
      <c r="B1426" s="12" t="str">
        <f aca="false">IF(A1426="","",IFERROR(INDEX(Recipes!$B:$B,MATCH(A1426,Recipes!$A:$A,0)),"⚠ unknown recipe_id"))</f>
        <v/>
      </c>
      <c r="E1426" s="12" t="str">
        <f aca="false">IF(C1426="","",IFERROR(INDEX('Ingredient Catalog'!$C:$C,MATCH(C1426,'Ingredient Catalog'!$A:$A,0)),"⚠ not in catalog"))</f>
        <v/>
      </c>
      <c r="G1426" s="12" t="str">
        <f aca="false">IF(A1426="","",COUNTIFS('Weekly Log'!$A:$A,'Grocery List'!$B$3,'Weekly Log'!$C:$C,A1426,'Weekly Log'!$E:$E,"Yes"))</f>
        <v/>
      </c>
      <c r="H1426" s="12" t="str">
        <f aca="false">IF(OR(A1426="",D1426=""),"",D1426*G1426)</f>
        <v/>
      </c>
    </row>
    <row r="1427" customFormat="false" ht="15" hidden="false" customHeight="false" outlineLevel="0" collapsed="false">
      <c r="B1427" s="12" t="str">
        <f aca="false">IF(A1427="","",IFERROR(INDEX(Recipes!$B:$B,MATCH(A1427,Recipes!$A:$A,0)),"⚠ unknown recipe_id"))</f>
        <v/>
      </c>
      <c r="E1427" s="12" t="str">
        <f aca="false">IF(C1427="","",IFERROR(INDEX('Ingredient Catalog'!$C:$C,MATCH(C1427,'Ingredient Catalog'!$A:$A,0)),"⚠ not in catalog"))</f>
        <v/>
      </c>
      <c r="G1427" s="12" t="str">
        <f aca="false">IF(A1427="","",COUNTIFS('Weekly Log'!$A:$A,'Grocery List'!$B$3,'Weekly Log'!$C:$C,A1427,'Weekly Log'!$E:$E,"Yes"))</f>
        <v/>
      </c>
      <c r="H1427" s="12" t="str">
        <f aca="false">IF(OR(A1427="",D1427=""),"",D1427*G1427)</f>
        <v/>
      </c>
    </row>
    <row r="1428" customFormat="false" ht="15" hidden="false" customHeight="false" outlineLevel="0" collapsed="false">
      <c r="B1428" s="12" t="str">
        <f aca="false">IF(A1428="","",IFERROR(INDEX(Recipes!$B:$B,MATCH(A1428,Recipes!$A:$A,0)),"⚠ unknown recipe_id"))</f>
        <v/>
      </c>
      <c r="E1428" s="12" t="str">
        <f aca="false">IF(C1428="","",IFERROR(INDEX('Ingredient Catalog'!$C:$C,MATCH(C1428,'Ingredient Catalog'!$A:$A,0)),"⚠ not in catalog"))</f>
        <v/>
      </c>
      <c r="G1428" s="12" t="str">
        <f aca="false">IF(A1428="","",COUNTIFS('Weekly Log'!$A:$A,'Grocery List'!$B$3,'Weekly Log'!$C:$C,A1428,'Weekly Log'!$E:$E,"Yes"))</f>
        <v/>
      </c>
      <c r="H1428" s="12" t="str">
        <f aca="false">IF(OR(A1428="",D1428=""),"",D1428*G1428)</f>
        <v/>
      </c>
    </row>
    <row r="1429" customFormat="false" ht="15" hidden="false" customHeight="false" outlineLevel="0" collapsed="false">
      <c r="B1429" s="12" t="str">
        <f aca="false">IF(A1429="","",IFERROR(INDEX(Recipes!$B:$B,MATCH(A1429,Recipes!$A:$A,0)),"⚠ unknown recipe_id"))</f>
        <v/>
      </c>
      <c r="E1429" s="12" t="str">
        <f aca="false">IF(C1429="","",IFERROR(INDEX('Ingredient Catalog'!$C:$C,MATCH(C1429,'Ingredient Catalog'!$A:$A,0)),"⚠ not in catalog"))</f>
        <v/>
      </c>
      <c r="G1429" s="12" t="str">
        <f aca="false">IF(A1429="","",COUNTIFS('Weekly Log'!$A:$A,'Grocery List'!$B$3,'Weekly Log'!$C:$C,A1429,'Weekly Log'!$E:$E,"Yes"))</f>
        <v/>
      </c>
      <c r="H1429" s="12" t="str">
        <f aca="false">IF(OR(A1429="",D1429=""),"",D1429*G1429)</f>
        <v/>
      </c>
    </row>
    <row r="1430" customFormat="false" ht="15" hidden="false" customHeight="false" outlineLevel="0" collapsed="false">
      <c r="B1430" s="12" t="str">
        <f aca="false">IF(A1430="","",IFERROR(INDEX(Recipes!$B:$B,MATCH(A1430,Recipes!$A:$A,0)),"⚠ unknown recipe_id"))</f>
        <v/>
      </c>
      <c r="E1430" s="12" t="str">
        <f aca="false">IF(C1430="","",IFERROR(INDEX('Ingredient Catalog'!$C:$C,MATCH(C1430,'Ingredient Catalog'!$A:$A,0)),"⚠ not in catalog"))</f>
        <v/>
      </c>
      <c r="G1430" s="12" t="str">
        <f aca="false">IF(A1430="","",COUNTIFS('Weekly Log'!$A:$A,'Grocery List'!$B$3,'Weekly Log'!$C:$C,A1430,'Weekly Log'!$E:$E,"Yes"))</f>
        <v/>
      </c>
      <c r="H1430" s="12" t="str">
        <f aca="false">IF(OR(A1430="",D1430=""),"",D1430*G1430)</f>
        <v/>
      </c>
    </row>
    <row r="1431" customFormat="false" ht="15" hidden="false" customHeight="false" outlineLevel="0" collapsed="false">
      <c r="B1431" s="12" t="str">
        <f aca="false">IF(A1431="","",IFERROR(INDEX(Recipes!$B:$B,MATCH(A1431,Recipes!$A:$A,0)),"⚠ unknown recipe_id"))</f>
        <v/>
      </c>
      <c r="E1431" s="12" t="str">
        <f aca="false">IF(C1431="","",IFERROR(INDEX('Ingredient Catalog'!$C:$C,MATCH(C1431,'Ingredient Catalog'!$A:$A,0)),"⚠ not in catalog"))</f>
        <v/>
      </c>
      <c r="G1431" s="12" t="str">
        <f aca="false">IF(A1431="","",COUNTIFS('Weekly Log'!$A:$A,'Grocery List'!$B$3,'Weekly Log'!$C:$C,A1431,'Weekly Log'!$E:$E,"Yes"))</f>
        <v/>
      </c>
      <c r="H1431" s="12" t="str">
        <f aca="false">IF(OR(A1431="",D1431=""),"",D1431*G1431)</f>
        <v/>
      </c>
    </row>
    <row r="1432" customFormat="false" ht="15" hidden="false" customHeight="false" outlineLevel="0" collapsed="false">
      <c r="B1432" s="12" t="str">
        <f aca="false">IF(A1432="","",IFERROR(INDEX(Recipes!$B:$B,MATCH(A1432,Recipes!$A:$A,0)),"⚠ unknown recipe_id"))</f>
        <v/>
      </c>
      <c r="E1432" s="12" t="str">
        <f aca="false">IF(C1432="","",IFERROR(INDEX('Ingredient Catalog'!$C:$C,MATCH(C1432,'Ingredient Catalog'!$A:$A,0)),"⚠ not in catalog"))</f>
        <v/>
      </c>
      <c r="G1432" s="12" t="str">
        <f aca="false">IF(A1432="","",COUNTIFS('Weekly Log'!$A:$A,'Grocery List'!$B$3,'Weekly Log'!$C:$C,A1432,'Weekly Log'!$E:$E,"Yes"))</f>
        <v/>
      </c>
      <c r="H1432" s="12" t="str">
        <f aca="false">IF(OR(A1432="",D1432=""),"",D1432*G1432)</f>
        <v/>
      </c>
    </row>
    <row r="1433" customFormat="false" ht="15" hidden="false" customHeight="false" outlineLevel="0" collapsed="false">
      <c r="B1433" s="12" t="str">
        <f aca="false">IF(A1433="","",IFERROR(INDEX(Recipes!$B:$B,MATCH(A1433,Recipes!$A:$A,0)),"⚠ unknown recipe_id"))</f>
        <v/>
      </c>
      <c r="E1433" s="12" t="str">
        <f aca="false">IF(C1433="","",IFERROR(INDEX('Ingredient Catalog'!$C:$C,MATCH(C1433,'Ingredient Catalog'!$A:$A,0)),"⚠ not in catalog"))</f>
        <v/>
      </c>
      <c r="G1433" s="12" t="str">
        <f aca="false">IF(A1433="","",COUNTIFS('Weekly Log'!$A:$A,'Grocery List'!$B$3,'Weekly Log'!$C:$C,A1433,'Weekly Log'!$E:$E,"Yes"))</f>
        <v/>
      </c>
      <c r="H1433" s="12" t="str">
        <f aca="false">IF(OR(A1433="",D1433=""),"",D1433*G1433)</f>
        <v/>
      </c>
    </row>
    <row r="1434" customFormat="false" ht="15" hidden="false" customHeight="false" outlineLevel="0" collapsed="false">
      <c r="B1434" s="12" t="str">
        <f aca="false">IF(A1434="","",IFERROR(INDEX(Recipes!$B:$B,MATCH(A1434,Recipes!$A:$A,0)),"⚠ unknown recipe_id"))</f>
        <v/>
      </c>
      <c r="E1434" s="12" t="str">
        <f aca="false">IF(C1434="","",IFERROR(INDEX('Ingredient Catalog'!$C:$C,MATCH(C1434,'Ingredient Catalog'!$A:$A,0)),"⚠ not in catalog"))</f>
        <v/>
      </c>
      <c r="G1434" s="12" t="str">
        <f aca="false">IF(A1434="","",COUNTIFS('Weekly Log'!$A:$A,'Grocery List'!$B$3,'Weekly Log'!$C:$C,A1434,'Weekly Log'!$E:$E,"Yes"))</f>
        <v/>
      </c>
      <c r="H1434" s="12" t="str">
        <f aca="false">IF(OR(A1434="",D1434=""),"",D1434*G1434)</f>
        <v/>
      </c>
    </row>
    <row r="1435" customFormat="false" ht="15" hidden="false" customHeight="false" outlineLevel="0" collapsed="false">
      <c r="B1435" s="12" t="str">
        <f aca="false">IF(A1435="","",IFERROR(INDEX(Recipes!$B:$B,MATCH(A1435,Recipes!$A:$A,0)),"⚠ unknown recipe_id"))</f>
        <v/>
      </c>
      <c r="E1435" s="12" t="str">
        <f aca="false">IF(C1435="","",IFERROR(INDEX('Ingredient Catalog'!$C:$C,MATCH(C1435,'Ingredient Catalog'!$A:$A,0)),"⚠ not in catalog"))</f>
        <v/>
      </c>
      <c r="G1435" s="12" t="str">
        <f aca="false">IF(A1435="","",COUNTIFS('Weekly Log'!$A:$A,'Grocery List'!$B$3,'Weekly Log'!$C:$C,A1435,'Weekly Log'!$E:$E,"Yes"))</f>
        <v/>
      </c>
      <c r="H1435" s="12" t="str">
        <f aca="false">IF(OR(A1435="",D1435=""),"",D1435*G1435)</f>
        <v/>
      </c>
    </row>
    <row r="1436" customFormat="false" ht="15" hidden="false" customHeight="false" outlineLevel="0" collapsed="false">
      <c r="B1436" s="12" t="str">
        <f aca="false">IF(A1436="","",IFERROR(INDEX(Recipes!$B:$B,MATCH(A1436,Recipes!$A:$A,0)),"⚠ unknown recipe_id"))</f>
        <v/>
      </c>
      <c r="E1436" s="12" t="str">
        <f aca="false">IF(C1436="","",IFERROR(INDEX('Ingredient Catalog'!$C:$C,MATCH(C1436,'Ingredient Catalog'!$A:$A,0)),"⚠ not in catalog"))</f>
        <v/>
      </c>
      <c r="G1436" s="12" t="str">
        <f aca="false">IF(A1436="","",COUNTIFS('Weekly Log'!$A:$A,'Grocery List'!$B$3,'Weekly Log'!$C:$C,A1436,'Weekly Log'!$E:$E,"Yes"))</f>
        <v/>
      </c>
      <c r="H1436" s="12" t="str">
        <f aca="false">IF(OR(A1436="",D1436=""),"",D1436*G1436)</f>
        <v/>
      </c>
    </row>
    <row r="1437" customFormat="false" ht="15" hidden="false" customHeight="false" outlineLevel="0" collapsed="false">
      <c r="B1437" s="12" t="str">
        <f aca="false">IF(A1437="","",IFERROR(INDEX(Recipes!$B:$B,MATCH(A1437,Recipes!$A:$A,0)),"⚠ unknown recipe_id"))</f>
        <v/>
      </c>
      <c r="E1437" s="12" t="str">
        <f aca="false">IF(C1437="","",IFERROR(INDEX('Ingredient Catalog'!$C:$C,MATCH(C1437,'Ingredient Catalog'!$A:$A,0)),"⚠ not in catalog"))</f>
        <v/>
      </c>
      <c r="G1437" s="12" t="str">
        <f aca="false">IF(A1437="","",COUNTIFS('Weekly Log'!$A:$A,'Grocery List'!$B$3,'Weekly Log'!$C:$C,A1437,'Weekly Log'!$E:$E,"Yes"))</f>
        <v/>
      </c>
      <c r="H1437" s="12" t="str">
        <f aca="false">IF(OR(A1437="",D1437=""),"",D1437*G1437)</f>
        <v/>
      </c>
    </row>
    <row r="1438" customFormat="false" ht="15" hidden="false" customHeight="false" outlineLevel="0" collapsed="false">
      <c r="B1438" s="12" t="str">
        <f aca="false">IF(A1438="","",IFERROR(INDEX(Recipes!$B:$B,MATCH(A1438,Recipes!$A:$A,0)),"⚠ unknown recipe_id"))</f>
        <v/>
      </c>
      <c r="E1438" s="12" t="str">
        <f aca="false">IF(C1438="","",IFERROR(INDEX('Ingredient Catalog'!$C:$C,MATCH(C1438,'Ingredient Catalog'!$A:$A,0)),"⚠ not in catalog"))</f>
        <v/>
      </c>
      <c r="G1438" s="12" t="str">
        <f aca="false">IF(A1438="","",COUNTIFS('Weekly Log'!$A:$A,'Grocery List'!$B$3,'Weekly Log'!$C:$C,A1438,'Weekly Log'!$E:$E,"Yes"))</f>
        <v/>
      </c>
      <c r="H1438" s="12" t="str">
        <f aca="false">IF(OR(A1438="",D1438=""),"",D1438*G1438)</f>
        <v/>
      </c>
    </row>
    <row r="1439" customFormat="false" ht="15" hidden="false" customHeight="false" outlineLevel="0" collapsed="false">
      <c r="B1439" s="12" t="str">
        <f aca="false">IF(A1439="","",IFERROR(INDEX(Recipes!$B:$B,MATCH(A1439,Recipes!$A:$A,0)),"⚠ unknown recipe_id"))</f>
        <v/>
      </c>
      <c r="E1439" s="12" t="str">
        <f aca="false">IF(C1439="","",IFERROR(INDEX('Ingredient Catalog'!$C:$C,MATCH(C1439,'Ingredient Catalog'!$A:$A,0)),"⚠ not in catalog"))</f>
        <v/>
      </c>
      <c r="G1439" s="12" t="str">
        <f aca="false">IF(A1439="","",COUNTIFS('Weekly Log'!$A:$A,'Grocery List'!$B$3,'Weekly Log'!$C:$C,A1439,'Weekly Log'!$E:$E,"Yes"))</f>
        <v/>
      </c>
      <c r="H1439" s="12" t="str">
        <f aca="false">IF(OR(A1439="",D1439=""),"",D1439*G1439)</f>
        <v/>
      </c>
    </row>
    <row r="1440" customFormat="false" ht="15" hidden="false" customHeight="false" outlineLevel="0" collapsed="false">
      <c r="B1440" s="12" t="str">
        <f aca="false">IF(A1440="","",IFERROR(INDEX(Recipes!$B:$B,MATCH(A1440,Recipes!$A:$A,0)),"⚠ unknown recipe_id"))</f>
        <v/>
      </c>
      <c r="E1440" s="12" t="str">
        <f aca="false">IF(C1440="","",IFERROR(INDEX('Ingredient Catalog'!$C:$C,MATCH(C1440,'Ingredient Catalog'!$A:$A,0)),"⚠ not in catalog"))</f>
        <v/>
      </c>
      <c r="G1440" s="12" t="str">
        <f aca="false">IF(A1440="","",COUNTIFS('Weekly Log'!$A:$A,'Grocery List'!$B$3,'Weekly Log'!$C:$C,A1440,'Weekly Log'!$E:$E,"Yes"))</f>
        <v/>
      </c>
      <c r="H1440" s="12" t="str">
        <f aca="false">IF(OR(A1440="",D1440=""),"",D1440*G1440)</f>
        <v/>
      </c>
    </row>
    <row r="1441" customFormat="false" ht="15" hidden="false" customHeight="false" outlineLevel="0" collapsed="false">
      <c r="B1441" s="12" t="str">
        <f aca="false">IF(A1441="","",IFERROR(INDEX(Recipes!$B:$B,MATCH(A1441,Recipes!$A:$A,0)),"⚠ unknown recipe_id"))</f>
        <v/>
      </c>
      <c r="E1441" s="12" t="str">
        <f aca="false">IF(C1441="","",IFERROR(INDEX('Ingredient Catalog'!$C:$C,MATCH(C1441,'Ingredient Catalog'!$A:$A,0)),"⚠ not in catalog"))</f>
        <v/>
      </c>
      <c r="G1441" s="12" t="str">
        <f aca="false">IF(A1441="","",COUNTIFS('Weekly Log'!$A:$A,'Grocery List'!$B$3,'Weekly Log'!$C:$C,A1441,'Weekly Log'!$E:$E,"Yes"))</f>
        <v/>
      </c>
      <c r="H1441" s="12" t="str">
        <f aca="false">IF(OR(A1441="",D1441=""),"",D1441*G1441)</f>
        <v/>
      </c>
    </row>
    <row r="1442" customFormat="false" ht="15" hidden="false" customHeight="false" outlineLevel="0" collapsed="false">
      <c r="B1442" s="12" t="str">
        <f aca="false">IF(A1442="","",IFERROR(INDEX(Recipes!$B:$B,MATCH(A1442,Recipes!$A:$A,0)),"⚠ unknown recipe_id"))</f>
        <v/>
      </c>
      <c r="E1442" s="12" t="str">
        <f aca="false">IF(C1442="","",IFERROR(INDEX('Ingredient Catalog'!$C:$C,MATCH(C1442,'Ingredient Catalog'!$A:$A,0)),"⚠ not in catalog"))</f>
        <v/>
      </c>
      <c r="G1442" s="12" t="str">
        <f aca="false">IF(A1442="","",COUNTIFS('Weekly Log'!$A:$A,'Grocery List'!$B$3,'Weekly Log'!$C:$C,A1442,'Weekly Log'!$E:$E,"Yes"))</f>
        <v/>
      </c>
      <c r="H1442" s="12" t="str">
        <f aca="false">IF(OR(A1442="",D1442=""),"",D1442*G1442)</f>
        <v/>
      </c>
    </row>
    <row r="1443" customFormat="false" ht="15" hidden="false" customHeight="false" outlineLevel="0" collapsed="false">
      <c r="B1443" s="12" t="str">
        <f aca="false">IF(A1443="","",IFERROR(INDEX(Recipes!$B:$B,MATCH(A1443,Recipes!$A:$A,0)),"⚠ unknown recipe_id"))</f>
        <v/>
      </c>
      <c r="E1443" s="12" t="str">
        <f aca="false">IF(C1443="","",IFERROR(INDEX('Ingredient Catalog'!$C:$C,MATCH(C1443,'Ingredient Catalog'!$A:$A,0)),"⚠ not in catalog"))</f>
        <v/>
      </c>
      <c r="G1443" s="12" t="str">
        <f aca="false">IF(A1443="","",COUNTIFS('Weekly Log'!$A:$A,'Grocery List'!$B$3,'Weekly Log'!$C:$C,A1443,'Weekly Log'!$E:$E,"Yes"))</f>
        <v/>
      </c>
      <c r="H1443" s="12" t="str">
        <f aca="false">IF(OR(A1443="",D1443=""),"",D1443*G1443)</f>
        <v/>
      </c>
    </row>
    <row r="1444" customFormat="false" ht="15" hidden="false" customHeight="false" outlineLevel="0" collapsed="false">
      <c r="B1444" s="12" t="str">
        <f aca="false">IF(A1444="","",IFERROR(INDEX(Recipes!$B:$B,MATCH(A1444,Recipes!$A:$A,0)),"⚠ unknown recipe_id"))</f>
        <v/>
      </c>
      <c r="E1444" s="12" t="str">
        <f aca="false">IF(C1444="","",IFERROR(INDEX('Ingredient Catalog'!$C:$C,MATCH(C1444,'Ingredient Catalog'!$A:$A,0)),"⚠ not in catalog"))</f>
        <v/>
      </c>
      <c r="G1444" s="12" t="str">
        <f aca="false">IF(A1444="","",COUNTIFS('Weekly Log'!$A:$A,'Grocery List'!$B$3,'Weekly Log'!$C:$C,A1444,'Weekly Log'!$E:$E,"Yes"))</f>
        <v/>
      </c>
      <c r="H1444" s="12" t="str">
        <f aca="false">IF(OR(A1444="",D1444=""),"",D1444*G1444)</f>
        <v/>
      </c>
    </row>
    <row r="1445" customFormat="false" ht="15" hidden="false" customHeight="false" outlineLevel="0" collapsed="false">
      <c r="B1445" s="12" t="str">
        <f aca="false">IF(A1445="","",IFERROR(INDEX(Recipes!$B:$B,MATCH(A1445,Recipes!$A:$A,0)),"⚠ unknown recipe_id"))</f>
        <v/>
      </c>
      <c r="E1445" s="12" t="str">
        <f aca="false">IF(C1445="","",IFERROR(INDEX('Ingredient Catalog'!$C:$C,MATCH(C1445,'Ingredient Catalog'!$A:$A,0)),"⚠ not in catalog"))</f>
        <v/>
      </c>
      <c r="G1445" s="12" t="str">
        <f aca="false">IF(A1445="","",COUNTIFS('Weekly Log'!$A:$A,'Grocery List'!$B$3,'Weekly Log'!$C:$C,A1445,'Weekly Log'!$E:$E,"Yes"))</f>
        <v/>
      </c>
      <c r="H1445" s="12" t="str">
        <f aca="false">IF(OR(A1445="",D1445=""),"",D1445*G1445)</f>
        <v/>
      </c>
    </row>
    <row r="1446" customFormat="false" ht="15" hidden="false" customHeight="false" outlineLevel="0" collapsed="false">
      <c r="B1446" s="12" t="str">
        <f aca="false">IF(A1446="","",IFERROR(INDEX(Recipes!$B:$B,MATCH(A1446,Recipes!$A:$A,0)),"⚠ unknown recipe_id"))</f>
        <v/>
      </c>
      <c r="E1446" s="12" t="str">
        <f aca="false">IF(C1446="","",IFERROR(INDEX('Ingredient Catalog'!$C:$C,MATCH(C1446,'Ingredient Catalog'!$A:$A,0)),"⚠ not in catalog"))</f>
        <v/>
      </c>
      <c r="G1446" s="12" t="str">
        <f aca="false">IF(A1446="","",COUNTIFS('Weekly Log'!$A:$A,'Grocery List'!$B$3,'Weekly Log'!$C:$C,A1446,'Weekly Log'!$E:$E,"Yes"))</f>
        <v/>
      </c>
      <c r="H1446" s="12" t="str">
        <f aca="false">IF(OR(A1446="",D1446=""),"",D1446*G1446)</f>
        <v/>
      </c>
    </row>
    <row r="1447" customFormat="false" ht="15" hidden="false" customHeight="false" outlineLevel="0" collapsed="false">
      <c r="B1447" s="12" t="str">
        <f aca="false">IF(A1447="","",IFERROR(INDEX(Recipes!$B:$B,MATCH(A1447,Recipes!$A:$A,0)),"⚠ unknown recipe_id"))</f>
        <v/>
      </c>
      <c r="E1447" s="12" t="str">
        <f aca="false">IF(C1447="","",IFERROR(INDEX('Ingredient Catalog'!$C:$C,MATCH(C1447,'Ingredient Catalog'!$A:$A,0)),"⚠ not in catalog"))</f>
        <v/>
      </c>
      <c r="G1447" s="12" t="str">
        <f aca="false">IF(A1447="","",COUNTIFS('Weekly Log'!$A:$A,'Grocery List'!$B$3,'Weekly Log'!$C:$C,A1447,'Weekly Log'!$E:$E,"Yes"))</f>
        <v/>
      </c>
      <c r="H1447" s="12" t="str">
        <f aca="false">IF(OR(A1447="",D1447=""),"",D1447*G1447)</f>
        <v/>
      </c>
    </row>
    <row r="1448" customFormat="false" ht="15" hidden="false" customHeight="false" outlineLevel="0" collapsed="false">
      <c r="B1448" s="12" t="str">
        <f aca="false">IF(A1448="","",IFERROR(INDEX(Recipes!$B:$B,MATCH(A1448,Recipes!$A:$A,0)),"⚠ unknown recipe_id"))</f>
        <v/>
      </c>
      <c r="E1448" s="12" t="str">
        <f aca="false">IF(C1448="","",IFERROR(INDEX('Ingredient Catalog'!$C:$C,MATCH(C1448,'Ingredient Catalog'!$A:$A,0)),"⚠ not in catalog"))</f>
        <v/>
      </c>
      <c r="G1448" s="12" t="str">
        <f aca="false">IF(A1448="","",COUNTIFS('Weekly Log'!$A:$A,'Grocery List'!$B$3,'Weekly Log'!$C:$C,A1448,'Weekly Log'!$E:$E,"Yes"))</f>
        <v/>
      </c>
      <c r="H1448" s="12" t="str">
        <f aca="false">IF(OR(A1448="",D1448=""),"",D1448*G1448)</f>
        <v/>
      </c>
    </row>
    <row r="1449" customFormat="false" ht="15" hidden="false" customHeight="false" outlineLevel="0" collapsed="false">
      <c r="B1449" s="12" t="str">
        <f aca="false">IF(A1449="","",IFERROR(INDEX(Recipes!$B:$B,MATCH(A1449,Recipes!$A:$A,0)),"⚠ unknown recipe_id"))</f>
        <v/>
      </c>
      <c r="E1449" s="12" t="str">
        <f aca="false">IF(C1449="","",IFERROR(INDEX('Ingredient Catalog'!$C:$C,MATCH(C1449,'Ingredient Catalog'!$A:$A,0)),"⚠ not in catalog"))</f>
        <v/>
      </c>
      <c r="G1449" s="12" t="str">
        <f aca="false">IF(A1449="","",COUNTIFS('Weekly Log'!$A:$A,'Grocery List'!$B$3,'Weekly Log'!$C:$C,A1449,'Weekly Log'!$E:$E,"Yes"))</f>
        <v/>
      </c>
      <c r="H1449" s="12" t="str">
        <f aca="false">IF(OR(A1449="",D1449=""),"",D1449*G1449)</f>
        <v/>
      </c>
    </row>
    <row r="1450" customFormat="false" ht="15" hidden="false" customHeight="false" outlineLevel="0" collapsed="false">
      <c r="B1450" s="12" t="str">
        <f aca="false">IF(A1450="","",IFERROR(INDEX(Recipes!$B:$B,MATCH(A1450,Recipes!$A:$A,0)),"⚠ unknown recipe_id"))</f>
        <v/>
      </c>
      <c r="E1450" s="12" t="str">
        <f aca="false">IF(C1450="","",IFERROR(INDEX('Ingredient Catalog'!$C:$C,MATCH(C1450,'Ingredient Catalog'!$A:$A,0)),"⚠ not in catalog"))</f>
        <v/>
      </c>
      <c r="G1450" s="12" t="str">
        <f aca="false">IF(A1450="","",COUNTIFS('Weekly Log'!$A:$A,'Grocery List'!$B$3,'Weekly Log'!$C:$C,A1450,'Weekly Log'!$E:$E,"Yes"))</f>
        <v/>
      </c>
      <c r="H1450" s="12" t="str">
        <f aca="false">IF(OR(A1450="",D1450=""),"",D1450*G1450)</f>
        <v/>
      </c>
    </row>
    <row r="1451" customFormat="false" ht="15" hidden="false" customHeight="false" outlineLevel="0" collapsed="false">
      <c r="B1451" s="12" t="str">
        <f aca="false">IF(A1451="","",IFERROR(INDEX(Recipes!$B:$B,MATCH(A1451,Recipes!$A:$A,0)),"⚠ unknown recipe_id"))</f>
        <v/>
      </c>
      <c r="E1451" s="12" t="str">
        <f aca="false">IF(C1451="","",IFERROR(INDEX('Ingredient Catalog'!$C:$C,MATCH(C1451,'Ingredient Catalog'!$A:$A,0)),"⚠ not in catalog"))</f>
        <v/>
      </c>
      <c r="G1451" s="12" t="str">
        <f aca="false">IF(A1451="","",COUNTIFS('Weekly Log'!$A:$A,'Grocery List'!$B$3,'Weekly Log'!$C:$C,A1451,'Weekly Log'!$E:$E,"Yes"))</f>
        <v/>
      </c>
      <c r="H1451" s="12" t="str">
        <f aca="false">IF(OR(A1451="",D1451=""),"",D1451*G1451)</f>
        <v/>
      </c>
    </row>
    <row r="1452" customFormat="false" ht="15" hidden="false" customHeight="false" outlineLevel="0" collapsed="false">
      <c r="B1452" s="12" t="str">
        <f aca="false">IF(A1452="","",IFERROR(INDEX(Recipes!$B:$B,MATCH(A1452,Recipes!$A:$A,0)),"⚠ unknown recipe_id"))</f>
        <v/>
      </c>
      <c r="E1452" s="12" t="str">
        <f aca="false">IF(C1452="","",IFERROR(INDEX('Ingredient Catalog'!$C:$C,MATCH(C1452,'Ingredient Catalog'!$A:$A,0)),"⚠ not in catalog"))</f>
        <v/>
      </c>
      <c r="G1452" s="12" t="str">
        <f aca="false">IF(A1452="","",COUNTIFS('Weekly Log'!$A:$A,'Grocery List'!$B$3,'Weekly Log'!$C:$C,A1452,'Weekly Log'!$E:$E,"Yes"))</f>
        <v/>
      </c>
      <c r="H1452" s="12" t="str">
        <f aca="false">IF(OR(A1452="",D1452=""),"",D1452*G1452)</f>
        <v/>
      </c>
    </row>
    <row r="1453" customFormat="false" ht="15" hidden="false" customHeight="false" outlineLevel="0" collapsed="false">
      <c r="B1453" s="12" t="str">
        <f aca="false">IF(A1453="","",IFERROR(INDEX(Recipes!$B:$B,MATCH(A1453,Recipes!$A:$A,0)),"⚠ unknown recipe_id"))</f>
        <v/>
      </c>
      <c r="E1453" s="12" t="str">
        <f aca="false">IF(C1453="","",IFERROR(INDEX('Ingredient Catalog'!$C:$C,MATCH(C1453,'Ingredient Catalog'!$A:$A,0)),"⚠ not in catalog"))</f>
        <v/>
      </c>
      <c r="G1453" s="12" t="str">
        <f aca="false">IF(A1453="","",COUNTIFS('Weekly Log'!$A:$A,'Grocery List'!$B$3,'Weekly Log'!$C:$C,A1453,'Weekly Log'!$E:$E,"Yes"))</f>
        <v/>
      </c>
      <c r="H1453" s="12" t="str">
        <f aca="false">IF(OR(A1453="",D1453=""),"",D1453*G1453)</f>
        <v/>
      </c>
    </row>
    <row r="1454" customFormat="false" ht="15" hidden="false" customHeight="false" outlineLevel="0" collapsed="false">
      <c r="B1454" s="12" t="str">
        <f aca="false">IF(A1454="","",IFERROR(INDEX(Recipes!$B:$B,MATCH(A1454,Recipes!$A:$A,0)),"⚠ unknown recipe_id"))</f>
        <v/>
      </c>
      <c r="E1454" s="12" t="str">
        <f aca="false">IF(C1454="","",IFERROR(INDEX('Ingredient Catalog'!$C:$C,MATCH(C1454,'Ingredient Catalog'!$A:$A,0)),"⚠ not in catalog"))</f>
        <v/>
      </c>
      <c r="G1454" s="12" t="str">
        <f aca="false">IF(A1454="","",COUNTIFS('Weekly Log'!$A:$A,'Grocery List'!$B$3,'Weekly Log'!$C:$C,A1454,'Weekly Log'!$E:$E,"Yes"))</f>
        <v/>
      </c>
      <c r="H1454" s="12" t="str">
        <f aca="false">IF(OR(A1454="",D1454=""),"",D1454*G1454)</f>
        <v/>
      </c>
    </row>
    <row r="1455" customFormat="false" ht="15" hidden="false" customHeight="false" outlineLevel="0" collapsed="false">
      <c r="B1455" s="12" t="str">
        <f aca="false">IF(A1455="","",IFERROR(INDEX(Recipes!$B:$B,MATCH(A1455,Recipes!$A:$A,0)),"⚠ unknown recipe_id"))</f>
        <v/>
      </c>
      <c r="E1455" s="12" t="str">
        <f aca="false">IF(C1455="","",IFERROR(INDEX('Ingredient Catalog'!$C:$C,MATCH(C1455,'Ingredient Catalog'!$A:$A,0)),"⚠ not in catalog"))</f>
        <v/>
      </c>
      <c r="G1455" s="12" t="str">
        <f aca="false">IF(A1455="","",COUNTIFS('Weekly Log'!$A:$A,'Grocery List'!$B$3,'Weekly Log'!$C:$C,A1455,'Weekly Log'!$E:$E,"Yes"))</f>
        <v/>
      </c>
      <c r="H1455" s="12" t="str">
        <f aca="false">IF(OR(A1455="",D1455=""),"",D1455*G1455)</f>
        <v/>
      </c>
    </row>
    <row r="1456" customFormat="false" ht="15" hidden="false" customHeight="false" outlineLevel="0" collapsed="false">
      <c r="B1456" s="12" t="str">
        <f aca="false">IF(A1456="","",IFERROR(INDEX(Recipes!$B:$B,MATCH(A1456,Recipes!$A:$A,0)),"⚠ unknown recipe_id"))</f>
        <v/>
      </c>
      <c r="E1456" s="12" t="str">
        <f aca="false">IF(C1456="","",IFERROR(INDEX('Ingredient Catalog'!$C:$C,MATCH(C1456,'Ingredient Catalog'!$A:$A,0)),"⚠ not in catalog"))</f>
        <v/>
      </c>
      <c r="G1456" s="12" t="str">
        <f aca="false">IF(A1456="","",COUNTIFS('Weekly Log'!$A:$A,'Grocery List'!$B$3,'Weekly Log'!$C:$C,A1456,'Weekly Log'!$E:$E,"Yes"))</f>
        <v/>
      </c>
      <c r="H1456" s="12" t="str">
        <f aca="false">IF(OR(A1456="",D1456=""),"",D1456*G1456)</f>
        <v/>
      </c>
    </row>
    <row r="1457" customFormat="false" ht="15" hidden="false" customHeight="false" outlineLevel="0" collapsed="false">
      <c r="B1457" s="12" t="str">
        <f aca="false">IF(A1457="","",IFERROR(INDEX(Recipes!$B:$B,MATCH(A1457,Recipes!$A:$A,0)),"⚠ unknown recipe_id"))</f>
        <v/>
      </c>
      <c r="E1457" s="12" t="str">
        <f aca="false">IF(C1457="","",IFERROR(INDEX('Ingredient Catalog'!$C:$C,MATCH(C1457,'Ingredient Catalog'!$A:$A,0)),"⚠ not in catalog"))</f>
        <v/>
      </c>
      <c r="G1457" s="12" t="str">
        <f aca="false">IF(A1457="","",COUNTIFS('Weekly Log'!$A:$A,'Grocery List'!$B$3,'Weekly Log'!$C:$C,A1457,'Weekly Log'!$E:$E,"Yes"))</f>
        <v/>
      </c>
      <c r="H1457" s="12" t="str">
        <f aca="false">IF(OR(A1457="",D1457=""),"",D1457*G1457)</f>
        <v/>
      </c>
    </row>
    <row r="1458" customFormat="false" ht="15" hidden="false" customHeight="false" outlineLevel="0" collapsed="false">
      <c r="B1458" s="12" t="str">
        <f aca="false">IF(A1458="","",IFERROR(INDEX(Recipes!$B:$B,MATCH(A1458,Recipes!$A:$A,0)),"⚠ unknown recipe_id"))</f>
        <v/>
      </c>
      <c r="E1458" s="12" t="str">
        <f aca="false">IF(C1458="","",IFERROR(INDEX('Ingredient Catalog'!$C:$C,MATCH(C1458,'Ingredient Catalog'!$A:$A,0)),"⚠ not in catalog"))</f>
        <v/>
      </c>
      <c r="G1458" s="12" t="str">
        <f aca="false">IF(A1458="","",COUNTIFS('Weekly Log'!$A:$A,'Grocery List'!$B$3,'Weekly Log'!$C:$C,A1458,'Weekly Log'!$E:$E,"Yes"))</f>
        <v/>
      </c>
      <c r="H1458" s="12" t="str">
        <f aca="false">IF(OR(A1458="",D1458=""),"",D1458*G1458)</f>
        <v/>
      </c>
    </row>
    <row r="1459" customFormat="false" ht="15" hidden="false" customHeight="false" outlineLevel="0" collapsed="false">
      <c r="B1459" s="12" t="str">
        <f aca="false">IF(A1459="","",IFERROR(INDEX(Recipes!$B:$B,MATCH(A1459,Recipes!$A:$A,0)),"⚠ unknown recipe_id"))</f>
        <v/>
      </c>
      <c r="E1459" s="12" t="str">
        <f aca="false">IF(C1459="","",IFERROR(INDEX('Ingredient Catalog'!$C:$C,MATCH(C1459,'Ingredient Catalog'!$A:$A,0)),"⚠ not in catalog"))</f>
        <v/>
      </c>
      <c r="G1459" s="12" t="str">
        <f aca="false">IF(A1459="","",COUNTIFS('Weekly Log'!$A:$A,'Grocery List'!$B$3,'Weekly Log'!$C:$C,A1459,'Weekly Log'!$E:$E,"Yes"))</f>
        <v/>
      </c>
      <c r="H1459" s="12" t="str">
        <f aca="false">IF(OR(A1459="",D1459=""),"",D1459*G1459)</f>
        <v/>
      </c>
    </row>
    <row r="1460" customFormat="false" ht="15" hidden="false" customHeight="false" outlineLevel="0" collapsed="false">
      <c r="B1460" s="12" t="str">
        <f aca="false">IF(A1460="","",IFERROR(INDEX(Recipes!$B:$B,MATCH(A1460,Recipes!$A:$A,0)),"⚠ unknown recipe_id"))</f>
        <v/>
      </c>
      <c r="E1460" s="12" t="str">
        <f aca="false">IF(C1460="","",IFERROR(INDEX('Ingredient Catalog'!$C:$C,MATCH(C1460,'Ingredient Catalog'!$A:$A,0)),"⚠ not in catalog"))</f>
        <v/>
      </c>
      <c r="G1460" s="12" t="str">
        <f aca="false">IF(A1460="","",COUNTIFS('Weekly Log'!$A:$A,'Grocery List'!$B$3,'Weekly Log'!$C:$C,A1460,'Weekly Log'!$E:$E,"Yes"))</f>
        <v/>
      </c>
      <c r="H1460" s="12" t="str">
        <f aca="false">IF(OR(A1460="",D1460=""),"",D1460*G1460)</f>
        <v/>
      </c>
    </row>
    <row r="1461" customFormat="false" ht="15" hidden="false" customHeight="false" outlineLevel="0" collapsed="false">
      <c r="B1461" s="12" t="str">
        <f aca="false">IF(A1461="","",IFERROR(INDEX(Recipes!$B:$B,MATCH(A1461,Recipes!$A:$A,0)),"⚠ unknown recipe_id"))</f>
        <v/>
      </c>
      <c r="E1461" s="12" t="str">
        <f aca="false">IF(C1461="","",IFERROR(INDEX('Ingredient Catalog'!$C:$C,MATCH(C1461,'Ingredient Catalog'!$A:$A,0)),"⚠ not in catalog"))</f>
        <v/>
      </c>
      <c r="G1461" s="12" t="str">
        <f aca="false">IF(A1461="","",COUNTIFS('Weekly Log'!$A:$A,'Grocery List'!$B$3,'Weekly Log'!$C:$C,A1461,'Weekly Log'!$E:$E,"Yes"))</f>
        <v/>
      </c>
      <c r="H1461" s="12" t="str">
        <f aca="false">IF(OR(A1461="",D1461=""),"",D1461*G1461)</f>
        <v/>
      </c>
    </row>
    <row r="1462" customFormat="false" ht="15" hidden="false" customHeight="false" outlineLevel="0" collapsed="false">
      <c r="B1462" s="12" t="str">
        <f aca="false">IF(A1462="","",IFERROR(INDEX(Recipes!$B:$B,MATCH(A1462,Recipes!$A:$A,0)),"⚠ unknown recipe_id"))</f>
        <v/>
      </c>
      <c r="E1462" s="12" t="str">
        <f aca="false">IF(C1462="","",IFERROR(INDEX('Ingredient Catalog'!$C:$C,MATCH(C1462,'Ingredient Catalog'!$A:$A,0)),"⚠ not in catalog"))</f>
        <v/>
      </c>
      <c r="G1462" s="12" t="str">
        <f aca="false">IF(A1462="","",COUNTIFS('Weekly Log'!$A:$A,'Grocery List'!$B$3,'Weekly Log'!$C:$C,A1462,'Weekly Log'!$E:$E,"Yes"))</f>
        <v/>
      </c>
      <c r="H1462" s="12" t="str">
        <f aca="false">IF(OR(A1462="",D1462=""),"",D1462*G1462)</f>
        <v/>
      </c>
    </row>
    <row r="1463" customFormat="false" ht="15" hidden="false" customHeight="false" outlineLevel="0" collapsed="false">
      <c r="B1463" s="12" t="str">
        <f aca="false">IF(A1463="","",IFERROR(INDEX(Recipes!$B:$B,MATCH(A1463,Recipes!$A:$A,0)),"⚠ unknown recipe_id"))</f>
        <v/>
      </c>
      <c r="E1463" s="12" t="str">
        <f aca="false">IF(C1463="","",IFERROR(INDEX('Ingredient Catalog'!$C:$C,MATCH(C1463,'Ingredient Catalog'!$A:$A,0)),"⚠ not in catalog"))</f>
        <v/>
      </c>
      <c r="G1463" s="12" t="str">
        <f aca="false">IF(A1463="","",COUNTIFS('Weekly Log'!$A:$A,'Grocery List'!$B$3,'Weekly Log'!$C:$C,A1463,'Weekly Log'!$E:$E,"Yes"))</f>
        <v/>
      </c>
      <c r="H1463" s="12" t="str">
        <f aca="false">IF(OR(A1463="",D1463=""),"",D1463*G1463)</f>
        <v/>
      </c>
    </row>
    <row r="1464" customFormat="false" ht="15" hidden="false" customHeight="false" outlineLevel="0" collapsed="false">
      <c r="B1464" s="12" t="str">
        <f aca="false">IF(A1464="","",IFERROR(INDEX(Recipes!$B:$B,MATCH(A1464,Recipes!$A:$A,0)),"⚠ unknown recipe_id"))</f>
        <v/>
      </c>
      <c r="E1464" s="12" t="str">
        <f aca="false">IF(C1464="","",IFERROR(INDEX('Ingredient Catalog'!$C:$C,MATCH(C1464,'Ingredient Catalog'!$A:$A,0)),"⚠ not in catalog"))</f>
        <v/>
      </c>
      <c r="G1464" s="12" t="str">
        <f aca="false">IF(A1464="","",COUNTIFS('Weekly Log'!$A:$A,'Grocery List'!$B$3,'Weekly Log'!$C:$C,A1464,'Weekly Log'!$E:$E,"Yes"))</f>
        <v/>
      </c>
      <c r="H1464" s="12" t="str">
        <f aca="false">IF(OR(A1464="",D1464=""),"",D1464*G1464)</f>
        <v/>
      </c>
    </row>
    <row r="1465" customFormat="false" ht="15" hidden="false" customHeight="false" outlineLevel="0" collapsed="false">
      <c r="B1465" s="12" t="str">
        <f aca="false">IF(A1465="","",IFERROR(INDEX(Recipes!$B:$B,MATCH(A1465,Recipes!$A:$A,0)),"⚠ unknown recipe_id"))</f>
        <v/>
      </c>
      <c r="E1465" s="12" t="str">
        <f aca="false">IF(C1465="","",IFERROR(INDEX('Ingredient Catalog'!$C:$C,MATCH(C1465,'Ingredient Catalog'!$A:$A,0)),"⚠ not in catalog"))</f>
        <v/>
      </c>
      <c r="G1465" s="12" t="str">
        <f aca="false">IF(A1465="","",COUNTIFS('Weekly Log'!$A:$A,'Grocery List'!$B$3,'Weekly Log'!$C:$C,A1465,'Weekly Log'!$E:$E,"Yes"))</f>
        <v/>
      </c>
      <c r="H1465" s="12" t="str">
        <f aca="false">IF(OR(A1465="",D1465=""),"",D1465*G1465)</f>
        <v/>
      </c>
    </row>
    <row r="1466" customFormat="false" ht="15" hidden="false" customHeight="false" outlineLevel="0" collapsed="false">
      <c r="B1466" s="12" t="str">
        <f aca="false">IF(A1466="","",IFERROR(INDEX(Recipes!$B:$B,MATCH(A1466,Recipes!$A:$A,0)),"⚠ unknown recipe_id"))</f>
        <v/>
      </c>
      <c r="E1466" s="12" t="str">
        <f aca="false">IF(C1466="","",IFERROR(INDEX('Ingredient Catalog'!$C:$C,MATCH(C1466,'Ingredient Catalog'!$A:$A,0)),"⚠ not in catalog"))</f>
        <v/>
      </c>
      <c r="G1466" s="12" t="str">
        <f aca="false">IF(A1466="","",COUNTIFS('Weekly Log'!$A:$A,'Grocery List'!$B$3,'Weekly Log'!$C:$C,A1466,'Weekly Log'!$E:$E,"Yes"))</f>
        <v/>
      </c>
      <c r="H1466" s="12" t="str">
        <f aca="false">IF(OR(A1466="",D1466=""),"",D1466*G1466)</f>
        <v/>
      </c>
    </row>
    <row r="1467" customFormat="false" ht="15" hidden="false" customHeight="false" outlineLevel="0" collapsed="false">
      <c r="B1467" s="12" t="str">
        <f aca="false">IF(A1467="","",IFERROR(INDEX(Recipes!$B:$B,MATCH(A1467,Recipes!$A:$A,0)),"⚠ unknown recipe_id"))</f>
        <v/>
      </c>
      <c r="E1467" s="12" t="str">
        <f aca="false">IF(C1467="","",IFERROR(INDEX('Ingredient Catalog'!$C:$C,MATCH(C1467,'Ingredient Catalog'!$A:$A,0)),"⚠ not in catalog"))</f>
        <v/>
      </c>
      <c r="G1467" s="12" t="str">
        <f aca="false">IF(A1467="","",COUNTIFS('Weekly Log'!$A:$A,'Grocery List'!$B$3,'Weekly Log'!$C:$C,A1467,'Weekly Log'!$E:$E,"Yes"))</f>
        <v/>
      </c>
      <c r="H1467" s="12" t="str">
        <f aca="false">IF(OR(A1467="",D1467=""),"",D1467*G1467)</f>
        <v/>
      </c>
    </row>
    <row r="1468" customFormat="false" ht="15" hidden="false" customHeight="false" outlineLevel="0" collapsed="false">
      <c r="B1468" s="12" t="str">
        <f aca="false">IF(A1468="","",IFERROR(INDEX(Recipes!$B:$B,MATCH(A1468,Recipes!$A:$A,0)),"⚠ unknown recipe_id"))</f>
        <v/>
      </c>
      <c r="E1468" s="12" t="str">
        <f aca="false">IF(C1468="","",IFERROR(INDEX('Ingredient Catalog'!$C:$C,MATCH(C1468,'Ingredient Catalog'!$A:$A,0)),"⚠ not in catalog"))</f>
        <v/>
      </c>
      <c r="G1468" s="12" t="str">
        <f aca="false">IF(A1468="","",COUNTIFS('Weekly Log'!$A:$A,'Grocery List'!$B$3,'Weekly Log'!$C:$C,A1468,'Weekly Log'!$E:$E,"Yes"))</f>
        <v/>
      </c>
      <c r="H1468" s="12" t="str">
        <f aca="false">IF(OR(A1468="",D1468=""),"",D1468*G1468)</f>
        <v/>
      </c>
    </row>
    <row r="1469" customFormat="false" ht="15" hidden="false" customHeight="false" outlineLevel="0" collapsed="false">
      <c r="B1469" s="12" t="str">
        <f aca="false">IF(A1469="","",IFERROR(INDEX(Recipes!$B:$B,MATCH(A1469,Recipes!$A:$A,0)),"⚠ unknown recipe_id"))</f>
        <v/>
      </c>
      <c r="E1469" s="12" t="str">
        <f aca="false">IF(C1469="","",IFERROR(INDEX('Ingredient Catalog'!$C:$C,MATCH(C1469,'Ingredient Catalog'!$A:$A,0)),"⚠ not in catalog"))</f>
        <v/>
      </c>
      <c r="G1469" s="12" t="str">
        <f aca="false">IF(A1469="","",COUNTIFS('Weekly Log'!$A:$A,'Grocery List'!$B$3,'Weekly Log'!$C:$C,A1469,'Weekly Log'!$E:$E,"Yes"))</f>
        <v/>
      </c>
      <c r="H1469" s="12" t="str">
        <f aca="false">IF(OR(A1469="",D1469=""),"",D1469*G1469)</f>
        <v/>
      </c>
    </row>
    <row r="1470" customFormat="false" ht="15" hidden="false" customHeight="false" outlineLevel="0" collapsed="false">
      <c r="B1470" s="12" t="str">
        <f aca="false">IF(A1470="","",IFERROR(INDEX(Recipes!$B:$B,MATCH(A1470,Recipes!$A:$A,0)),"⚠ unknown recipe_id"))</f>
        <v/>
      </c>
      <c r="E1470" s="12" t="str">
        <f aca="false">IF(C1470="","",IFERROR(INDEX('Ingredient Catalog'!$C:$C,MATCH(C1470,'Ingredient Catalog'!$A:$A,0)),"⚠ not in catalog"))</f>
        <v/>
      </c>
      <c r="G1470" s="12" t="str">
        <f aca="false">IF(A1470="","",COUNTIFS('Weekly Log'!$A:$A,'Grocery List'!$B$3,'Weekly Log'!$C:$C,A1470,'Weekly Log'!$E:$E,"Yes"))</f>
        <v/>
      </c>
      <c r="H1470" s="12" t="str">
        <f aca="false">IF(OR(A1470="",D1470=""),"",D1470*G1470)</f>
        <v/>
      </c>
    </row>
    <row r="1471" customFormat="false" ht="15" hidden="false" customHeight="false" outlineLevel="0" collapsed="false">
      <c r="B1471" s="12" t="str">
        <f aca="false">IF(A1471="","",IFERROR(INDEX(Recipes!$B:$B,MATCH(A1471,Recipes!$A:$A,0)),"⚠ unknown recipe_id"))</f>
        <v/>
      </c>
      <c r="E1471" s="12" t="str">
        <f aca="false">IF(C1471="","",IFERROR(INDEX('Ingredient Catalog'!$C:$C,MATCH(C1471,'Ingredient Catalog'!$A:$A,0)),"⚠ not in catalog"))</f>
        <v/>
      </c>
      <c r="G1471" s="12" t="str">
        <f aca="false">IF(A1471="","",COUNTIFS('Weekly Log'!$A:$A,'Grocery List'!$B$3,'Weekly Log'!$C:$C,A1471,'Weekly Log'!$E:$E,"Yes"))</f>
        <v/>
      </c>
      <c r="H1471" s="12" t="str">
        <f aca="false">IF(OR(A1471="",D1471=""),"",D1471*G1471)</f>
        <v/>
      </c>
    </row>
    <row r="1472" customFormat="false" ht="15" hidden="false" customHeight="false" outlineLevel="0" collapsed="false">
      <c r="B1472" s="12" t="str">
        <f aca="false">IF(A1472="","",IFERROR(INDEX(Recipes!$B:$B,MATCH(A1472,Recipes!$A:$A,0)),"⚠ unknown recipe_id"))</f>
        <v/>
      </c>
      <c r="E1472" s="12" t="str">
        <f aca="false">IF(C1472="","",IFERROR(INDEX('Ingredient Catalog'!$C:$C,MATCH(C1472,'Ingredient Catalog'!$A:$A,0)),"⚠ not in catalog"))</f>
        <v/>
      </c>
      <c r="G1472" s="12" t="str">
        <f aca="false">IF(A1472="","",COUNTIFS('Weekly Log'!$A:$A,'Grocery List'!$B$3,'Weekly Log'!$C:$C,A1472,'Weekly Log'!$E:$E,"Yes"))</f>
        <v/>
      </c>
      <c r="H1472" s="12" t="str">
        <f aca="false">IF(OR(A1472="",D1472=""),"",D1472*G1472)</f>
        <v/>
      </c>
    </row>
    <row r="1473" customFormat="false" ht="15" hidden="false" customHeight="false" outlineLevel="0" collapsed="false">
      <c r="B1473" s="12" t="str">
        <f aca="false">IF(A1473="","",IFERROR(INDEX(Recipes!$B:$B,MATCH(A1473,Recipes!$A:$A,0)),"⚠ unknown recipe_id"))</f>
        <v/>
      </c>
      <c r="E1473" s="12" t="str">
        <f aca="false">IF(C1473="","",IFERROR(INDEX('Ingredient Catalog'!$C:$C,MATCH(C1473,'Ingredient Catalog'!$A:$A,0)),"⚠ not in catalog"))</f>
        <v/>
      </c>
      <c r="G1473" s="12" t="str">
        <f aca="false">IF(A1473="","",COUNTIFS('Weekly Log'!$A:$A,'Grocery List'!$B$3,'Weekly Log'!$C:$C,A1473,'Weekly Log'!$E:$E,"Yes"))</f>
        <v/>
      </c>
      <c r="H1473" s="12" t="str">
        <f aca="false">IF(OR(A1473="",D1473=""),"",D1473*G1473)</f>
        <v/>
      </c>
    </row>
    <row r="1474" customFormat="false" ht="15" hidden="false" customHeight="false" outlineLevel="0" collapsed="false">
      <c r="B1474" s="12" t="str">
        <f aca="false">IF(A1474="","",IFERROR(INDEX(Recipes!$B:$B,MATCH(A1474,Recipes!$A:$A,0)),"⚠ unknown recipe_id"))</f>
        <v/>
      </c>
      <c r="E1474" s="12" t="str">
        <f aca="false">IF(C1474="","",IFERROR(INDEX('Ingredient Catalog'!$C:$C,MATCH(C1474,'Ingredient Catalog'!$A:$A,0)),"⚠ not in catalog"))</f>
        <v/>
      </c>
      <c r="G1474" s="12" t="str">
        <f aca="false">IF(A1474="","",COUNTIFS('Weekly Log'!$A:$A,'Grocery List'!$B$3,'Weekly Log'!$C:$C,A1474,'Weekly Log'!$E:$E,"Yes"))</f>
        <v/>
      </c>
      <c r="H1474" s="12" t="str">
        <f aca="false">IF(OR(A1474="",D1474=""),"",D1474*G1474)</f>
        <v/>
      </c>
    </row>
    <row r="1475" customFormat="false" ht="15" hidden="false" customHeight="false" outlineLevel="0" collapsed="false">
      <c r="B1475" s="12" t="str">
        <f aca="false">IF(A1475="","",IFERROR(INDEX(Recipes!$B:$B,MATCH(A1475,Recipes!$A:$A,0)),"⚠ unknown recipe_id"))</f>
        <v/>
      </c>
      <c r="E1475" s="12" t="str">
        <f aca="false">IF(C1475="","",IFERROR(INDEX('Ingredient Catalog'!$C:$C,MATCH(C1475,'Ingredient Catalog'!$A:$A,0)),"⚠ not in catalog"))</f>
        <v/>
      </c>
      <c r="G1475" s="12" t="str">
        <f aca="false">IF(A1475="","",COUNTIFS('Weekly Log'!$A:$A,'Grocery List'!$B$3,'Weekly Log'!$C:$C,A1475,'Weekly Log'!$E:$E,"Yes"))</f>
        <v/>
      </c>
      <c r="H1475" s="12" t="str">
        <f aca="false">IF(OR(A1475="",D1475=""),"",D1475*G1475)</f>
        <v/>
      </c>
    </row>
    <row r="1476" customFormat="false" ht="15" hidden="false" customHeight="false" outlineLevel="0" collapsed="false">
      <c r="B1476" s="12" t="str">
        <f aca="false">IF(A1476="","",IFERROR(INDEX(Recipes!$B:$B,MATCH(A1476,Recipes!$A:$A,0)),"⚠ unknown recipe_id"))</f>
        <v/>
      </c>
      <c r="E1476" s="12" t="str">
        <f aca="false">IF(C1476="","",IFERROR(INDEX('Ingredient Catalog'!$C:$C,MATCH(C1476,'Ingredient Catalog'!$A:$A,0)),"⚠ not in catalog"))</f>
        <v/>
      </c>
      <c r="G1476" s="12" t="str">
        <f aca="false">IF(A1476="","",COUNTIFS('Weekly Log'!$A:$A,'Grocery List'!$B$3,'Weekly Log'!$C:$C,A1476,'Weekly Log'!$E:$E,"Yes"))</f>
        <v/>
      </c>
      <c r="H1476" s="12" t="str">
        <f aca="false">IF(OR(A1476="",D1476=""),"",D1476*G1476)</f>
        <v/>
      </c>
    </row>
    <row r="1477" customFormat="false" ht="15" hidden="false" customHeight="false" outlineLevel="0" collapsed="false">
      <c r="B1477" s="12" t="str">
        <f aca="false">IF(A1477="","",IFERROR(INDEX(Recipes!$B:$B,MATCH(A1477,Recipes!$A:$A,0)),"⚠ unknown recipe_id"))</f>
        <v/>
      </c>
      <c r="E1477" s="12" t="str">
        <f aca="false">IF(C1477="","",IFERROR(INDEX('Ingredient Catalog'!$C:$C,MATCH(C1477,'Ingredient Catalog'!$A:$A,0)),"⚠ not in catalog"))</f>
        <v/>
      </c>
      <c r="G1477" s="12" t="str">
        <f aca="false">IF(A1477="","",COUNTIFS('Weekly Log'!$A:$A,'Grocery List'!$B$3,'Weekly Log'!$C:$C,A1477,'Weekly Log'!$E:$E,"Yes"))</f>
        <v/>
      </c>
      <c r="H1477" s="12" t="str">
        <f aca="false">IF(OR(A1477="",D1477=""),"",D1477*G1477)</f>
        <v/>
      </c>
    </row>
    <row r="1478" customFormat="false" ht="15" hidden="false" customHeight="false" outlineLevel="0" collapsed="false">
      <c r="B1478" s="12" t="str">
        <f aca="false">IF(A1478="","",IFERROR(INDEX(Recipes!$B:$B,MATCH(A1478,Recipes!$A:$A,0)),"⚠ unknown recipe_id"))</f>
        <v/>
      </c>
      <c r="E1478" s="12" t="str">
        <f aca="false">IF(C1478="","",IFERROR(INDEX('Ingredient Catalog'!$C:$C,MATCH(C1478,'Ingredient Catalog'!$A:$A,0)),"⚠ not in catalog"))</f>
        <v/>
      </c>
      <c r="G1478" s="12" t="str">
        <f aca="false">IF(A1478="","",COUNTIFS('Weekly Log'!$A:$A,'Grocery List'!$B$3,'Weekly Log'!$C:$C,A1478,'Weekly Log'!$E:$E,"Yes"))</f>
        <v/>
      </c>
      <c r="H1478" s="12" t="str">
        <f aca="false">IF(OR(A1478="",D1478=""),"",D1478*G1478)</f>
        <v/>
      </c>
    </row>
    <row r="1479" customFormat="false" ht="15" hidden="false" customHeight="false" outlineLevel="0" collapsed="false">
      <c r="B1479" s="12" t="str">
        <f aca="false">IF(A1479="","",IFERROR(INDEX(Recipes!$B:$B,MATCH(A1479,Recipes!$A:$A,0)),"⚠ unknown recipe_id"))</f>
        <v/>
      </c>
      <c r="E1479" s="12" t="str">
        <f aca="false">IF(C1479="","",IFERROR(INDEX('Ingredient Catalog'!$C:$C,MATCH(C1479,'Ingredient Catalog'!$A:$A,0)),"⚠ not in catalog"))</f>
        <v/>
      </c>
      <c r="G1479" s="12" t="str">
        <f aca="false">IF(A1479="","",COUNTIFS('Weekly Log'!$A:$A,'Grocery List'!$B$3,'Weekly Log'!$C:$C,A1479,'Weekly Log'!$E:$E,"Yes"))</f>
        <v/>
      </c>
      <c r="H1479" s="12" t="str">
        <f aca="false">IF(OR(A1479="",D1479=""),"",D1479*G1479)</f>
        <v/>
      </c>
    </row>
    <row r="1480" customFormat="false" ht="15" hidden="false" customHeight="false" outlineLevel="0" collapsed="false">
      <c r="B1480" s="12" t="str">
        <f aca="false">IF(A1480="","",IFERROR(INDEX(Recipes!$B:$B,MATCH(A1480,Recipes!$A:$A,0)),"⚠ unknown recipe_id"))</f>
        <v/>
      </c>
      <c r="E1480" s="12" t="str">
        <f aca="false">IF(C1480="","",IFERROR(INDEX('Ingredient Catalog'!$C:$C,MATCH(C1480,'Ingredient Catalog'!$A:$A,0)),"⚠ not in catalog"))</f>
        <v/>
      </c>
      <c r="G1480" s="12" t="str">
        <f aca="false">IF(A1480="","",COUNTIFS('Weekly Log'!$A:$A,'Grocery List'!$B$3,'Weekly Log'!$C:$C,A1480,'Weekly Log'!$E:$E,"Yes"))</f>
        <v/>
      </c>
      <c r="H1480" s="12" t="str">
        <f aca="false">IF(OR(A1480="",D1480=""),"",D1480*G1480)</f>
        <v/>
      </c>
    </row>
    <row r="1481" customFormat="false" ht="15" hidden="false" customHeight="false" outlineLevel="0" collapsed="false">
      <c r="B1481" s="12" t="str">
        <f aca="false">IF(A1481="","",IFERROR(INDEX(Recipes!$B:$B,MATCH(A1481,Recipes!$A:$A,0)),"⚠ unknown recipe_id"))</f>
        <v/>
      </c>
      <c r="E1481" s="12" t="str">
        <f aca="false">IF(C1481="","",IFERROR(INDEX('Ingredient Catalog'!$C:$C,MATCH(C1481,'Ingredient Catalog'!$A:$A,0)),"⚠ not in catalog"))</f>
        <v/>
      </c>
      <c r="G1481" s="12" t="str">
        <f aca="false">IF(A1481="","",COUNTIFS('Weekly Log'!$A:$A,'Grocery List'!$B$3,'Weekly Log'!$C:$C,A1481,'Weekly Log'!$E:$E,"Yes"))</f>
        <v/>
      </c>
      <c r="H1481" s="12" t="str">
        <f aca="false">IF(OR(A1481="",D1481=""),"",D1481*G1481)</f>
        <v/>
      </c>
    </row>
    <row r="1482" customFormat="false" ht="15" hidden="false" customHeight="false" outlineLevel="0" collapsed="false">
      <c r="B1482" s="12" t="str">
        <f aca="false">IF(A1482="","",IFERROR(INDEX(Recipes!$B:$B,MATCH(A1482,Recipes!$A:$A,0)),"⚠ unknown recipe_id"))</f>
        <v/>
      </c>
      <c r="E1482" s="12" t="str">
        <f aca="false">IF(C1482="","",IFERROR(INDEX('Ingredient Catalog'!$C:$C,MATCH(C1482,'Ingredient Catalog'!$A:$A,0)),"⚠ not in catalog"))</f>
        <v/>
      </c>
      <c r="G1482" s="12" t="str">
        <f aca="false">IF(A1482="","",COUNTIFS('Weekly Log'!$A:$A,'Grocery List'!$B$3,'Weekly Log'!$C:$C,A1482,'Weekly Log'!$E:$E,"Yes"))</f>
        <v/>
      </c>
      <c r="H1482" s="12" t="str">
        <f aca="false">IF(OR(A1482="",D1482=""),"",D1482*G1482)</f>
        <v/>
      </c>
    </row>
    <row r="1483" customFormat="false" ht="15" hidden="false" customHeight="false" outlineLevel="0" collapsed="false">
      <c r="B1483" s="12" t="str">
        <f aca="false">IF(A1483="","",IFERROR(INDEX(Recipes!$B:$B,MATCH(A1483,Recipes!$A:$A,0)),"⚠ unknown recipe_id"))</f>
        <v/>
      </c>
      <c r="E1483" s="12" t="str">
        <f aca="false">IF(C1483="","",IFERROR(INDEX('Ingredient Catalog'!$C:$C,MATCH(C1483,'Ingredient Catalog'!$A:$A,0)),"⚠ not in catalog"))</f>
        <v/>
      </c>
      <c r="G1483" s="12" t="str">
        <f aca="false">IF(A1483="","",COUNTIFS('Weekly Log'!$A:$A,'Grocery List'!$B$3,'Weekly Log'!$C:$C,A1483,'Weekly Log'!$E:$E,"Yes"))</f>
        <v/>
      </c>
      <c r="H1483" s="12" t="str">
        <f aca="false">IF(OR(A1483="",D1483=""),"",D1483*G1483)</f>
        <v/>
      </c>
    </row>
    <row r="1484" customFormat="false" ht="15" hidden="false" customHeight="false" outlineLevel="0" collapsed="false">
      <c r="B1484" s="12" t="str">
        <f aca="false">IF(A1484="","",IFERROR(INDEX(Recipes!$B:$B,MATCH(A1484,Recipes!$A:$A,0)),"⚠ unknown recipe_id"))</f>
        <v/>
      </c>
      <c r="E1484" s="12" t="str">
        <f aca="false">IF(C1484="","",IFERROR(INDEX('Ingredient Catalog'!$C:$C,MATCH(C1484,'Ingredient Catalog'!$A:$A,0)),"⚠ not in catalog"))</f>
        <v/>
      </c>
      <c r="G1484" s="12" t="str">
        <f aca="false">IF(A1484="","",COUNTIFS('Weekly Log'!$A:$A,'Grocery List'!$B$3,'Weekly Log'!$C:$C,A1484,'Weekly Log'!$E:$E,"Yes"))</f>
        <v/>
      </c>
      <c r="H1484" s="12" t="str">
        <f aca="false">IF(OR(A1484="",D1484=""),"",D1484*G1484)</f>
        <v/>
      </c>
    </row>
    <row r="1485" customFormat="false" ht="15" hidden="false" customHeight="false" outlineLevel="0" collapsed="false">
      <c r="B1485" s="12" t="str">
        <f aca="false">IF(A1485="","",IFERROR(INDEX(Recipes!$B:$B,MATCH(A1485,Recipes!$A:$A,0)),"⚠ unknown recipe_id"))</f>
        <v/>
      </c>
      <c r="E1485" s="12" t="str">
        <f aca="false">IF(C1485="","",IFERROR(INDEX('Ingredient Catalog'!$C:$C,MATCH(C1485,'Ingredient Catalog'!$A:$A,0)),"⚠ not in catalog"))</f>
        <v/>
      </c>
      <c r="G1485" s="12" t="str">
        <f aca="false">IF(A1485="","",COUNTIFS('Weekly Log'!$A:$A,'Grocery List'!$B$3,'Weekly Log'!$C:$C,A1485,'Weekly Log'!$E:$E,"Yes"))</f>
        <v/>
      </c>
      <c r="H1485" s="12" t="str">
        <f aca="false">IF(OR(A1485="",D1485=""),"",D1485*G1485)</f>
        <v/>
      </c>
    </row>
    <row r="1486" customFormat="false" ht="15" hidden="false" customHeight="false" outlineLevel="0" collapsed="false">
      <c r="B1486" s="12" t="str">
        <f aca="false">IF(A1486="","",IFERROR(INDEX(Recipes!$B:$B,MATCH(A1486,Recipes!$A:$A,0)),"⚠ unknown recipe_id"))</f>
        <v/>
      </c>
      <c r="E1486" s="12" t="str">
        <f aca="false">IF(C1486="","",IFERROR(INDEX('Ingredient Catalog'!$C:$C,MATCH(C1486,'Ingredient Catalog'!$A:$A,0)),"⚠ not in catalog"))</f>
        <v/>
      </c>
      <c r="G1486" s="12" t="str">
        <f aca="false">IF(A1486="","",COUNTIFS('Weekly Log'!$A:$A,'Grocery List'!$B$3,'Weekly Log'!$C:$C,A1486,'Weekly Log'!$E:$E,"Yes"))</f>
        <v/>
      </c>
      <c r="H1486" s="12" t="str">
        <f aca="false">IF(OR(A1486="",D1486=""),"",D1486*G1486)</f>
        <v/>
      </c>
    </row>
    <row r="1487" customFormat="false" ht="15" hidden="false" customHeight="false" outlineLevel="0" collapsed="false">
      <c r="B1487" s="12" t="str">
        <f aca="false">IF(A1487="","",IFERROR(INDEX(Recipes!$B:$B,MATCH(A1487,Recipes!$A:$A,0)),"⚠ unknown recipe_id"))</f>
        <v/>
      </c>
      <c r="E1487" s="12" t="str">
        <f aca="false">IF(C1487="","",IFERROR(INDEX('Ingredient Catalog'!$C:$C,MATCH(C1487,'Ingredient Catalog'!$A:$A,0)),"⚠ not in catalog"))</f>
        <v/>
      </c>
      <c r="G1487" s="12" t="str">
        <f aca="false">IF(A1487="","",COUNTIFS('Weekly Log'!$A:$A,'Grocery List'!$B$3,'Weekly Log'!$C:$C,A1487,'Weekly Log'!$E:$E,"Yes"))</f>
        <v/>
      </c>
      <c r="H1487" s="12" t="str">
        <f aca="false">IF(OR(A1487="",D1487=""),"",D1487*G1487)</f>
        <v/>
      </c>
    </row>
    <row r="1488" customFormat="false" ht="15" hidden="false" customHeight="false" outlineLevel="0" collapsed="false">
      <c r="B1488" s="12" t="str">
        <f aca="false">IF(A1488="","",IFERROR(INDEX(Recipes!$B:$B,MATCH(A1488,Recipes!$A:$A,0)),"⚠ unknown recipe_id"))</f>
        <v/>
      </c>
      <c r="E1488" s="12" t="str">
        <f aca="false">IF(C1488="","",IFERROR(INDEX('Ingredient Catalog'!$C:$C,MATCH(C1488,'Ingredient Catalog'!$A:$A,0)),"⚠ not in catalog"))</f>
        <v/>
      </c>
      <c r="G1488" s="12" t="str">
        <f aca="false">IF(A1488="","",COUNTIFS('Weekly Log'!$A:$A,'Grocery List'!$B$3,'Weekly Log'!$C:$C,A1488,'Weekly Log'!$E:$E,"Yes"))</f>
        <v/>
      </c>
      <c r="H1488" s="12" t="str">
        <f aca="false">IF(OR(A1488="",D1488=""),"",D1488*G1488)</f>
        <v/>
      </c>
    </row>
    <row r="1489" customFormat="false" ht="15" hidden="false" customHeight="false" outlineLevel="0" collapsed="false">
      <c r="B1489" s="12" t="str">
        <f aca="false">IF(A1489="","",IFERROR(INDEX(Recipes!$B:$B,MATCH(A1489,Recipes!$A:$A,0)),"⚠ unknown recipe_id"))</f>
        <v/>
      </c>
      <c r="E1489" s="12" t="str">
        <f aca="false">IF(C1489="","",IFERROR(INDEX('Ingredient Catalog'!$C:$C,MATCH(C1489,'Ingredient Catalog'!$A:$A,0)),"⚠ not in catalog"))</f>
        <v/>
      </c>
      <c r="G1489" s="12" t="str">
        <f aca="false">IF(A1489="","",COUNTIFS('Weekly Log'!$A:$A,'Grocery List'!$B$3,'Weekly Log'!$C:$C,A1489,'Weekly Log'!$E:$E,"Yes"))</f>
        <v/>
      </c>
      <c r="H1489" s="12" t="str">
        <f aca="false">IF(OR(A1489="",D1489=""),"",D1489*G1489)</f>
        <v/>
      </c>
    </row>
    <row r="1490" customFormat="false" ht="15" hidden="false" customHeight="false" outlineLevel="0" collapsed="false">
      <c r="B1490" s="12" t="str">
        <f aca="false">IF(A1490="","",IFERROR(INDEX(Recipes!$B:$B,MATCH(A1490,Recipes!$A:$A,0)),"⚠ unknown recipe_id"))</f>
        <v/>
      </c>
      <c r="E1490" s="12" t="str">
        <f aca="false">IF(C1490="","",IFERROR(INDEX('Ingredient Catalog'!$C:$C,MATCH(C1490,'Ingredient Catalog'!$A:$A,0)),"⚠ not in catalog"))</f>
        <v/>
      </c>
      <c r="G1490" s="12" t="str">
        <f aca="false">IF(A1490="","",COUNTIFS('Weekly Log'!$A:$A,'Grocery List'!$B$3,'Weekly Log'!$C:$C,A1490,'Weekly Log'!$E:$E,"Yes"))</f>
        <v/>
      </c>
      <c r="H1490" s="12" t="str">
        <f aca="false">IF(OR(A1490="",D1490=""),"",D1490*G1490)</f>
        <v/>
      </c>
    </row>
    <row r="1491" customFormat="false" ht="15" hidden="false" customHeight="false" outlineLevel="0" collapsed="false">
      <c r="B1491" s="12" t="str">
        <f aca="false">IF(A1491="","",IFERROR(INDEX(Recipes!$B:$B,MATCH(A1491,Recipes!$A:$A,0)),"⚠ unknown recipe_id"))</f>
        <v/>
      </c>
      <c r="E1491" s="12" t="str">
        <f aca="false">IF(C1491="","",IFERROR(INDEX('Ingredient Catalog'!$C:$C,MATCH(C1491,'Ingredient Catalog'!$A:$A,0)),"⚠ not in catalog"))</f>
        <v/>
      </c>
      <c r="G1491" s="12" t="str">
        <f aca="false">IF(A1491="","",COUNTIFS('Weekly Log'!$A:$A,'Grocery List'!$B$3,'Weekly Log'!$C:$C,A1491,'Weekly Log'!$E:$E,"Yes"))</f>
        <v/>
      </c>
      <c r="H1491" s="12" t="str">
        <f aca="false">IF(OR(A1491="",D1491=""),"",D1491*G1491)</f>
        <v/>
      </c>
    </row>
    <row r="1492" customFormat="false" ht="15" hidden="false" customHeight="false" outlineLevel="0" collapsed="false">
      <c r="B1492" s="12" t="str">
        <f aca="false">IF(A1492="","",IFERROR(INDEX(Recipes!$B:$B,MATCH(A1492,Recipes!$A:$A,0)),"⚠ unknown recipe_id"))</f>
        <v/>
      </c>
      <c r="E1492" s="12" t="str">
        <f aca="false">IF(C1492="","",IFERROR(INDEX('Ingredient Catalog'!$C:$C,MATCH(C1492,'Ingredient Catalog'!$A:$A,0)),"⚠ not in catalog"))</f>
        <v/>
      </c>
      <c r="G1492" s="12" t="str">
        <f aca="false">IF(A1492="","",COUNTIFS('Weekly Log'!$A:$A,'Grocery List'!$B$3,'Weekly Log'!$C:$C,A1492,'Weekly Log'!$E:$E,"Yes"))</f>
        <v/>
      </c>
      <c r="H1492" s="12" t="str">
        <f aca="false">IF(OR(A1492="",D1492=""),"",D1492*G1492)</f>
        <v/>
      </c>
    </row>
    <row r="1493" customFormat="false" ht="15" hidden="false" customHeight="false" outlineLevel="0" collapsed="false">
      <c r="B1493" s="12" t="str">
        <f aca="false">IF(A1493="","",IFERROR(INDEX(Recipes!$B:$B,MATCH(A1493,Recipes!$A:$A,0)),"⚠ unknown recipe_id"))</f>
        <v/>
      </c>
      <c r="E1493" s="12" t="str">
        <f aca="false">IF(C1493="","",IFERROR(INDEX('Ingredient Catalog'!$C:$C,MATCH(C1493,'Ingredient Catalog'!$A:$A,0)),"⚠ not in catalog"))</f>
        <v/>
      </c>
      <c r="G1493" s="12" t="str">
        <f aca="false">IF(A1493="","",COUNTIFS('Weekly Log'!$A:$A,'Grocery List'!$B$3,'Weekly Log'!$C:$C,A1493,'Weekly Log'!$E:$E,"Yes"))</f>
        <v/>
      </c>
      <c r="H1493" s="12" t="str">
        <f aca="false">IF(OR(A1493="",D1493=""),"",D1493*G1493)</f>
        <v/>
      </c>
    </row>
    <row r="1494" customFormat="false" ht="15" hidden="false" customHeight="false" outlineLevel="0" collapsed="false">
      <c r="B1494" s="12" t="str">
        <f aca="false">IF(A1494="","",IFERROR(INDEX(Recipes!$B:$B,MATCH(A1494,Recipes!$A:$A,0)),"⚠ unknown recipe_id"))</f>
        <v/>
      </c>
      <c r="E1494" s="12" t="str">
        <f aca="false">IF(C1494="","",IFERROR(INDEX('Ingredient Catalog'!$C:$C,MATCH(C1494,'Ingredient Catalog'!$A:$A,0)),"⚠ not in catalog"))</f>
        <v/>
      </c>
      <c r="G1494" s="12" t="str">
        <f aca="false">IF(A1494="","",COUNTIFS('Weekly Log'!$A:$A,'Grocery List'!$B$3,'Weekly Log'!$C:$C,A1494,'Weekly Log'!$E:$E,"Yes"))</f>
        <v/>
      </c>
      <c r="H1494" s="12" t="str">
        <f aca="false">IF(OR(A1494="",D1494=""),"",D1494*G1494)</f>
        <v/>
      </c>
    </row>
    <row r="1495" customFormat="false" ht="15" hidden="false" customHeight="false" outlineLevel="0" collapsed="false">
      <c r="B1495" s="12" t="str">
        <f aca="false">IF(A1495="","",IFERROR(INDEX(Recipes!$B:$B,MATCH(A1495,Recipes!$A:$A,0)),"⚠ unknown recipe_id"))</f>
        <v/>
      </c>
      <c r="E1495" s="12" t="str">
        <f aca="false">IF(C1495="","",IFERROR(INDEX('Ingredient Catalog'!$C:$C,MATCH(C1495,'Ingredient Catalog'!$A:$A,0)),"⚠ not in catalog"))</f>
        <v/>
      </c>
      <c r="G1495" s="12" t="str">
        <f aca="false">IF(A1495="","",COUNTIFS('Weekly Log'!$A:$A,'Grocery List'!$B$3,'Weekly Log'!$C:$C,A1495,'Weekly Log'!$E:$E,"Yes"))</f>
        <v/>
      </c>
      <c r="H1495" s="12" t="str">
        <f aca="false">IF(OR(A1495="",D1495=""),"",D1495*G1495)</f>
        <v/>
      </c>
    </row>
    <row r="1496" customFormat="false" ht="15" hidden="false" customHeight="false" outlineLevel="0" collapsed="false">
      <c r="B1496" s="12" t="str">
        <f aca="false">IF(A1496="","",IFERROR(INDEX(Recipes!$B:$B,MATCH(A1496,Recipes!$A:$A,0)),"⚠ unknown recipe_id"))</f>
        <v/>
      </c>
      <c r="E1496" s="12" t="str">
        <f aca="false">IF(C1496="","",IFERROR(INDEX('Ingredient Catalog'!$C:$C,MATCH(C1496,'Ingredient Catalog'!$A:$A,0)),"⚠ not in catalog"))</f>
        <v/>
      </c>
      <c r="G1496" s="12" t="str">
        <f aca="false">IF(A1496="","",COUNTIFS('Weekly Log'!$A:$A,'Grocery List'!$B$3,'Weekly Log'!$C:$C,A1496,'Weekly Log'!$E:$E,"Yes"))</f>
        <v/>
      </c>
      <c r="H1496" s="12" t="str">
        <f aca="false">IF(OR(A1496="",D1496=""),"",D1496*G1496)</f>
        <v/>
      </c>
    </row>
    <row r="1497" customFormat="false" ht="15" hidden="false" customHeight="false" outlineLevel="0" collapsed="false">
      <c r="B1497" s="12" t="str">
        <f aca="false">IF(A1497="","",IFERROR(INDEX(Recipes!$B:$B,MATCH(A1497,Recipes!$A:$A,0)),"⚠ unknown recipe_id"))</f>
        <v/>
      </c>
      <c r="E1497" s="12" t="str">
        <f aca="false">IF(C1497="","",IFERROR(INDEX('Ingredient Catalog'!$C:$C,MATCH(C1497,'Ingredient Catalog'!$A:$A,0)),"⚠ not in catalog"))</f>
        <v/>
      </c>
      <c r="G1497" s="12" t="str">
        <f aca="false">IF(A1497="","",COUNTIFS('Weekly Log'!$A:$A,'Grocery List'!$B$3,'Weekly Log'!$C:$C,A1497,'Weekly Log'!$E:$E,"Yes"))</f>
        <v/>
      </c>
      <c r="H1497" s="12" t="str">
        <f aca="false">IF(OR(A1497="",D1497=""),"",D1497*G1497)</f>
        <v/>
      </c>
    </row>
    <row r="1498" customFormat="false" ht="15" hidden="false" customHeight="false" outlineLevel="0" collapsed="false">
      <c r="B1498" s="12" t="str">
        <f aca="false">IF(A1498="","",IFERROR(INDEX(Recipes!$B:$B,MATCH(A1498,Recipes!$A:$A,0)),"⚠ unknown recipe_id"))</f>
        <v/>
      </c>
      <c r="E1498" s="12" t="str">
        <f aca="false">IF(C1498="","",IFERROR(INDEX('Ingredient Catalog'!$C:$C,MATCH(C1498,'Ingredient Catalog'!$A:$A,0)),"⚠ not in catalog"))</f>
        <v/>
      </c>
      <c r="G1498" s="12" t="str">
        <f aca="false">IF(A1498="","",COUNTIFS('Weekly Log'!$A:$A,'Grocery List'!$B$3,'Weekly Log'!$C:$C,A1498,'Weekly Log'!$E:$E,"Yes"))</f>
        <v/>
      </c>
      <c r="H1498" s="12" t="str">
        <f aca="false">IF(OR(A1498="",D1498=""),"",D1498*G1498)</f>
        <v/>
      </c>
    </row>
    <row r="1499" customFormat="false" ht="15" hidden="false" customHeight="false" outlineLevel="0" collapsed="false">
      <c r="B1499" s="12" t="str">
        <f aca="false">IF(A1499="","",IFERROR(INDEX(Recipes!$B:$B,MATCH(A1499,Recipes!$A:$A,0)),"⚠ unknown recipe_id"))</f>
        <v/>
      </c>
      <c r="E1499" s="12" t="str">
        <f aca="false">IF(C1499="","",IFERROR(INDEX('Ingredient Catalog'!$C:$C,MATCH(C1499,'Ingredient Catalog'!$A:$A,0)),"⚠ not in catalog"))</f>
        <v/>
      </c>
      <c r="G1499" s="12" t="str">
        <f aca="false">IF(A1499="","",COUNTIFS('Weekly Log'!$A:$A,'Grocery List'!$B$3,'Weekly Log'!$C:$C,A1499,'Weekly Log'!$E:$E,"Yes"))</f>
        <v/>
      </c>
      <c r="H1499" s="12" t="str">
        <f aca="false">IF(OR(A1499="",D1499=""),"",D1499*G1499)</f>
        <v/>
      </c>
    </row>
    <row r="1500" customFormat="false" ht="15" hidden="false" customHeight="false" outlineLevel="0" collapsed="false">
      <c r="B1500" s="12" t="str">
        <f aca="false">IF(A1500="","",IFERROR(INDEX(Recipes!$B:$B,MATCH(A1500,Recipes!$A:$A,0)),"⚠ unknown recipe_id"))</f>
        <v/>
      </c>
      <c r="E1500" s="12" t="str">
        <f aca="false">IF(C1500="","",IFERROR(INDEX('Ingredient Catalog'!$C:$C,MATCH(C1500,'Ingredient Catalog'!$A:$A,0)),"⚠ not in catalog"))</f>
        <v/>
      </c>
      <c r="G1500" s="12" t="str">
        <f aca="false">IF(A1500="","",COUNTIFS('Weekly Log'!$A:$A,'Grocery List'!$B$3,'Weekly Log'!$C:$C,A1500,'Weekly Log'!$E:$E,"Yes"))</f>
        <v/>
      </c>
      <c r="H1500" s="12" t="str">
        <f aca="false">IF(OR(A1500="",D1500=""),"",D1500*G1500)</f>
        <v/>
      </c>
    </row>
    <row r="1501" customFormat="false" ht="15" hidden="false" customHeight="false" outlineLevel="0" collapsed="false">
      <c r="B1501" s="12" t="str">
        <f aca="false">IF(A1501="","",IFERROR(INDEX(Recipes!$B:$B,MATCH(A1501,Recipes!$A:$A,0)),"⚠ unknown recipe_id"))</f>
        <v/>
      </c>
      <c r="E1501" s="12" t="str">
        <f aca="false">IF(C1501="","",IFERROR(INDEX('Ingredient Catalog'!$C:$C,MATCH(C1501,'Ingredient Catalog'!$A:$A,0)),"⚠ not in catalog"))</f>
        <v/>
      </c>
      <c r="G1501" s="12" t="str">
        <f aca="false">IF(A1501="","",COUNTIFS('Weekly Log'!$A:$A,'Grocery List'!$B$3,'Weekly Log'!$C:$C,A1501,'Weekly Log'!$E:$E,"Yes"))</f>
        <v/>
      </c>
      <c r="H1501" s="12" t="str">
        <f aca="false">IF(OR(A1501="",D1501=""),"",D1501*G1501)</f>
        <v/>
      </c>
    </row>
    <row r="1502" customFormat="false" ht="15" hidden="false" customHeight="false" outlineLevel="0" collapsed="false">
      <c r="B1502" s="12" t="str">
        <f aca="false">IF(A1502="","",IFERROR(INDEX(Recipes!$B:$B,MATCH(A1502,Recipes!$A:$A,0)),"⚠ unknown recipe_id"))</f>
        <v/>
      </c>
      <c r="E1502" s="12" t="str">
        <f aca="false">IF(C1502="","",IFERROR(INDEX('Ingredient Catalog'!$C:$C,MATCH(C1502,'Ingredient Catalog'!$A:$A,0)),"⚠ not in catalog"))</f>
        <v/>
      </c>
      <c r="G1502" s="12" t="str">
        <f aca="false">IF(A1502="","",COUNTIFS('Weekly Log'!$A:$A,'Grocery List'!$B$3,'Weekly Log'!$C:$C,A1502,'Weekly Log'!$E:$E,"Yes"))</f>
        <v/>
      </c>
      <c r="H1502" s="12" t="str">
        <f aca="false">IF(OR(A1502="",D1502=""),"",D1502*G1502)</f>
        <v/>
      </c>
    </row>
    <row r="1503" customFormat="false" ht="15" hidden="false" customHeight="false" outlineLevel="0" collapsed="false">
      <c r="B1503" s="12" t="str">
        <f aca="false">IF(A1503="","",IFERROR(INDEX(Recipes!$B:$B,MATCH(A1503,Recipes!$A:$A,0)),"⚠ unknown recipe_id"))</f>
        <v/>
      </c>
      <c r="E1503" s="12" t="str">
        <f aca="false">IF(C1503="","",IFERROR(INDEX('Ingredient Catalog'!$C:$C,MATCH(C1503,'Ingredient Catalog'!$A:$A,0)),"⚠ not in catalog"))</f>
        <v/>
      </c>
      <c r="G1503" s="12" t="str">
        <f aca="false">IF(A1503="","",COUNTIFS('Weekly Log'!$A:$A,'Grocery List'!$B$3,'Weekly Log'!$C:$C,A1503,'Weekly Log'!$E:$E,"Yes"))</f>
        <v/>
      </c>
      <c r="H1503" s="12" t="str">
        <f aca="false">IF(OR(A1503="",D1503=""),"",D1503*G1503)</f>
        <v/>
      </c>
    </row>
    <row r="1504" customFormat="false" ht="15" hidden="false" customHeight="false" outlineLevel="0" collapsed="false">
      <c r="B1504" s="12" t="str">
        <f aca="false">IF(A1504="","",IFERROR(INDEX(Recipes!$B:$B,MATCH(A1504,Recipes!$A:$A,0)),"⚠ unknown recipe_id"))</f>
        <v/>
      </c>
      <c r="E1504" s="12" t="str">
        <f aca="false">IF(C1504="","",IFERROR(INDEX('Ingredient Catalog'!$C:$C,MATCH(C1504,'Ingredient Catalog'!$A:$A,0)),"⚠ not in catalog"))</f>
        <v/>
      </c>
      <c r="G1504" s="12" t="str">
        <f aca="false">IF(A1504="","",COUNTIFS('Weekly Log'!$A:$A,'Grocery List'!$B$3,'Weekly Log'!$C:$C,A1504,'Weekly Log'!$E:$E,"Yes"))</f>
        <v/>
      </c>
      <c r="H1504" s="12" t="str">
        <f aca="false">IF(OR(A1504="",D1504=""),"",D1504*G1504)</f>
        <v/>
      </c>
    </row>
    <row r="1505" customFormat="false" ht="15" hidden="false" customHeight="false" outlineLevel="0" collapsed="false">
      <c r="B1505" s="12" t="str">
        <f aca="false">IF(A1505="","",IFERROR(INDEX(Recipes!$B:$B,MATCH(A1505,Recipes!$A:$A,0)),"⚠ unknown recipe_id"))</f>
        <v/>
      </c>
      <c r="E1505" s="12" t="str">
        <f aca="false">IF(C1505="","",IFERROR(INDEX('Ingredient Catalog'!$C:$C,MATCH(C1505,'Ingredient Catalog'!$A:$A,0)),"⚠ not in catalog"))</f>
        <v/>
      </c>
      <c r="G1505" s="12" t="str">
        <f aca="false">IF(A1505="","",COUNTIFS('Weekly Log'!$A:$A,'Grocery List'!$B$3,'Weekly Log'!$C:$C,A1505,'Weekly Log'!$E:$E,"Yes"))</f>
        <v/>
      </c>
      <c r="H1505" s="12" t="str">
        <f aca="false">IF(OR(A1505="",D1505=""),"",D1505*G1505)</f>
        <v/>
      </c>
    </row>
    <row r="1506" customFormat="false" ht="15" hidden="false" customHeight="false" outlineLevel="0" collapsed="false">
      <c r="B1506" s="12" t="str">
        <f aca="false">IF(A1506="","",IFERROR(INDEX(Recipes!$B:$B,MATCH(A1506,Recipes!$A:$A,0)),"⚠ unknown recipe_id"))</f>
        <v/>
      </c>
      <c r="E1506" s="12" t="str">
        <f aca="false">IF(C1506="","",IFERROR(INDEX('Ingredient Catalog'!$C:$C,MATCH(C1506,'Ingredient Catalog'!$A:$A,0)),"⚠ not in catalog"))</f>
        <v/>
      </c>
      <c r="G1506" s="12" t="str">
        <f aca="false">IF(A1506="","",COUNTIFS('Weekly Log'!$A:$A,'Grocery List'!$B$3,'Weekly Log'!$C:$C,A1506,'Weekly Log'!$E:$E,"Yes"))</f>
        <v/>
      </c>
      <c r="H1506" s="12" t="str">
        <f aca="false">IF(OR(A1506="",D1506=""),"",D1506*G1506)</f>
        <v/>
      </c>
    </row>
    <row r="1507" customFormat="false" ht="15" hidden="false" customHeight="false" outlineLevel="0" collapsed="false">
      <c r="B1507" s="12" t="str">
        <f aca="false">IF(A1507="","",IFERROR(INDEX(Recipes!$B:$B,MATCH(A1507,Recipes!$A:$A,0)),"⚠ unknown recipe_id"))</f>
        <v/>
      </c>
      <c r="E1507" s="12" t="str">
        <f aca="false">IF(C1507="","",IFERROR(INDEX('Ingredient Catalog'!$C:$C,MATCH(C1507,'Ingredient Catalog'!$A:$A,0)),"⚠ not in catalog"))</f>
        <v/>
      </c>
      <c r="G1507" s="12" t="str">
        <f aca="false">IF(A1507="","",COUNTIFS('Weekly Log'!$A:$A,'Grocery List'!$B$3,'Weekly Log'!$C:$C,A1507,'Weekly Log'!$E:$E,"Yes"))</f>
        <v/>
      </c>
      <c r="H1507" s="12" t="str">
        <f aca="false">IF(OR(A1507="",D1507=""),"",D1507*G1507)</f>
        <v/>
      </c>
    </row>
    <row r="1508" customFormat="false" ht="15" hidden="false" customHeight="false" outlineLevel="0" collapsed="false">
      <c r="B1508" s="12" t="str">
        <f aca="false">IF(A1508="","",IFERROR(INDEX(Recipes!$B:$B,MATCH(A1508,Recipes!$A:$A,0)),"⚠ unknown recipe_id"))</f>
        <v/>
      </c>
      <c r="E1508" s="12" t="str">
        <f aca="false">IF(C1508="","",IFERROR(INDEX('Ingredient Catalog'!$C:$C,MATCH(C1508,'Ingredient Catalog'!$A:$A,0)),"⚠ not in catalog"))</f>
        <v/>
      </c>
      <c r="G1508" s="12" t="str">
        <f aca="false">IF(A1508="","",COUNTIFS('Weekly Log'!$A:$A,'Grocery List'!$B$3,'Weekly Log'!$C:$C,A1508,'Weekly Log'!$E:$E,"Yes"))</f>
        <v/>
      </c>
      <c r="H1508" s="12" t="str">
        <f aca="false">IF(OR(A1508="",D1508=""),"",D1508*G1508)</f>
        <v/>
      </c>
    </row>
    <row r="1509" customFormat="false" ht="15" hidden="false" customHeight="false" outlineLevel="0" collapsed="false">
      <c r="B1509" s="12" t="str">
        <f aca="false">IF(A1509="","",IFERROR(INDEX(Recipes!$B:$B,MATCH(A1509,Recipes!$A:$A,0)),"⚠ unknown recipe_id"))</f>
        <v/>
      </c>
      <c r="E1509" s="12" t="str">
        <f aca="false">IF(C1509="","",IFERROR(INDEX('Ingredient Catalog'!$C:$C,MATCH(C1509,'Ingredient Catalog'!$A:$A,0)),"⚠ not in catalog"))</f>
        <v/>
      </c>
      <c r="G1509" s="12" t="str">
        <f aca="false">IF(A1509="","",COUNTIFS('Weekly Log'!$A:$A,'Grocery List'!$B$3,'Weekly Log'!$C:$C,A1509,'Weekly Log'!$E:$E,"Yes"))</f>
        <v/>
      </c>
      <c r="H1509" s="12" t="str">
        <f aca="false">IF(OR(A1509="",D1509=""),"",D1509*G1509)</f>
        <v/>
      </c>
    </row>
    <row r="1510" customFormat="false" ht="15" hidden="false" customHeight="false" outlineLevel="0" collapsed="false">
      <c r="B1510" s="12" t="str">
        <f aca="false">IF(A1510="","",IFERROR(INDEX(Recipes!$B:$B,MATCH(A1510,Recipes!$A:$A,0)),"⚠ unknown recipe_id"))</f>
        <v/>
      </c>
      <c r="E1510" s="12" t="str">
        <f aca="false">IF(C1510="","",IFERROR(INDEX('Ingredient Catalog'!$C:$C,MATCH(C1510,'Ingredient Catalog'!$A:$A,0)),"⚠ not in catalog"))</f>
        <v/>
      </c>
      <c r="G1510" s="12" t="str">
        <f aca="false">IF(A1510="","",COUNTIFS('Weekly Log'!$A:$A,'Grocery List'!$B$3,'Weekly Log'!$C:$C,A1510,'Weekly Log'!$E:$E,"Yes"))</f>
        <v/>
      </c>
      <c r="H1510" s="12" t="str">
        <f aca="false">IF(OR(A1510="",D1510=""),"",D1510*G1510)</f>
        <v/>
      </c>
    </row>
    <row r="1511" customFormat="false" ht="15" hidden="false" customHeight="false" outlineLevel="0" collapsed="false">
      <c r="B1511" s="12" t="str">
        <f aca="false">IF(A1511="","",IFERROR(INDEX(Recipes!$B:$B,MATCH(A1511,Recipes!$A:$A,0)),"⚠ unknown recipe_id"))</f>
        <v/>
      </c>
      <c r="E1511" s="12" t="str">
        <f aca="false">IF(C1511="","",IFERROR(INDEX('Ingredient Catalog'!$C:$C,MATCH(C1511,'Ingredient Catalog'!$A:$A,0)),"⚠ not in catalog"))</f>
        <v/>
      </c>
      <c r="G1511" s="12" t="str">
        <f aca="false">IF(A1511="","",COUNTIFS('Weekly Log'!$A:$A,'Grocery List'!$B$3,'Weekly Log'!$C:$C,A1511,'Weekly Log'!$E:$E,"Yes"))</f>
        <v/>
      </c>
      <c r="H1511" s="12" t="str">
        <f aca="false">IF(OR(A1511="",D1511=""),"",D1511*G1511)</f>
        <v/>
      </c>
    </row>
    <row r="1512" customFormat="false" ht="15" hidden="false" customHeight="false" outlineLevel="0" collapsed="false">
      <c r="B1512" s="12" t="str">
        <f aca="false">IF(A1512="","",IFERROR(INDEX(Recipes!$B:$B,MATCH(A1512,Recipes!$A:$A,0)),"⚠ unknown recipe_id"))</f>
        <v/>
      </c>
      <c r="E1512" s="12" t="str">
        <f aca="false">IF(C1512="","",IFERROR(INDEX('Ingredient Catalog'!$C:$C,MATCH(C1512,'Ingredient Catalog'!$A:$A,0)),"⚠ not in catalog"))</f>
        <v/>
      </c>
      <c r="G1512" s="12" t="str">
        <f aca="false">IF(A1512="","",COUNTIFS('Weekly Log'!$A:$A,'Grocery List'!$B$3,'Weekly Log'!$C:$C,A1512,'Weekly Log'!$E:$E,"Yes"))</f>
        <v/>
      </c>
      <c r="H1512" s="12" t="str">
        <f aca="false">IF(OR(A1512="",D1512=""),"",D1512*G1512)</f>
        <v/>
      </c>
    </row>
    <row r="1513" customFormat="false" ht="15" hidden="false" customHeight="false" outlineLevel="0" collapsed="false">
      <c r="B1513" s="12" t="str">
        <f aca="false">IF(A1513="","",IFERROR(INDEX(Recipes!$B:$B,MATCH(A1513,Recipes!$A:$A,0)),"⚠ unknown recipe_id"))</f>
        <v/>
      </c>
      <c r="E1513" s="12" t="str">
        <f aca="false">IF(C1513="","",IFERROR(INDEX('Ingredient Catalog'!$C:$C,MATCH(C1513,'Ingredient Catalog'!$A:$A,0)),"⚠ not in catalog"))</f>
        <v/>
      </c>
      <c r="G1513" s="12" t="str">
        <f aca="false">IF(A1513="","",COUNTIFS('Weekly Log'!$A:$A,'Grocery List'!$B$3,'Weekly Log'!$C:$C,A1513,'Weekly Log'!$E:$E,"Yes"))</f>
        <v/>
      </c>
      <c r="H1513" s="12" t="str">
        <f aca="false">IF(OR(A1513="",D1513=""),"",D1513*G1513)</f>
        <v/>
      </c>
    </row>
    <row r="1514" customFormat="false" ht="15" hidden="false" customHeight="false" outlineLevel="0" collapsed="false">
      <c r="B1514" s="12" t="str">
        <f aca="false">IF(A1514="","",IFERROR(INDEX(Recipes!$B:$B,MATCH(A1514,Recipes!$A:$A,0)),"⚠ unknown recipe_id"))</f>
        <v/>
      </c>
      <c r="E1514" s="12" t="str">
        <f aca="false">IF(C1514="","",IFERROR(INDEX('Ingredient Catalog'!$C:$C,MATCH(C1514,'Ingredient Catalog'!$A:$A,0)),"⚠ not in catalog"))</f>
        <v/>
      </c>
      <c r="G1514" s="12" t="str">
        <f aca="false">IF(A1514="","",COUNTIFS('Weekly Log'!$A:$A,'Grocery List'!$B$3,'Weekly Log'!$C:$C,A1514,'Weekly Log'!$E:$E,"Yes"))</f>
        <v/>
      </c>
      <c r="H1514" s="12" t="str">
        <f aca="false">IF(OR(A1514="",D1514=""),"",D1514*G1514)</f>
        <v/>
      </c>
    </row>
    <row r="1515" customFormat="false" ht="15" hidden="false" customHeight="false" outlineLevel="0" collapsed="false">
      <c r="B1515" s="12" t="str">
        <f aca="false">IF(A1515="","",IFERROR(INDEX(Recipes!$B:$B,MATCH(A1515,Recipes!$A:$A,0)),"⚠ unknown recipe_id"))</f>
        <v/>
      </c>
      <c r="E1515" s="12" t="str">
        <f aca="false">IF(C1515="","",IFERROR(INDEX('Ingredient Catalog'!$C:$C,MATCH(C1515,'Ingredient Catalog'!$A:$A,0)),"⚠ not in catalog"))</f>
        <v/>
      </c>
      <c r="G1515" s="12" t="str">
        <f aca="false">IF(A1515="","",COUNTIFS('Weekly Log'!$A:$A,'Grocery List'!$B$3,'Weekly Log'!$C:$C,A1515,'Weekly Log'!$E:$E,"Yes"))</f>
        <v/>
      </c>
      <c r="H1515" s="12" t="str">
        <f aca="false">IF(OR(A1515="",D1515=""),"",D1515*G1515)</f>
        <v/>
      </c>
    </row>
    <row r="1516" customFormat="false" ht="15" hidden="false" customHeight="false" outlineLevel="0" collapsed="false">
      <c r="B1516" s="12" t="str">
        <f aca="false">IF(A1516="","",IFERROR(INDEX(Recipes!$B:$B,MATCH(A1516,Recipes!$A:$A,0)),"⚠ unknown recipe_id"))</f>
        <v/>
      </c>
      <c r="E1516" s="12" t="str">
        <f aca="false">IF(C1516="","",IFERROR(INDEX('Ingredient Catalog'!$C:$C,MATCH(C1516,'Ingredient Catalog'!$A:$A,0)),"⚠ not in catalog"))</f>
        <v/>
      </c>
      <c r="G1516" s="12" t="str">
        <f aca="false">IF(A1516="","",COUNTIFS('Weekly Log'!$A:$A,'Grocery List'!$B$3,'Weekly Log'!$C:$C,A1516,'Weekly Log'!$E:$E,"Yes"))</f>
        <v/>
      </c>
      <c r="H1516" s="12" t="str">
        <f aca="false">IF(OR(A1516="",D1516=""),"",D1516*G1516)</f>
        <v/>
      </c>
    </row>
    <row r="1517" customFormat="false" ht="15" hidden="false" customHeight="false" outlineLevel="0" collapsed="false">
      <c r="B1517" s="12" t="str">
        <f aca="false">IF(A1517="","",IFERROR(INDEX(Recipes!$B:$B,MATCH(A1517,Recipes!$A:$A,0)),"⚠ unknown recipe_id"))</f>
        <v/>
      </c>
      <c r="E1517" s="12" t="str">
        <f aca="false">IF(C1517="","",IFERROR(INDEX('Ingredient Catalog'!$C:$C,MATCH(C1517,'Ingredient Catalog'!$A:$A,0)),"⚠ not in catalog"))</f>
        <v/>
      </c>
      <c r="G1517" s="12" t="str">
        <f aca="false">IF(A1517="","",COUNTIFS('Weekly Log'!$A:$A,'Grocery List'!$B$3,'Weekly Log'!$C:$C,A1517,'Weekly Log'!$E:$E,"Yes"))</f>
        <v/>
      </c>
      <c r="H1517" s="12" t="str">
        <f aca="false">IF(OR(A1517="",D1517=""),"",D1517*G1517)</f>
        <v/>
      </c>
    </row>
    <row r="1518" customFormat="false" ht="15" hidden="false" customHeight="false" outlineLevel="0" collapsed="false">
      <c r="B1518" s="12" t="str">
        <f aca="false">IF(A1518="","",IFERROR(INDEX(Recipes!$B:$B,MATCH(A1518,Recipes!$A:$A,0)),"⚠ unknown recipe_id"))</f>
        <v/>
      </c>
      <c r="E1518" s="12" t="str">
        <f aca="false">IF(C1518="","",IFERROR(INDEX('Ingredient Catalog'!$C:$C,MATCH(C1518,'Ingredient Catalog'!$A:$A,0)),"⚠ not in catalog"))</f>
        <v/>
      </c>
      <c r="G1518" s="12" t="str">
        <f aca="false">IF(A1518="","",COUNTIFS('Weekly Log'!$A:$A,'Grocery List'!$B$3,'Weekly Log'!$C:$C,A1518,'Weekly Log'!$E:$E,"Yes"))</f>
        <v/>
      </c>
      <c r="H1518" s="12" t="str">
        <f aca="false">IF(OR(A1518="",D1518=""),"",D1518*G1518)</f>
        <v/>
      </c>
    </row>
    <row r="1519" customFormat="false" ht="15" hidden="false" customHeight="false" outlineLevel="0" collapsed="false">
      <c r="B1519" s="12" t="str">
        <f aca="false">IF(A1519="","",IFERROR(INDEX(Recipes!$B:$B,MATCH(A1519,Recipes!$A:$A,0)),"⚠ unknown recipe_id"))</f>
        <v/>
      </c>
      <c r="E1519" s="12" t="str">
        <f aca="false">IF(C1519="","",IFERROR(INDEX('Ingredient Catalog'!$C:$C,MATCH(C1519,'Ingredient Catalog'!$A:$A,0)),"⚠ not in catalog"))</f>
        <v/>
      </c>
      <c r="G1519" s="12" t="str">
        <f aca="false">IF(A1519="","",COUNTIFS('Weekly Log'!$A:$A,'Grocery List'!$B$3,'Weekly Log'!$C:$C,A1519,'Weekly Log'!$E:$E,"Yes"))</f>
        <v/>
      </c>
      <c r="H1519" s="12" t="str">
        <f aca="false">IF(OR(A1519="",D1519=""),"",D1519*G1519)</f>
        <v/>
      </c>
    </row>
    <row r="1520" customFormat="false" ht="15" hidden="false" customHeight="false" outlineLevel="0" collapsed="false">
      <c r="B1520" s="12" t="str">
        <f aca="false">IF(A1520="","",IFERROR(INDEX(Recipes!$B:$B,MATCH(A1520,Recipes!$A:$A,0)),"⚠ unknown recipe_id"))</f>
        <v/>
      </c>
      <c r="E1520" s="12" t="str">
        <f aca="false">IF(C1520="","",IFERROR(INDEX('Ingredient Catalog'!$C:$C,MATCH(C1520,'Ingredient Catalog'!$A:$A,0)),"⚠ not in catalog"))</f>
        <v/>
      </c>
      <c r="G1520" s="12" t="str">
        <f aca="false">IF(A1520="","",COUNTIFS('Weekly Log'!$A:$A,'Grocery List'!$B$3,'Weekly Log'!$C:$C,A1520,'Weekly Log'!$E:$E,"Yes"))</f>
        <v/>
      </c>
      <c r="H1520" s="12" t="str">
        <f aca="false">IF(OR(A1520="",D1520=""),"",D1520*G1520)</f>
        <v/>
      </c>
    </row>
    <row r="1521" customFormat="false" ht="15" hidden="false" customHeight="false" outlineLevel="0" collapsed="false">
      <c r="B1521" s="12" t="str">
        <f aca="false">IF(A1521="","",IFERROR(INDEX(Recipes!$B:$B,MATCH(A1521,Recipes!$A:$A,0)),"⚠ unknown recipe_id"))</f>
        <v/>
      </c>
      <c r="E1521" s="12" t="str">
        <f aca="false">IF(C1521="","",IFERROR(INDEX('Ingredient Catalog'!$C:$C,MATCH(C1521,'Ingredient Catalog'!$A:$A,0)),"⚠ not in catalog"))</f>
        <v/>
      </c>
      <c r="G1521" s="12" t="str">
        <f aca="false">IF(A1521="","",COUNTIFS('Weekly Log'!$A:$A,'Grocery List'!$B$3,'Weekly Log'!$C:$C,A1521,'Weekly Log'!$E:$E,"Yes"))</f>
        <v/>
      </c>
      <c r="H1521" s="12" t="str">
        <f aca="false">IF(OR(A1521="",D1521=""),"",D1521*G1521)</f>
        <v/>
      </c>
    </row>
    <row r="1522" customFormat="false" ht="15" hidden="false" customHeight="false" outlineLevel="0" collapsed="false">
      <c r="B1522" s="12" t="str">
        <f aca="false">IF(A1522="","",IFERROR(INDEX(Recipes!$B:$B,MATCH(A1522,Recipes!$A:$A,0)),"⚠ unknown recipe_id"))</f>
        <v/>
      </c>
      <c r="E1522" s="12" t="str">
        <f aca="false">IF(C1522="","",IFERROR(INDEX('Ingredient Catalog'!$C:$C,MATCH(C1522,'Ingredient Catalog'!$A:$A,0)),"⚠ not in catalog"))</f>
        <v/>
      </c>
      <c r="G1522" s="12" t="str">
        <f aca="false">IF(A1522="","",COUNTIFS('Weekly Log'!$A:$A,'Grocery List'!$B$3,'Weekly Log'!$C:$C,A1522,'Weekly Log'!$E:$E,"Yes"))</f>
        <v/>
      </c>
      <c r="H1522" s="12" t="str">
        <f aca="false">IF(OR(A1522="",D1522=""),"",D1522*G1522)</f>
        <v/>
      </c>
    </row>
    <row r="1523" customFormat="false" ht="15" hidden="false" customHeight="false" outlineLevel="0" collapsed="false">
      <c r="B1523" s="12" t="str">
        <f aca="false">IF(A1523="","",IFERROR(INDEX(Recipes!$B:$B,MATCH(A1523,Recipes!$A:$A,0)),"⚠ unknown recipe_id"))</f>
        <v/>
      </c>
      <c r="E1523" s="12" t="str">
        <f aca="false">IF(C1523="","",IFERROR(INDEX('Ingredient Catalog'!$C:$C,MATCH(C1523,'Ingredient Catalog'!$A:$A,0)),"⚠ not in catalog"))</f>
        <v/>
      </c>
      <c r="G1523" s="12" t="str">
        <f aca="false">IF(A1523="","",COUNTIFS('Weekly Log'!$A:$A,'Grocery List'!$B$3,'Weekly Log'!$C:$C,A1523,'Weekly Log'!$E:$E,"Yes"))</f>
        <v/>
      </c>
      <c r="H1523" s="12" t="str">
        <f aca="false">IF(OR(A1523="",D1523=""),"",D1523*G1523)</f>
        <v/>
      </c>
    </row>
    <row r="1524" customFormat="false" ht="15" hidden="false" customHeight="false" outlineLevel="0" collapsed="false">
      <c r="B1524" s="12" t="str">
        <f aca="false">IF(A1524="","",IFERROR(INDEX(Recipes!$B:$B,MATCH(A1524,Recipes!$A:$A,0)),"⚠ unknown recipe_id"))</f>
        <v/>
      </c>
      <c r="E1524" s="12" t="str">
        <f aca="false">IF(C1524="","",IFERROR(INDEX('Ingredient Catalog'!$C:$C,MATCH(C1524,'Ingredient Catalog'!$A:$A,0)),"⚠ not in catalog"))</f>
        <v/>
      </c>
      <c r="G1524" s="12" t="str">
        <f aca="false">IF(A1524="","",COUNTIFS('Weekly Log'!$A:$A,'Grocery List'!$B$3,'Weekly Log'!$C:$C,A1524,'Weekly Log'!$E:$E,"Yes"))</f>
        <v/>
      </c>
      <c r="H1524" s="12" t="str">
        <f aca="false">IF(OR(A1524="",D1524=""),"",D1524*G1524)</f>
        <v/>
      </c>
    </row>
    <row r="1525" customFormat="false" ht="15" hidden="false" customHeight="false" outlineLevel="0" collapsed="false">
      <c r="B1525" s="12" t="str">
        <f aca="false">IF(A1525="","",IFERROR(INDEX(Recipes!$B:$B,MATCH(A1525,Recipes!$A:$A,0)),"⚠ unknown recipe_id"))</f>
        <v/>
      </c>
      <c r="E1525" s="12" t="str">
        <f aca="false">IF(C1525="","",IFERROR(INDEX('Ingredient Catalog'!$C:$C,MATCH(C1525,'Ingredient Catalog'!$A:$A,0)),"⚠ not in catalog"))</f>
        <v/>
      </c>
      <c r="G1525" s="12" t="str">
        <f aca="false">IF(A1525="","",COUNTIFS('Weekly Log'!$A:$A,'Grocery List'!$B$3,'Weekly Log'!$C:$C,A1525,'Weekly Log'!$E:$E,"Yes"))</f>
        <v/>
      </c>
      <c r="H1525" s="12" t="str">
        <f aca="false">IF(OR(A1525="",D1525=""),"",D1525*G1525)</f>
        <v/>
      </c>
    </row>
    <row r="1526" customFormat="false" ht="15" hidden="false" customHeight="false" outlineLevel="0" collapsed="false">
      <c r="B1526" s="12" t="str">
        <f aca="false">IF(A1526="","",IFERROR(INDEX(Recipes!$B:$B,MATCH(A1526,Recipes!$A:$A,0)),"⚠ unknown recipe_id"))</f>
        <v/>
      </c>
      <c r="E1526" s="12" t="str">
        <f aca="false">IF(C1526="","",IFERROR(INDEX('Ingredient Catalog'!$C:$C,MATCH(C1526,'Ingredient Catalog'!$A:$A,0)),"⚠ not in catalog"))</f>
        <v/>
      </c>
      <c r="G1526" s="12" t="str">
        <f aca="false">IF(A1526="","",COUNTIFS('Weekly Log'!$A:$A,'Grocery List'!$B$3,'Weekly Log'!$C:$C,A1526,'Weekly Log'!$E:$E,"Yes"))</f>
        <v/>
      </c>
      <c r="H1526" s="12" t="str">
        <f aca="false">IF(OR(A1526="",D1526=""),"",D1526*G1526)</f>
        <v/>
      </c>
    </row>
    <row r="1527" customFormat="false" ht="15" hidden="false" customHeight="false" outlineLevel="0" collapsed="false">
      <c r="B1527" s="12" t="str">
        <f aca="false">IF(A1527="","",IFERROR(INDEX(Recipes!$B:$B,MATCH(A1527,Recipes!$A:$A,0)),"⚠ unknown recipe_id"))</f>
        <v/>
      </c>
      <c r="E1527" s="12" t="str">
        <f aca="false">IF(C1527="","",IFERROR(INDEX('Ingredient Catalog'!$C:$C,MATCH(C1527,'Ingredient Catalog'!$A:$A,0)),"⚠ not in catalog"))</f>
        <v/>
      </c>
      <c r="G1527" s="12" t="str">
        <f aca="false">IF(A1527="","",COUNTIFS('Weekly Log'!$A:$A,'Grocery List'!$B$3,'Weekly Log'!$C:$C,A1527,'Weekly Log'!$E:$E,"Yes"))</f>
        <v/>
      </c>
      <c r="H1527" s="12" t="str">
        <f aca="false">IF(OR(A1527="",D1527=""),"",D1527*G1527)</f>
        <v/>
      </c>
    </row>
    <row r="1528" customFormat="false" ht="15" hidden="false" customHeight="false" outlineLevel="0" collapsed="false">
      <c r="B1528" s="12" t="str">
        <f aca="false">IF(A1528="","",IFERROR(INDEX(Recipes!$B:$B,MATCH(A1528,Recipes!$A:$A,0)),"⚠ unknown recipe_id"))</f>
        <v/>
      </c>
      <c r="E1528" s="12" t="str">
        <f aca="false">IF(C1528="","",IFERROR(INDEX('Ingredient Catalog'!$C:$C,MATCH(C1528,'Ingredient Catalog'!$A:$A,0)),"⚠ not in catalog"))</f>
        <v/>
      </c>
      <c r="G1528" s="12" t="str">
        <f aca="false">IF(A1528="","",COUNTIFS('Weekly Log'!$A:$A,'Grocery List'!$B$3,'Weekly Log'!$C:$C,A1528,'Weekly Log'!$E:$E,"Yes"))</f>
        <v/>
      </c>
      <c r="H1528" s="12" t="str">
        <f aca="false">IF(OR(A1528="",D1528=""),"",D1528*G1528)</f>
        <v/>
      </c>
    </row>
    <row r="1529" customFormat="false" ht="15" hidden="false" customHeight="false" outlineLevel="0" collapsed="false">
      <c r="B1529" s="12" t="str">
        <f aca="false">IF(A1529="","",IFERROR(INDEX(Recipes!$B:$B,MATCH(A1529,Recipes!$A:$A,0)),"⚠ unknown recipe_id"))</f>
        <v/>
      </c>
      <c r="E1529" s="12" t="str">
        <f aca="false">IF(C1529="","",IFERROR(INDEX('Ingredient Catalog'!$C:$C,MATCH(C1529,'Ingredient Catalog'!$A:$A,0)),"⚠ not in catalog"))</f>
        <v/>
      </c>
      <c r="G1529" s="12" t="str">
        <f aca="false">IF(A1529="","",COUNTIFS('Weekly Log'!$A:$A,'Grocery List'!$B$3,'Weekly Log'!$C:$C,A1529,'Weekly Log'!$E:$E,"Yes"))</f>
        <v/>
      </c>
      <c r="H1529" s="12" t="str">
        <f aca="false">IF(OR(A1529="",D1529=""),"",D1529*G1529)</f>
        <v/>
      </c>
    </row>
    <row r="1530" customFormat="false" ht="15" hidden="false" customHeight="false" outlineLevel="0" collapsed="false">
      <c r="B1530" s="12" t="str">
        <f aca="false">IF(A1530="","",IFERROR(INDEX(Recipes!$B:$B,MATCH(A1530,Recipes!$A:$A,0)),"⚠ unknown recipe_id"))</f>
        <v/>
      </c>
      <c r="E1530" s="12" t="str">
        <f aca="false">IF(C1530="","",IFERROR(INDEX('Ingredient Catalog'!$C:$C,MATCH(C1530,'Ingredient Catalog'!$A:$A,0)),"⚠ not in catalog"))</f>
        <v/>
      </c>
      <c r="G1530" s="12" t="str">
        <f aca="false">IF(A1530="","",COUNTIFS('Weekly Log'!$A:$A,'Grocery List'!$B$3,'Weekly Log'!$C:$C,A1530,'Weekly Log'!$E:$E,"Yes"))</f>
        <v/>
      </c>
      <c r="H1530" s="12" t="str">
        <f aca="false">IF(OR(A1530="",D1530=""),"",D1530*G1530)</f>
        <v/>
      </c>
    </row>
    <row r="1531" customFormat="false" ht="15" hidden="false" customHeight="false" outlineLevel="0" collapsed="false">
      <c r="B1531" s="12" t="str">
        <f aca="false">IF(A1531="","",IFERROR(INDEX(Recipes!$B:$B,MATCH(A1531,Recipes!$A:$A,0)),"⚠ unknown recipe_id"))</f>
        <v/>
      </c>
      <c r="E1531" s="12" t="str">
        <f aca="false">IF(C1531="","",IFERROR(INDEX('Ingredient Catalog'!$C:$C,MATCH(C1531,'Ingredient Catalog'!$A:$A,0)),"⚠ not in catalog"))</f>
        <v/>
      </c>
      <c r="G1531" s="12" t="str">
        <f aca="false">IF(A1531="","",COUNTIFS('Weekly Log'!$A:$A,'Grocery List'!$B$3,'Weekly Log'!$C:$C,A1531,'Weekly Log'!$E:$E,"Yes"))</f>
        <v/>
      </c>
      <c r="H1531" s="12" t="str">
        <f aca="false">IF(OR(A1531="",D1531=""),"",D1531*G1531)</f>
        <v/>
      </c>
    </row>
    <row r="1532" customFormat="false" ht="15" hidden="false" customHeight="false" outlineLevel="0" collapsed="false">
      <c r="B1532" s="12" t="str">
        <f aca="false">IF(A1532="","",IFERROR(INDEX(Recipes!$B:$B,MATCH(A1532,Recipes!$A:$A,0)),"⚠ unknown recipe_id"))</f>
        <v/>
      </c>
      <c r="E1532" s="12" t="str">
        <f aca="false">IF(C1532="","",IFERROR(INDEX('Ingredient Catalog'!$C:$C,MATCH(C1532,'Ingredient Catalog'!$A:$A,0)),"⚠ not in catalog"))</f>
        <v/>
      </c>
      <c r="G1532" s="12" t="str">
        <f aca="false">IF(A1532="","",COUNTIFS('Weekly Log'!$A:$A,'Grocery List'!$B$3,'Weekly Log'!$C:$C,A1532,'Weekly Log'!$E:$E,"Yes"))</f>
        <v/>
      </c>
      <c r="H1532" s="12" t="str">
        <f aca="false">IF(OR(A1532="",D1532=""),"",D1532*G1532)</f>
        <v/>
      </c>
    </row>
    <row r="1533" customFormat="false" ht="15" hidden="false" customHeight="false" outlineLevel="0" collapsed="false">
      <c r="B1533" s="12" t="str">
        <f aca="false">IF(A1533="","",IFERROR(INDEX(Recipes!$B:$B,MATCH(A1533,Recipes!$A:$A,0)),"⚠ unknown recipe_id"))</f>
        <v/>
      </c>
      <c r="E1533" s="12" t="str">
        <f aca="false">IF(C1533="","",IFERROR(INDEX('Ingredient Catalog'!$C:$C,MATCH(C1533,'Ingredient Catalog'!$A:$A,0)),"⚠ not in catalog"))</f>
        <v/>
      </c>
      <c r="G1533" s="12" t="str">
        <f aca="false">IF(A1533="","",COUNTIFS('Weekly Log'!$A:$A,'Grocery List'!$B$3,'Weekly Log'!$C:$C,A1533,'Weekly Log'!$E:$E,"Yes"))</f>
        <v/>
      </c>
      <c r="H1533" s="12" t="str">
        <f aca="false">IF(OR(A1533="",D1533=""),"",D1533*G1533)</f>
        <v/>
      </c>
    </row>
    <row r="1534" customFormat="false" ht="15" hidden="false" customHeight="false" outlineLevel="0" collapsed="false">
      <c r="B1534" s="12" t="str">
        <f aca="false">IF(A1534="","",IFERROR(INDEX(Recipes!$B:$B,MATCH(A1534,Recipes!$A:$A,0)),"⚠ unknown recipe_id"))</f>
        <v/>
      </c>
      <c r="E1534" s="12" t="str">
        <f aca="false">IF(C1534="","",IFERROR(INDEX('Ingredient Catalog'!$C:$C,MATCH(C1534,'Ingredient Catalog'!$A:$A,0)),"⚠ not in catalog"))</f>
        <v/>
      </c>
      <c r="G1534" s="12" t="str">
        <f aca="false">IF(A1534="","",COUNTIFS('Weekly Log'!$A:$A,'Grocery List'!$B$3,'Weekly Log'!$C:$C,A1534,'Weekly Log'!$E:$E,"Yes"))</f>
        <v/>
      </c>
      <c r="H1534" s="12" t="str">
        <f aca="false">IF(OR(A1534="",D1534=""),"",D1534*G1534)</f>
        <v/>
      </c>
    </row>
    <row r="1535" customFormat="false" ht="15" hidden="false" customHeight="false" outlineLevel="0" collapsed="false">
      <c r="B1535" s="12" t="str">
        <f aca="false">IF(A1535="","",IFERROR(INDEX(Recipes!$B:$B,MATCH(A1535,Recipes!$A:$A,0)),"⚠ unknown recipe_id"))</f>
        <v/>
      </c>
      <c r="E1535" s="12" t="str">
        <f aca="false">IF(C1535="","",IFERROR(INDEX('Ingredient Catalog'!$C:$C,MATCH(C1535,'Ingredient Catalog'!$A:$A,0)),"⚠ not in catalog"))</f>
        <v/>
      </c>
      <c r="G1535" s="12" t="str">
        <f aca="false">IF(A1535="","",COUNTIFS('Weekly Log'!$A:$A,'Grocery List'!$B$3,'Weekly Log'!$C:$C,A1535,'Weekly Log'!$E:$E,"Yes"))</f>
        <v/>
      </c>
      <c r="H1535" s="12" t="str">
        <f aca="false">IF(OR(A1535="",D1535=""),"",D1535*G1535)</f>
        <v/>
      </c>
    </row>
    <row r="1536" customFormat="false" ht="15" hidden="false" customHeight="false" outlineLevel="0" collapsed="false">
      <c r="B1536" s="12" t="str">
        <f aca="false">IF(A1536="","",IFERROR(INDEX(Recipes!$B:$B,MATCH(A1536,Recipes!$A:$A,0)),"⚠ unknown recipe_id"))</f>
        <v/>
      </c>
      <c r="E1536" s="12" t="str">
        <f aca="false">IF(C1536="","",IFERROR(INDEX('Ingredient Catalog'!$C:$C,MATCH(C1536,'Ingredient Catalog'!$A:$A,0)),"⚠ not in catalog"))</f>
        <v/>
      </c>
      <c r="G1536" s="12" t="str">
        <f aca="false">IF(A1536="","",COUNTIFS('Weekly Log'!$A:$A,'Grocery List'!$B$3,'Weekly Log'!$C:$C,A1536,'Weekly Log'!$E:$E,"Yes"))</f>
        <v/>
      </c>
      <c r="H1536" s="12" t="str">
        <f aca="false">IF(OR(A1536="",D1536=""),"",D1536*G1536)</f>
        <v/>
      </c>
    </row>
    <row r="1537" customFormat="false" ht="15" hidden="false" customHeight="false" outlineLevel="0" collapsed="false">
      <c r="B1537" s="12" t="str">
        <f aca="false">IF(A1537="","",IFERROR(INDEX(Recipes!$B:$B,MATCH(A1537,Recipes!$A:$A,0)),"⚠ unknown recipe_id"))</f>
        <v/>
      </c>
      <c r="E1537" s="12" t="str">
        <f aca="false">IF(C1537="","",IFERROR(INDEX('Ingredient Catalog'!$C:$C,MATCH(C1537,'Ingredient Catalog'!$A:$A,0)),"⚠ not in catalog"))</f>
        <v/>
      </c>
      <c r="G1537" s="12" t="str">
        <f aca="false">IF(A1537="","",COUNTIFS('Weekly Log'!$A:$A,'Grocery List'!$B$3,'Weekly Log'!$C:$C,A1537,'Weekly Log'!$E:$E,"Yes"))</f>
        <v/>
      </c>
      <c r="H1537" s="12" t="str">
        <f aca="false">IF(OR(A1537="",D1537=""),"",D1537*G1537)</f>
        <v/>
      </c>
    </row>
    <row r="1538" customFormat="false" ht="15" hidden="false" customHeight="false" outlineLevel="0" collapsed="false">
      <c r="B1538" s="12" t="str">
        <f aca="false">IF(A1538="","",IFERROR(INDEX(Recipes!$B:$B,MATCH(A1538,Recipes!$A:$A,0)),"⚠ unknown recipe_id"))</f>
        <v/>
      </c>
      <c r="E1538" s="12" t="str">
        <f aca="false">IF(C1538="","",IFERROR(INDEX('Ingredient Catalog'!$C:$C,MATCH(C1538,'Ingredient Catalog'!$A:$A,0)),"⚠ not in catalog"))</f>
        <v/>
      </c>
      <c r="G1538" s="12" t="str">
        <f aca="false">IF(A1538="","",COUNTIFS('Weekly Log'!$A:$A,'Grocery List'!$B$3,'Weekly Log'!$C:$C,A1538,'Weekly Log'!$E:$E,"Yes"))</f>
        <v/>
      </c>
      <c r="H1538" s="12" t="str">
        <f aca="false">IF(OR(A1538="",D1538=""),"",D1538*G1538)</f>
        <v/>
      </c>
    </row>
    <row r="1539" customFormat="false" ht="15" hidden="false" customHeight="false" outlineLevel="0" collapsed="false">
      <c r="B1539" s="12" t="str">
        <f aca="false">IF(A1539="","",IFERROR(INDEX(Recipes!$B:$B,MATCH(A1539,Recipes!$A:$A,0)),"⚠ unknown recipe_id"))</f>
        <v/>
      </c>
      <c r="E1539" s="12" t="str">
        <f aca="false">IF(C1539="","",IFERROR(INDEX('Ingredient Catalog'!$C:$C,MATCH(C1539,'Ingredient Catalog'!$A:$A,0)),"⚠ not in catalog"))</f>
        <v/>
      </c>
      <c r="G1539" s="12" t="str">
        <f aca="false">IF(A1539="","",COUNTIFS('Weekly Log'!$A:$A,'Grocery List'!$B$3,'Weekly Log'!$C:$C,A1539,'Weekly Log'!$E:$E,"Yes"))</f>
        <v/>
      </c>
      <c r="H1539" s="12" t="str">
        <f aca="false">IF(OR(A1539="",D1539=""),"",D1539*G1539)</f>
        <v/>
      </c>
    </row>
    <row r="1540" customFormat="false" ht="15" hidden="false" customHeight="false" outlineLevel="0" collapsed="false">
      <c r="B1540" s="12" t="str">
        <f aca="false">IF(A1540="","",IFERROR(INDEX(Recipes!$B:$B,MATCH(A1540,Recipes!$A:$A,0)),"⚠ unknown recipe_id"))</f>
        <v/>
      </c>
      <c r="E1540" s="12" t="str">
        <f aca="false">IF(C1540="","",IFERROR(INDEX('Ingredient Catalog'!$C:$C,MATCH(C1540,'Ingredient Catalog'!$A:$A,0)),"⚠ not in catalog"))</f>
        <v/>
      </c>
      <c r="G1540" s="12" t="str">
        <f aca="false">IF(A1540="","",COUNTIFS('Weekly Log'!$A:$A,'Grocery List'!$B$3,'Weekly Log'!$C:$C,A1540,'Weekly Log'!$E:$E,"Yes"))</f>
        <v/>
      </c>
      <c r="H1540" s="12" t="str">
        <f aca="false">IF(OR(A1540="",D1540=""),"",D1540*G1540)</f>
        <v/>
      </c>
    </row>
    <row r="1541" customFormat="false" ht="15" hidden="false" customHeight="false" outlineLevel="0" collapsed="false">
      <c r="B1541" s="12" t="str">
        <f aca="false">IF(A1541="","",IFERROR(INDEX(Recipes!$B:$B,MATCH(A1541,Recipes!$A:$A,0)),"⚠ unknown recipe_id"))</f>
        <v/>
      </c>
      <c r="E1541" s="12" t="str">
        <f aca="false">IF(C1541="","",IFERROR(INDEX('Ingredient Catalog'!$C:$C,MATCH(C1541,'Ingredient Catalog'!$A:$A,0)),"⚠ not in catalog"))</f>
        <v/>
      </c>
      <c r="G1541" s="12" t="str">
        <f aca="false">IF(A1541="","",COUNTIFS('Weekly Log'!$A:$A,'Grocery List'!$B$3,'Weekly Log'!$C:$C,A1541,'Weekly Log'!$E:$E,"Yes"))</f>
        <v/>
      </c>
      <c r="H1541" s="12" t="str">
        <f aca="false">IF(OR(A1541="",D1541=""),"",D1541*G1541)</f>
        <v/>
      </c>
    </row>
    <row r="1542" customFormat="false" ht="15" hidden="false" customHeight="false" outlineLevel="0" collapsed="false">
      <c r="B1542" s="12" t="str">
        <f aca="false">IF(A1542="","",IFERROR(INDEX(Recipes!$B:$B,MATCH(A1542,Recipes!$A:$A,0)),"⚠ unknown recipe_id"))</f>
        <v/>
      </c>
      <c r="E1542" s="12" t="str">
        <f aca="false">IF(C1542="","",IFERROR(INDEX('Ingredient Catalog'!$C:$C,MATCH(C1542,'Ingredient Catalog'!$A:$A,0)),"⚠ not in catalog"))</f>
        <v/>
      </c>
      <c r="G1542" s="12" t="str">
        <f aca="false">IF(A1542="","",COUNTIFS('Weekly Log'!$A:$A,'Grocery List'!$B$3,'Weekly Log'!$C:$C,A1542,'Weekly Log'!$E:$E,"Yes"))</f>
        <v/>
      </c>
      <c r="H1542" s="12" t="str">
        <f aca="false">IF(OR(A1542="",D1542=""),"",D1542*G1542)</f>
        <v/>
      </c>
    </row>
    <row r="1543" customFormat="false" ht="15" hidden="false" customHeight="false" outlineLevel="0" collapsed="false">
      <c r="B1543" s="12" t="str">
        <f aca="false">IF(A1543="","",IFERROR(INDEX(Recipes!$B:$B,MATCH(A1543,Recipes!$A:$A,0)),"⚠ unknown recipe_id"))</f>
        <v/>
      </c>
      <c r="E1543" s="12" t="str">
        <f aca="false">IF(C1543="","",IFERROR(INDEX('Ingredient Catalog'!$C:$C,MATCH(C1543,'Ingredient Catalog'!$A:$A,0)),"⚠ not in catalog"))</f>
        <v/>
      </c>
      <c r="G1543" s="12" t="str">
        <f aca="false">IF(A1543="","",COUNTIFS('Weekly Log'!$A:$A,'Grocery List'!$B$3,'Weekly Log'!$C:$C,A1543,'Weekly Log'!$E:$E,"Yes"))</f>
        <v/>
      </c>
      <c r="H1543" s="12" t="str">
        <f aca="false">IF(OR(A1543="",D1543=""),"",D1543*G1543)</f>
        <v/>
      </c>
    </row>
    <row r="1544" customFormat="false" ht="15" hidden="false" customHeight="false" outlineLevel="0" collapsed="false">
      <c r="B1544" s="12" t="str">
        <f aca="false">IF(A1544="","",IFERROR(INDEX(Recipes!$B:$B,MATCH(A1544,Recipes!$A:$A,0)),"⚠ unknown recipe_id"))</f>
        <v/>
      </c>
      <c r="E1544" s="12" t="str">
        <f aca="false">IF(C1544="","",IFERROR(INDEX('Ingredient Catalog'!$C:$C,MATCH(C1544,'Ingredient Catalog'!$A:$A,0)),"⚠ not in catalog"))</f>
        <v/>
      </c>
      <c r="G1544" s="12" t="str">
        <f aca="false">IF(A1544="","",COUNTIFS('Weekly Log'!$A:$A,'Grocery List'!$B$3,'Weekly Log'!$C:$C,A1544,'Weekly Log'!$E:$E,"Yes"))</f>
        <v/>
      </c>
      <c r="H1544" s="12" t="str">
        <f aca="false">IF(OR(A1544="",D1544=""),"",D1544*G1544)</f>
        <v/>
      </c>
    </row>
    <row r="1545" customFormat="false" ht="15" hidden="false" customHeight="false" outlineLevel="0" collapsed="false">
      <c r="B1545" s="12" t="str">
        <f aca="false">IF(A1545="","",IFERROR(INDEX(Recipes!$B:$B,MATCH(A1545,Recipes!$A:$A,0)),"⚠ unknown recipe_id"))</f>
        <v/>
      </c>
      <c r="E1545" s="12" t="str">
        <f aca="false">IF(C1545="","",IFERROR(INDEX('Ingredient Catalog'!$C:$C,MATCH(C1545,'Ingredient Catalog'!$A:$A,0)),"⚠ not in catalog"))</f>
        <v/>
      </c>
      <c r="G1545" s="12" t="str">
        <f aca="false">IF(A1545="","",COUNTIFS('Weekly Log'!$A:$A,'Grocery List'!$B$3,'Weekly Log'!$C:$C,A1545,'Weekly Log'!$E:$E,"Yes"))</f>
        <v/>
      </c>
      <c r="H1545" s="12" t="str">
        <f aca="false">IF(OR(A1545="",D1545=""),"",D1545*G1545)</f>
        <v/>
      </c>
    </row>
    <row r="1546" customFormat="false" ht="15" hidden="false" customHeight="false" outlineLevel="0" collapsed="false">
      <c r="B1546" s="12" t="str">
        <f aca="false">IF(A1546="","",IFERROR(INDEX(Recipes!$B:$B,MATCH(A1546,Recipes!$A:$A,0)),"⚠ unknown recipe_id"))</f>
        <v/>
      </c>
      <c r="E1546" s="12" t="str">
        <f aca="false">IF(C1546="","",IFERROR(INDEX('Ingredient Catalog'!$C:$C,MATCH(C1546,'Ingredient Catalog'!$A:$A,0)),"⚠ not in catalog"))</f>
        <v/>
      </c>
      <c r="G1546" s="12" t="str">
        <f aca="false">IF(A1546="","",COUNTIFS('Weekly Log'!$A:$A,'Grocery List'!$B$3,'Weekly Log'!$C:$C,A1546,'Weekly Log'!$E:$E,"Yes"))</f>
        <v/>
      </c>
      <c r="H1546" s="12" t="str">
        <f aca="false">IF(OR(A1546="",D1546=""),"",D1546*G1546)</f>
        <v/>
      </c>
    </row>
    <row r="1547" customFormat="false" ht="15" hidden="false" customHeight="false" outlineLevel="0" collapsed="false">
      <c r="B1547" s="12" t="str">
        <f aca="false">IF(A1547="","",IFERROR(INDEX(Recipes!$B:$B,MATCH(A1547,Recipes!$A:$A,0)),"⚠ unknown recipe_id"))</f>
        <v/>
      </c>
      <c r="E1547" s="12" t="str">
        <f aca="false">IF(C1547="","",IFERROR(INDEX('Ingredient Catalog'!$C:$C,MATCH(C1547,'Ingredient Catalog'!$A:$A,0)),"⚠ not in catalog"))</f>
        <v/>
      </c>
      <c r="G1547" s="12" t="str">
        <f aca="false">IF(A1547="","",COUNTIFS('Weekly Log'!$A:$A,'Grocery List'!$B$3,'Weekly Log'!$C:$C,A1547,'Weekly Log'!$E:$E,"Yes"))</f>
        <v/>
      </c>
      <c r="H1547" s="12" t="str">
        <f aca="false">IF(OR(A1547="",D1547=""),"",D1547*G1547)</f>
        <v/>
      </c>
    </row>
    <row r="1548" customFormat="false" ht="15" hidden="false" customHeight="false" outlineLevel="0" collapsed="false">
      <c r="B1548" s="12" t="str">
        <f aca="false">IF(A1548="","",IFERROR(INDEX(Recipes!$B:$B,MATCH(A1548,Recipes!$A:$A,0)),"⚠ unknown recipe_id"))</f>
        <v/>
      </c>
      <c r="E1548" s="12" t="str">
        <f aca="false">IF(C1548="","",IFERROR(INDEX('Ingredient Catalog'!$C:$C,MATCH(C1548,'Ingredient Catalog'!$A:$A,0)),"⚠ not in catalog"))</f>
        <v/>
      </c>
      <c r="G1548" s="12" t="str">
        <f aca="false">IF(A1548="","",COUNTIFS('Weekly Log'!$A:$A,'Grocery List'!$B$3,'Weekly Log'!$C:$C,A1548,'Weekly Log'!$E:$E,"Yes"))</f>
        <v/>
      </c>
      <c r="H1548" s="12" t="str">
        <f aca="false">IF(OR(A1548="",D1548=""),"",D1548*G1548)</f>
        <v/>
      </c>
    </row>
    <row r="1549" customFormat="false" ht="15" hidden="false" customHeight="false" outlineLevel="0" collapsed="false">
      <c r="B1549" s="12" t="str">
        <f aca="false">IF(A1549="","",IFERROR(INDEX(Recipes!$B:$B,MATCH(A1549,Recipes!$A:$A,0)),"⚠ unknown recipe_id"))</f>
        <v/>
      </c>
      <c r="E1549" s="12" t="str">
        <f aca="false">IF(C1549="","",IFERROR(INDEX('Ingredient Catalog'!$C:$C,MATCH(C1549,'Ingredient Catalog'!$A:$A,0)),"⚠ not in catalog"))</f>
        <v/>
      </c>
      <c r="G1549" s="12" t="str">
        <f aca="false">IF(A1549="","",COUNTIFS('Weekly Log'!$A:$A,'Grocery List'!$B$3,'Weekly Log'!$C:$C,A1549,'Weekly Log'!$E:$E,"Yes"))</f>
        <v/>
      </c>
      <c r="H1549" s="12" t="str">
        <f aca="false">IF(OR(A1549="",D1549=""),"",D1549*G1549)</f>
        <v/>
      </c>
    </row>
    <row r="1550" customFormat="false" ht="15" hidden="false" customHeight="false" outlineLevel="0" collapsed="false">
      <c r="B1550" s="12" t="str">
        <f aca="false">IF(A1550="","",IFERROR(INDEX(Recipes!$B:$B,MATCH(A1550,Recipes!$A:$A,0)),"⚠ unknown recipe_id"))</f>
        <v/>
      </c>
      <c r="E1550" s="12" t="str">
        <f aca="false">IF(C1550="","",IFERROR(INDEX('Ingredient Catalog'!$C:$C,MATCH(C1550,'Ingredient Catalog'!$A:$A,0)),"⚠ not in catalog"))</f>
        <v/>
      </c>
      <c r="G1550" s="12" t="str">
        <f aca="false">IF(A1550="","",COUNTIFS('Weekly Log'!$A:$A,'Grocery List'!$B$3,'Weekly Log'!$C:$C,A1550,'Weekly Log'!$E:$E,"Yes"))</f>
        <v/>
      </c>
      <c r="H1550" s="12" t="str">
        <f aca="false">IF(OR(A1550="",D1550=""),"",D1550*G1550)</f>
        <v/>
      </c>
    </row>
    <row r="1551" customFormat="false" ht="15" hidden="false" customHeight="false" outlineLevel="0" collapsed="false">
      <c r="B1551" s="12" t="str">
        <f aca="false">IF(A1551="","",IFERROR(INDEX(Recipes!$B:$B,MATCH(A1551,Recipes!$A:$A,0)),"⚠ unknown recipe_id"))</f>
        <v/>
      </c>
      <c r="E1551" s="12" t="str">
        <f aca="false">IF(C1551="","",IFERROR(INDEX('Ingredient Catalog'!$C:$C,MATCH(C1551,'Ingredient Catalog'!$A:$A,0)),"⚠ not in catalog"))</f>
        <v/>
      </c>
      <c r="G1551" s="12" t="str">
        <f aca="false">IF(A1551="","",COUNTIFS('Weekly Log'!$A:$A,'Grocery List'!$B$3,'Weekly Log'!$C:$C,A1551,'Weekly Log'!$E:$E,"Yes"))</f>
        <v/>
      </c>
      <c r="H1551" s="12" t="str">
        <f aca="false">IF(OR(A1551="",D1551=""),"",D1551*G1551)</f>
        <v/>
      </c>
    </row>
    <row r="1552" customFormat="false" ht="15" hidden="false" customHeight="false" outlineLevel="0" collapsed="false">
      <c r="B1552" s="12" t="str">
        <f aca="false">IF(A1552="","",IFERROR(INDEX(Recipes!$B:$B,MATCH(A1552,Recipes!$A:$A,0)),"⚠ unknown recipe_id"))</f>
        <v/>
      </c>
      <c r="E1552" s="12" t="str">
        <f aca="false">IF(C1552="","",IFERROR(INDEX('Ingredient Catalog'!$C:$C,MATCH(C1552,'Ingredient Catalog'!$A:$A,0)),"⚠ not in catalog"))</f>
        <v/>
      </c>
      <c r="G1552" s="12" t="str">
        <f aca="false">IF(A1552="","",COUNTIFS('Weekly Log'!$A:$A,'Grocery List'!$B$3,'Weekly Log'!$C:$C,A1552,'Weekly Log'!$E:$E,"Yes"))</f>
        <v/>
      </c>
      <c r="H1552" s="12" t="str">
        <f aca="false">IF(OR(A1552="",D1552=""),"",D1552*G1552)</f>
        <v/>
      </c>
    </row>
    <row r="1553" customFormat="false" ht="15" hidden="false" customHeight="false" outlineLevel="0" collapsed="false">
      <c r="B1553" s="12" t="str">
        <f aca="false">IF(A1553="","",IFERROR(INDEX(Recipes!$B:$B,MATCH(A1553,Recipes!$A:$A,0)),"⚠ unknown recipe_id"))</f>
        <v/>
      </c>
      <c r="E1553" s="12" t="str">
        <f aca="false">IF(C1553="","",IFERROR(INDEX('Ingredient Catalog'!$C:$C,MATCH(C1553,'Ingredient Catalog'!$A:$A,0)),"⚠ not in catalog"))</f>
        <v/>
      </c>
      <c r="G1553" s="12" t="str">
        <f aca="false">IF(A1553="","",COUNTIFS('Weekly Log'!$A:$A,'Grocery List'!$B$3,'Weekly Log'!$C:$C,A1553,'Weekly Log'!$E:$E,"Yes"))</f>
        <v/>
      </c>
      <c r="H1553" s="12" t="str">
        <f aca="false">IF(OR(A1553="",D1553=""),"",D1553*G1553)</f>
        <v/>
      </c>
    </row>
    <row r="1554" customFormat="false" ht="15" hidden="false" customHeight="false" outlineLevel="0" collapsed="false">
      <c r="B1554" s="12" t="str">
        <f aca="false">IF(A1554="","",IFERROR(INDEX(Recipes!$B:$B,MATCH(A1554,Recipes!$A:$A,0)),"⚠ unknown recipe_id"))</f>
        <v/>
      </c>
      <c r="E1554" s="12" t="str">
        <f aca="false">IF(C1554="","",IFERROR(INDEX('Ingredient Catalog'!$C:$C,MATCH(C1554,'Ingredient Catalog'!$A:$A,0)),"⚠ not in catalog"))</f>
        <v/>
      </c>
      <c r="G1554" s="12" t="str">
        <f aca="false">IF(A1554="","",COUNTIFS('Weekly Log'!$A:$A,'Grocery List'!$B$3,'Weekly Log'!$C:$C,A1554,'Weekly Log'!$E:$E,"Yes"))</f>
        <v/>
      </c>
      <c r="H1554" s="12" t="str">
        <f aca="false">IF(OR(A1554="",D1554=""),"",D1554*G1554)</f>
        <v/>
      </c>
    </row>
    <row r="1555" customFormat="false" ht="15" hidden="false" customHeight="false" outlineLevel="0" collapsed="false">
      <c r="B1555" s="12" t="str">
        <f aca="false">IF(A1555="","",IFERROR(INDEX(Recipes!$B:$B,MATCH(A1555,Recipes!$A:$A,0)),"⚠ unknown recipe_id"))</f>
        <v/>
      </c>
      <c r="E1555" s="12" t="str">
        <f aca="false">IF(C1555="","",IFERROR(INDEX('Ingredient Catalog'!$C:$C,MATCH(C1555,'Ingredient Catalog'!$A:$A,0)),"⚠ not in catalog"))</f>
        <v/>
      </c>
      <c r="G1555" s="12" t="str">
        <f aca="false">IF(A1555="","",COUNTIFS('Weekly Log'!$A:$A,'Grocery List'!$B$3,'Weekly Log'!$C:$C,A1555,'Weekly Log'!$E:$E,"Yes"))</f>
        <v/>
      </c>
      <c r="H1555" s="12" t="str">
        <f aca="false">IF(OR(A1555="",D1555=""),"",D1555*G1555)</f>
        <v/>
      </c>
    </row>
    <row r="1556" customFormat="false" ht="15" hidden="false" customHeight="false" outlineLevel="0" collapsed="false">
      <c r="B1556" s="12" t="str">
        <f aca="false">IF(A1556="","",IFERROR(INDEX(Recipes!$B:$B,MATCH(A1556,Recipes!$A:$A,0)),"⚠ unknown recipe_id"))</f>
        <v/>
      </c>
      <c r="E1556" s="12" t="str">
        <f aca="false">IF(C1556="","",IFERROR(INDEX('Ingredient Catalog'!$C:$C,MATCH(C1556,'Ingredient Catalog'!$A:$A,0)),"⚠ not in catalog"))</f>
        <v/>
      </c>
      <c r="G1556" s="12" t="str">
        <f aca="false">IF(A1556="","",COUNTIFS('Weekly Log'!$A:$A,'Grocery List'!$B$3,'Weekly Log'!$C:$C,A1556,'Weekly Log'!$E:$E,"Yes"))</f>
        <v/>
      </c>
      <c r="H1556" s="12" t="str">
        <f aca="false">IF(OR(A1556="",D1556=""),"",D1556*G1556)</f>
        <v/>
      </c>
    </row>
    <row r="1557" customFormat="false" ht="15" hidden="false" customHeight="false" outlineLevel="0" collapsed="false">
      <c r="B1557" s="12" t="str">
        <f aca="false">IF(A1557="","",IFERROR(INDEX(Recipes!$B:$B,MATCH(A1557,Recipes!$A:$A,0)),"⚠ unknown recipe_id"))</f>
        <v/>
      </c>
      <c r="E1557" s="12" t="str">
        <f aca="false">IF(C1557="","",IFERROR(INDEX('Ingredient Catalog'!$C:$C,MATCH(C1557,'Ingredient Catalog'!$A:$A,0)),"⚠ not in catalog"))</f>
        <v/>
      </c>
      <c r="G1557" s="12" t="str">
        <f aca="false">IF(A1557="","",COUNTIFS('Weekly Log'!$A:$A,'Grocery List'!$B$3,'Weekly Log'!$C:$C,A1557,'Weekly Log'!$E:$E,"Yes"))</f>
        <v/>
      </c>
      <c r="H1557" s="12" t="str">
        <f aca="false">IF(OR(A1557="",D1557=""),"",D1557*G1557)</f>
        <v/>
      </c>
    </row>
    <row r="1558" customFormat="false" ht="15" hidden="false" customHeight="false" outlineLevel="0" collapsed="false">
      <c r="B1558" s="12" t="str">
        <f aca="false">IF(A1558="","",IFERROR(INDEX(Recipes!$B:$B,MATCH(A1558,Recipes!$A:$A,0)),"⚠ unknown recipe_id"))</f>
        <v/>
      </c>
      <c r="E1558" s="12" t="str">
        <f aca="false">IF(C1558="","",IFERROR(INDEX('Ingredient Catalog'!$C:$C,MATCH(C1558,'Ingredient Catalog'!$A:$A,0)),"⚠ not in catalog"))</f>
        <v/>
      </c>
      <c r="G1558" s="12" t="str">
        <f aca="false">IF(A1558="","",COUNTIFS('Weekly Log'!$A:$A,'Grocery List'!$B$3,'Weekly Log'!$C:$C,A1558,'Weekly Log'!$E:$E,"Yes"))</f>
        <v/>
      </c>
      <c r="H1558" s="12" t="str">
        <f aca="false">IF(OR(A1558="",D1558=""),"",D1558*G1558)</f>
        <v/>
      </c>
    </row>
    <row r="1559" customFormat="false" ht="15" hidden="false" customHeight="false" outlineLevel="0" collapsed="false">
      <c r="B1559" s="12" t="str">
        <f aca="false">IF(A1559="","",IFERROR(INDEX(Recipes!$B:$B,MATCH(A1559,Recipes!$A:$A,0)),"⚠ unknown recipe_id"))</f>
        <v/>
      </c>
      <c r="E1559" s="12" t="str">
        <f aca="false">IF(C1559="","",IFERROR(INDEX('Ingredient Catalog'!$C:$C,MATCH(C1559,'Ingredient Catalog'!$A:$A,0)),"⚠ not in catalog"))</f>
        <v/>
      </c>
      <c r="G1559" s="12" t="str">
        <f aca="false">IF(A1559="","",COUNTIFS('Weekly Log'!$A:$A,'Grocery List'!$B$3,'Weekly Log'!$C:$C,A1559,'Weekly Log'!$E:$E,"Yes"))</f>
        <v/>
      </c>
      <c r="H1559" s="12" t="str">
        <f aca="false">IF(OR(A1559="",D1559=""),"",D1559*G1559)</f>
        <v/>
      </c>
    </row>
    <row r="1560" customFormat="false" ht="15" hidden="false" customHeight="false" outlineLevel="0" collapsed="false">
      <c r="B1560" s="12" t="str">
        <f aca="false">IF(A1560="","",IFERROR(INDEX(Recipes!$B:$B,MATCH(A1560,Recipes!$A:$A,0)),"⚠ unknown recipe_id"))</f>
        <v/>
      </c>
      <c r="E1560" s="12" t="str">
        <f aca="false">IF(C1560="","",IFERROR(INDEX('Ingredient Catalog'!$C:$C,MATCH(C1560,'Ingredient Catalog'!$A:$A,0)),"⚠ not in catalog"))</f>
        <v/>
      </c>
      <c r="G1560" s="12" t="str">
        <f aca="false">IF(A1560="","",COUNTIFS('Weekly Log'!$A:$A,'Grocery List'!$B$3,'Weekly Log'!$C:$C,A1560,'Weekly Log'!$E:$E,"Yes"))</f>
        <v/>
      </c>
      <c r="H1560" s="12" t="str">
        <f aca="false">IF(OR(A1560="",D1560=""),"",D1560*G1560)</f>
        <v/>
      </c>
    </row>
    <row r="1561" customFormat="false" ht="15" hidden="false" customHeight="false" outlineLevel="0" collapsed="false">
      <c r="B1561" s="12" t="str">
        <f aca="false">IF(A1561="","",IFERROR(INDEX(Recipes!$B:$B,MATCH(A1561,Recipes!$A:$A,0)),"⚠ unknown recipe_id"))</f>
        <v/>
      </c>
      <c r="E1561" s="12" t="str">
        <f aca="false">IF(C1561="","",IFERROR(INDEX('Ingredient Catalog'!$C:$C,MATCH(C1561,'Ingredient Catalog'!$A:$A,0)),"⚠ not in catalog"))</f>
        <v/>
      </c>
      <c r="G1561" s="12" t="str">
        <f aca="false">IF(A1561="","",COUNTIFS('Weekly Log'!$A:$A,'Grocery List'!$B$3,'Weekly Log'!$C:$C,A1561,'Weekly Log'!$E:$E,"Yes"))</f>
        <v/>
      </c>
      <c r="H1561" s="12" t="str">
        <f aca="false">IF(OR(A1561="",D1561=""),"",D1561*G1561)</f>
        <v/>
      </c>
    </row>
    <row r="1562" customFormat="false" ht="15" hidden="false" customHeight="false" outlineLevel="0" collapsed="false">
      <c r="B1562" s="12" t="str">
        <f aca="false">IF(A1562="","",IFERROR(INDEX(Recipes!$B:$B,MATCH(A1562,Recipes!$A:$A,0)),"⚠ unknown recipe_id"))</f>
        <v/>
      </c>
      <c r="E1562" s="12" t="str">
        <f aca="false">IF(C1562="","",IFERROR(INDEX('Ingredient Catalog'!$C:$C,MATCH(C1562,'Ingredient Catalog'!$A:$A,0)),"⚠ not in catalog"))</f>
        <v/>
      </c>
      <c r="G1562" s="12" t="str">
        <f aca="false">IF(A1562="","",COUNTIFS('Weekly Log'!$A:$A,'Grocery List'!$B$3,'Weekly Log'!$C:$C,A1562,'Weekly Log'!$E:$E,"Yes"))</f>
        <v/>
      </c>
      <c r="H1562" s="12" t="str">
        <f aca="false">IF(OR(A1562="",D1562=""),"",D1562*G1562)</f>
        <v/>
      </c>
    </row>
    <row r="1563" customFormat="false" ht="15" hidden="false" customHeight="false" outlineLevel="0" collapsed="false">
      <c r="B1563" s="12" t="str">
        <f aca="false">IF(A1563="","",IFERROR(INDEX(Recipes!$B:$B,MATCH(A1563,Recipes!$A:$A,0)),"⚠ unknown recipe_id"))</f>
        <v/>
      </c>
      <c r="E1563" s="12" t="str">
        <f aca="false">IF(C1563="","",IFERROR(INDEX('Ingredient Catalog'!$C:$C,MATCH(C1563,'Ingredient Catalog'!$A:$A,0)),"⚠ not in catalog"))</f>
        <v/>
      </c>
      <c r="G1563" s="12" t="str">
        <f aca="false">IF(A1563="","",COUNTIFS('Weekly Log'!$A:$A,'Grocery List'!$B$3,'Weekly Log'!$C:$C,A1563,'Weekly Log'!$E:$E,"Yes"))</f>
        <v/>
      </c>
      <c r="H1563" s="12" t="str">
        <f aca="false">IF(OR(A1563="",D1563=""),"",D1563*G1563)</f>
        <v/>
      </c>
    </row>
    <row r="1564" customFormat="false" ht="15" hidden="false" customHeight="false" outlineLevel="0" collapsed="false">
      <c r="B1564" s="12" t="str">
        <f aca="false">IF(A1564="","",IFERROR(INDEX(Recipes!$B:$B,MATCH(A1564,Recipes!$A:$A,0)),"⚠ unknown recipe_id"))</f>
        <v/>
      </c>
      <c r="E1564" s="12" t="str">
        <f aca="false">IF(C1564="","",IFERROR(INDEX('Ingredient Catalog'!$C:$C,MATCH(C1564,'Ingredient Catalog'!$A:$A,0)),"⚠ not in catalog"))</f>
        <v/>
      </c>
      <c r="G1564" s="12" t="str">
        <f aca="false">IF(A1564="","",COUNTIFS('Weekly Log'!$A:$A,'Grocery List'!$B$3,'Weekly Log'!$C:$C,A1564,'Weekly Log'!$E:$E,"Yes"))</f>
        <v/>
      </c>
      <c r="H1564" s="12" t="str">
        <f aca="false">IF(OR(A1564="",D1564=""),"",D1564*G1564)</f>
        <v/>
      </c>
    </row>
    <row r="1565" customFormat="false" ht="15" hidden="false" customHeight="false" outlineLevel="0" collapsed="false">
      <c r="B1565" s="12" t="str">
        <f aca="false">IF(A1565="","",IFERROR(INDEX(Recipes!$B:$B,MATCH(A1565,Recipes!$A:$A,0)),"⚠ unknown recipe_id"))</f>
        <v/>
      </c>
      <c r="E1565" s="12" t="str">
        <f aca="false">IF(C1565="","",IFERROR(INDEX('Ingredient Catalog'!$C:$C,MATCH(C1565,'Ingredient Catalog'!$A:$A,0)),"⚠ not in catalog"))</f>
        <v/>
      </c>
      <c r="G1565" s="12" t="str">
        <f aca="false">IF(A1565="","",COUNTIFS('Weekly Log'!$A:$A,'Grocery List'!$B$3,'Weekly Log'!$C:$C,A1565,'Weekly Log'!$E:$E,"Yes"))</f>
        <v/>
      </c>
      <c r="H1565" s="12" t="str">
        <f aca="false">IF(OR(A1565="",D1565=""),"",D1565*G1565)</f>
        <v/>
      </c>
    </row>
    <row r="1566" customFormat="false" ht="15" hidden="false" customHeight="false" outlineLevel="0" collapsed="false">
      <c r="B1566" s="12" t="str">
        <f aca="false">IF(A1566="","",IFERROR(INDEX(Recipes!$B:$B,MATCH(A1566,Recipes!$A:$A,0)),"⚠ unknown recipe_id"))</f>
        <v/>
      </c>
      <c r="E1566" s="12" t="str">
        <f aca="false">IF(C1566="","",IFERROR(INDEX('Ingredient Catalog'!$C:$C,MATCH(C1566,'Ingredient Catalog'!$A:$A,0)),"⚠ not in catalog"))</f>
        <v/>
      </c>
      <c r="G1566" s="12" t="str">
        <f aca="false">IF(A1566="","",COUNTIFS('Weekly Log'!$A:$A,'Grocery List'!$B$3,'Weekly Log'!$C:$C,A1566,'Weekly Log'!$E:$E,"Yes"))</f>
        <v/>
      </c>
      <c r="H1566" s="12" t="str">
        <f aca="false">IF(OR(A1566="",D1566=""),"",D1566*G1566)</f>
        <v/>
      </c>
    </row>
    <row r="1567" customFormat="false" ht="15" hidden="false" customHeight="false" outlineLevel="0" collapsed="false">
      <c r="B1567" s="12" t="str">
        <f aca="false">IF(A1567="","",IFERROR(INDEX(Recipes!$B:$B,MATCH(A1567,Recipes!$A:$A,0)),"⚠ unknown recipe_id"))</f>
        <v/>
      </c>
      <c r="E1567" s="12" t="str">
        <f aca="false">IF(C1567="","",IFERROR(INDEX('Ingredient Catalog'!$C:$C,MATCH(C1567,'Ingredient Catalog'!$A:$A,0)),"⚠ not in catalog"))</f>
        <v/>
      </c>
      <c r="G1567" s="12" t="str">
        <f aca="false">IF(A1567="","",COUNTIFS('Weekly Log'!$A:$A,'Grocery List'!$B$3,'Weekly Log'!$C:$C,A1567,'Weekly Log'!$E:$E,"Yes"))</f>
        <v/>
      </c>
      <c r="H1567" s="12" t="str">
        <f aca="false">IF(OR(A1567="",D1567=""),"",D1567*G1567)</f>
        <v/>
      </c>
    </row>
    <row r="1568" customFormat="false" ht="15" hidden="false" customHeight="false" outlineLevel="0" collapsed="false">
      <c r="B1568" s="12" t="str">
        <f aca="false">IF(A1568="","",IFERROR(INDEX(Recipes!$B:$B,MATCH(A1568,Recipes!$A:$A,0)),"⚠ unknown recipe_id"))</f>
        <v/>
      </c>
      <c r="E1568" s="12" t="str">
        <f aca="false">IF(C1568="","",IFERROR(INDEX('Ingredient Catalog'!$C:$C,MATCH(C1568,'Ingredient Catalog'!$A:$A,0)),"⚠ not in catalog"))</f>
        <v/>
      </c>
      <c r="G1568" s="12" t="str">
        <f aca="false">IF(A1568="","",COUNTIFS('Weekly Log'!$A:$A,'Grocery List'!$B$3,'Weekly Log'!$C:$C,A1568,'Weekly Log'!$E:$E,"Yes"))</f>
        <v/>
      </c>
      <c r="H1568" s="12" t="str">
        <f aca="false">IF(OR(A1568="",D1568=""),"",D1568*G1568)</f>
        <v/>
      </c>
    </row>
    <row r="1569" customFormat="false" ht="15" hidden="false" customHeight="false" outlineLevel="0" collapsed="false">
      <c r="B1569" s="12" t="str">
        <f aca="false">IF(A1569="","",IFERROR(INDEX(Recipes!$B:$B,MATCH(A1569,Recipes!$A:$A,0)),"⚠ unknown recipe_id"))</f>
        <v/>
      </c>
      <c r="E1569" s="12" t="str">
        <f aca="false">IF(C1569="","",IFERROR(INDEX('Ingredient Catalog'!$C:$C,MATCH(C1569,'Ingredient Catalog'!$A:$A,0)),"⚠ not in catalog"))</f>
        <v/>
      </c>
      <c r="G1569" s="12" t="str">
        <f aca="false">IF(A1569="","",COUNTIFS('Weekly Log'!$A:$A,'Grocery List'!$B$3,'Weekly Log'!$C:$C,A1569,'Weekly Log'!$E:$E,"Yes"))</f>
        <v/>
      </c>
      <c r="H1569" s="12" t="str">
        <f aca="false">IF(OR(A1569="",D1569=""),"",D1569*G1569)</f>
        <v/>
      </c>
    </row>
    <row r="1570" customFormat="false" ht="15" hidden="false" customHeight="false" outlineLevel="0" collapsed="false">
      <c r="B1570" s="12" t="str">
        <f aca="false">IF(A1570="","",IFERROR(INDEX(Recipes!$B:$B,MATCH(A1570,Recipes!$A:$A,0)),"⚠ unknown recipe_id"))</f>
        <v/>
      </c>
      <c r="E1570" s="12" t="str">
        <f aca="false">IF(C1570="","",IFERROR(INDEX('Ingredient Catalog'!$C:$C,MATCH(C1570,'Ingredient Catalog'!$A:$A,0)),"⚠ not in catalog"))</f>
        <v/>
      </c>
      <c r="G1570" s="12" t="str">
        <f aca="false">IF(A1570="","",COUNTIFS('Weekly Log'!$A:$A,'Grocery List'!$B$3,'Weekly Log'!$C:$C,A1570,'Weekly Log'!$E:$E,"Yes"))</f>
        <v/>
      </c>
      <c r="H1570" s="12" t="str">
        <f aca="false">IF(OR(A1570="",D1570=""),"",D1570*G1570)</f>
        <v/>
      </c>
    </row>
    <row r="1571" customFormat="false" ht="15" hidden="false" customHeight="false" outlineLevel="0" collapsed="false">
      <c r="B1571" s="12" t="str">
        <f aca="false">IF(A1571="","",IFERROR(INDEX(Recipes!$B:$B,MATCH(A1571,Recipes!$A:$A,0)),"⚠ unknown recipe_id"))</f>
        <v/>
      </c>
      <c r="E1571" s="12" t="str">
        <f aca="false">IF(C1571="","",IFERROR(INDEX('Ingredient Catalog'!$C:$C,MATCH(C1571,'Ingredient Catalog'!$A:$A,0)),"⚠ not in catalog"))</f>
        <v/>
      </c>
      <c r="G1571" s="12" t="str">
        <f aca="false">IF(A1571="","",COUNTIFS('Weekly Log'!$A:$A,'Grocery List'!$B$3,'Weekly Log'!$C:$C,A1571,'Weekly Log'!$E:$E,"Yes"))</f>
        <v/>
      </c>
      <c r="H1571" s="12" t="str">
        <f aca="false">IF(OR(A1571="",D1571=""),"",D1571*G1571)</f>
        <v/>
      </c>
    </row>
    <row r="1572" customFormat="false" ht="15" hidden="false" customHeight="false" outlineLevel="0" collapsed="false">
      <c r="B1572" s="12" t="str">
        <f aca="false">IF(A1572="","",IFERROR(INDEX(Recipes!$B:$B,MATCH(A1572,Recipes!$A:$A,0)),"⚠ unknown recipe_id"))</f>
        <v/>
      </c>
      <c r="E1572" s="12" t="str">
        <f aca="false">IF(C1572="","",IFERROR(INDEX('Ingredient Catalog'!$C:$C,MATCH(C1572,'Ingredient Catalog'!$A:$A,0)),"⚠ not in catalog"))</f>
        <v/>
      </c>
      <c r="G1572" s="12" t="str">
        <f aca="false">IF(A1572="","",COUNTIFS('Weekly Log'!$A:$A,'Grocery List'!$B$3,'Weekly Log'!$C:$C,A1572,'Weekly Log'!$E:$E,"Yes"))</f>
        <v/>
      </c>
      <c r="H1572" s="12" t="str">
        <f aca="false">IF(OR(A1572="",D1572=""),"",D1572*G1572)</f>
        <v/>
      </c>
    </row>
    <row r="1573" customFormat="false" ht="15" hidden="false" customHeight="false" outlineLevel="0" collapsed="false">
      <c r="B1573" s="12" t="str">
        <f aca="false">IF(A1573="","",IFERROR(INDEX(Recipes!$B:$B,MATCH(A1573,Recipes!$A:$A,0)),"⚠ unknown recipe_id"))</f>
        <v/>
      </c>
      <c r="E1573" s="12" t="str">
        <f aca="false">IF(C1573="","",IFERROR(INDEX('Ingredient Catalog'!$C:$C,MATCH(C1573,'Ingredient Catalog'!$A:$A,0)),"⚠ not in catalog"))</f>
        <v/>
      </c>
      <c r="G1573" s="12" t="str">
        <f aca="false">IF(A1573="","",COUNTIFS('Weekly Log'!$A:$A,'Grocery List'!$B$3,'Weekly Log'!$C:$C,A1573,'Weekly Log'!$E:$E,"Yes"))</f>
        <v/>
      </c>
      <c r="H1573" s="12" t="str">
        <f aca="false">IF(OR(A1573="",D1573=""),"",D1573*G1573)</f>
        <v/>
      </c>
    </row>
    <row r="1574" customFormat="false" ht="15" hidden="false" customHeight="false" outlineLevel="0" collapsed="false">
      <c r="B1574" s="12" t="str">
        <f aca="false">IF(A1574="","",IFERROR(INDEX(Recipes!$B:$B,MATCH(A1574,Recipes!$A:$A,0)),"⚠ unknown recipe_id"))</f>
        <v/>
      </c>
      <c r="E1574" s="12" t="str">
        <f aca="false">IF(C1574="","",IFERROR(INDEX('Ingredient Catalog'!$C:$C,MATCH(C1574,'Ingredient Catalog'!$A:$A,0)),"⚠ not in catalog"))</f>
        <v/>
      </c>
      <c r="G1574" s="12" t="str">
        <f aca="false">IF(A1574="","",COUNTIFS('Weekly Log'!$A:$A,'Grocery List'!$B$3,'Weekly Log'!$C:$C,A1574,'Weekly Log'!$E:$E,"Yes"))</f>
        <v/>
      </c>
      <c r="H1574" s="12" t="str">
        <f aca="false">IF(OR(A1574="",D1574=""),"",D1574*G1574)</f>
        <v/>
      </c>
    </row>
    <row r="1575" customFormat="false" ht="15" hidden="false" customHeight="false" outlineLevel="0" collapsed="false">
      <c r="B1575" s="12" t="str">
        <f aca="false">IF(A1575="","",IFERROR(INDEX(Recipes!$B:$B,MATCH(A1575,Recipes!$A:$A,0)),"⚠ unknown recipe_id"))</f>
        <v/>
      </c>
      <c r="E1575" s="12" t="str">
        <f aca="false">IF(C1575="","",IFERROR(INDEX('Ingredient Catalog'!$C:$C,MATCH(C1575,'Ingredient Catalog'!$A:$A,0)),"⚠ not in catalog"))</f>
        <v/>
      </c>
      <c r="G1575" s="12" t="str">
        <f aca="false">IF(A1575="","",COUNTIFS('Weekly Log'!$A:$A,'Grocery List'!$B$3,'Weekly Log'!$C:$C,A1575,'Weekly Log'!$E:$E,"Yes"))</f>
        <v/>
      </c>
      <c r="H1575" s="12" t="str">
        <f aca="false">IF(OR(A1575="",D1575=""),"",D1575*G1575)</f>
        <v/>
      </c>
    </row>
    <row r="1576" customFormat="false" ht="15" hidden="false" customHeight="false" outlineLevel="0" collapsed="false">
      <c r="B1576" s="12" t="str">
        <f aca="false">IF(A1576="","",IFERROR(INDEX(Recipes!$B:$B,MATCH(A1576,Recipes!$A:$A,0)),"⚠ unknown recipe_id"))</f>
        <v/>
      </c>
      <c r="E1576" s="12" t="str">
        <f aca="false">IF(C1576="","",IFERROR(INDEX('Ingredient Catalog'!$C:$C,MATCH(C1576,'Ingredient Catalog'!$A:$A,0)),"⚠ not in catalog"))</f>
        <v/>
      </c>
      <c r="G1576" s="12" t="str">
        <f aca="false">IF(A1576="","",COUNTIFS('Weekly Log'!$A:$A,'Grocery List'!$B$3,'Weekly Log'!$C:$C,A1576,'Weekly Log'!$E:$E,"Yes"))</f>
        <v/>
      </c>
      <c r="H1576" s="12" t="str">
        <f aca="false">IF(OR(A1576="",D1576=""),"",D1576*G1576)</f>
        <v/>
      </c>
    </row>
    <row r="1577" customFormat="false" ht="15" hidden="false" customHeight="false" outlineLevel="0" collapsed="false">
      <c r="B1577" s="12" t="str">
        <f aca="false">IF(A1577="","",IFERROR(INDEX(Recipes!$B:$B,MATCH(A1577,Recipes!$A:$A,0)),"⚠ unknown recipe_id"))</f>
        <v/>
      </c>
      <c r="E1577" s="12" t="str">
        <f aca="false">IF(C1577="","",IFERROR(INDEX('Ingredient Catalog'!$C:$C,MATCH(C1577,'Ingredient Catalog'!$A:$A,0)),"⚠ not in catalog"))</f>
        <v/>
      </c>
      <c r="G1577" s="12" t="str">
        <f aca="false">IF(A1577="","",COUNTIFS('Weekly Log'!$A:$A,'Grocery List'!$B$3,'Weekly Log'!$C:$C,A1577,'Weekly Log'!$E:$E,"Yes"))</f>
        <v/>
      </c>
      <c r="H1577" s="12" t="str">
        <f aca="false">IF(OR(A1577="",D1577=""),"",D1577*G1577)</f>
        <v/>
      </c>
    </row>
    <row r="1578" customFormat="false" ht="15" hidden="false" customHeight="false" outlineLevel="0" collapsed="false">
      <c r="B1578" s="12" t="str">
        <f aca="false">IF(A1578="","",IFERROR(INDEX(Recipes!$B:$B,MATCH(A1578,Recipes!$A:$A,0)),"⚠ unknown recipe_id"))</f>
        <v/>
      </c>
      <c r="E1578" s="12" t="str">
        <f aca="false">IF(C1578="","",IFERROR(INDEX('Ingredient Catalog'!$C:$C,MATCH(C1578,'Ingredient Catalog'!$A:$A,0)),"⚠ not in catalog"))</f>
        <v/>
      </c>
      <c r="G1578" s="12" t="str">
        <f aca="false">IF(A1578="","",COUNTIFS('Weekly Log'!$A:$A,'Grocery List'!$B$3,'Weekly Log'!$C:$C,A1578,'Weekly Log'!$E:$E,"Yes"))</f>
        <v/>
      </c>
      <c r="H1578" s="12" t="str">
        <f aca="false">IF(OR(A1578="",D1578=""),"",D1578*G1578)</f>
        <v/>
      </c>
    </row>
    <row r="1579" customFormat="false" ht="15" hidden="false" customHeight="false" outlineLevel="0" collapsed="false">
      <c r="B1579" s="12" t="str">
        <f aca="false">IF(A1579="","",IFERROR(INDEX(Recipes!$B:$B,MATCH(A1579,Recipes!$A:$A,0)),"⚠ unknown recipe_id"))</f>
        <v/>
      </c>
      <c r="E1579" s="12" t="str">
        <f aca="false">IF(C1579="","",IFERROR(INDEX('Ingredient Catalog'!$C:$C,MATCH(C1579,'Ingredient Catalog'!$A:$A,0)),"⚠ not in catalog"))</f>
        <v/>
      </c>
      <c r="G1579" s="12" t="str">
        <f aca="false">IF(A1579="","",COUNTIFS('Weekly Log'!$A:$A,'Grocery List'!$B$3,'Weekly Log'!$C:$C,A1579,'Weekly Log'!$E:$E,"Yes"))</f>
        <v/>
      </c>
      <c r="H1579" s="12" t="str">
        <f aca="false">IF(OR(A1579="",D1579=""),"",D1579*G1579)</f>
        <v/>
      </c>
    </row>
    <row r="1580" customFormat="false" ht="15" hidden="false" customHeight="false" outlineLevel="0" collapsed="false">
      <c r="B1580" s="12" t="str">
        <f aca="false">IF(A1580="","",IFERROR(INDEX(Recipes!$B:$B,MATCH(A1580,Recipes!$A:$A,0)),"⚠ unknown recipe_id"))</f>
        <v/>
      </c>
      <c r="E1580" s="12" t="str">
        <f aca="false">IF(C1580="","",IFERROR(INDEX('Ingredient Catalog'!$C:$C,MATCH(C1580,'Ingredient Catalog'!$A:$A,0)),"⚠ not in catalog"))</f>
        <v/>
      </c>
      <c r="G1580" s="12" t="str">
        <f aca="false">IF(A1580="","",COUNTIFS('Weekly Log'!$A:$A,'Grocery List'!$B$3,'Weekly Log'!$C:$C,A1580,'Weekly Log'!$E:$E,"Yes"))</f>
        <v/>
      </c>
      <c r="H1580" s="12" t="str">
        <f aca="false">IF(OR(A1580="",D1580=""),"",D1580*G1580)</f>
        <v/>
      </c>
    </row>
    <row r="1581" customFormat="false" ht="15" hidden="false" customHeight="false" outlineLevel="0" collapsed="false">
      <c r="B1581" s="12" t="str">
        <f aca="false">IF(A1581="","",IFERROR(INDEX(Recipes!$B:$B,MATCH(A1581,Recipes!$A:$A,0)),"⚠ unknown recipe_id"))</f>
        <v/>
      </c>
      <c r="E1581" s="12" t="str">
        <f aca="false">IF(C1581="","",IFERROR(INDEX('Ingredient Catalog'!$C:$C,MATCH(C1581,'Ingredient Catalog'!$A:$A,0)),"⚠ not in catalog"))</f>
        <v/>
      </c>
      <c r="G1581" s="12" t="str">
        <f aca="false">IF(A1581="","",COUNTIFS('Weekly Log'!$A:$A,'Grocery List'!$B$3,'Weekly Log'!$C:$C,A1581,'Weekly Log'!$E:$E,"Yes"))</f>
        <v/>
      </c>
      <c r="H1581" s="12" t="str">
        <f aca="false">IF(OR(A1581="",D1581=""),"",D1581*G1581)</f>
        <v/>
      </c>
    </row>
    <row r="1582" customFormat="false" ht="15" hidden="false" customHeight="false" outlineLevel="0" collapsed="false">
      <c r="B1582" s="12" t="str">
        <f aca="false">IF(A1582="","",IFERROR(INDEX(Recipes!$B:$B,MATCH(A1582,Recipes!$A:$A,0)),"⚠ unknown recipe_id"))</f>
        <v/>
      </c>
      <c r="E1582" s="12" t="str">
        <f aca="false">IF(C1582="","",IFERROR(INDEX('Ingredient Catalog'!$C:$C,MATCH(C1582,'Ingredient Catalog'!$A:$A,0)),"⚠ not in catalog"))</f>
        <v/>
      </c>
      <c r="G1582" s="12" t="str">
        <f aca="false">IF(A1582="","",COUNTIFS('Weekly Log'!$A:$A,'Grocery List'!$B$3,'Weekly Log'!$C:$C,A1582,'Weekly Log'!$E:$E,"Yes"))</f>
        <v/>
      </c>
      <c r="H1582" s="12" t="str">
        <f aca="false">IF(OR(A1582="",D1582=""),"",D1582*G1582)</f>
        <v/>
      </c>
    </row>
    <row r="1583" customFormat="false" ht="15" hidden="false" customHeight="false" outlineLevel="0" collapsed="false">
      <c r="B1583" s="12" t="str">
        <f aca="false">IF(A1583="","",IFERROR(INDEX(Recipes!$B:$B,MATCH(A1583,Recipes!$A:$A,0)),"⚠ unknown recipe_id"))</f>
        <v/>
      </c>
      <c r="E1583" s="12" t="str">
        <f aca="false">IF(C1583="","",IFERROR(INDEX('Ingredient Catalog'!$C:$C,MATCH(C1583,'Ingredient Catalog'!$A:$A,0)),"⚠ not in catalog"))</f>
        <v/>
      </c>
      <c r="G1583" s="12" t="str">
        <f aca="false">IF(A1583="","",COUNTIFS('Weekly Log'!$A:$A,'Grocery List'!$B$3,'Weekly Log'!$C:$C,A1583,'Weekly Log'!$E:$E,"Yes"))</f>
        <v/>
      </c>
      <c r="H1583" s="12" t="str">
        <f aca="false">IF(OR(A1583="",D1583=""),"",D1583*G1583)</f>
        <v/>
      </c>
    </row>
    <row r="1584" customFormat="false" ht="15" hidden="false" customHeight="false" outlineLevel="0" collapsed="false">
      <c r="B1584" s="12" t="str">
        <f aca="false">IF(A1584="","",IFERROR(INDEX(Recipes!$B:$B,MATCH(A1584,Recipes!$A:$A,0)),"⚠ unknown recipe_id"))</f>
        <v/>
      </c>
      <c r="E1584" s="12" t="str">
        <f aca="false">IF(C1584="","",IFERROR(INDEX('Ingredient Catalog'!$C:$C,MATCH(C1584,'Ingredient Catalog'!$A:$A,0)),"⚠ not in catalog"))</f>
        <v/>
      </c>
      <c r="G1584" s="12" t="str">
        <f aca="false">IF(A1584="","",COUNTIFS('Weekly Log'!$A:$A,'Grocery List'!$B$3,'Weekly Log'!$C:$C,A1584,'Weekly Log'!$E:$E,"Yes"))</f>
        <v/>
      </c>
      <c r="H1584" s="12" t="str">
        <f aca="false">IF(OR(A1584="",D1584=""),"",D1584*G1584)</f>
        <v/>
      </c>
    </row>
    <row r="1585" customFormat="false" ht="15" hidden="false" customHeight="false" outlineLevel="0" collapsed="false">
      <c r="B1585" s="12" t="str">
        <f aca="false">IF(A1585="","",IFERROR(INDEX(Recipes!$B:$B,MATCH(A1585,Recipes!$A:$A,0)),"⚠ unknown recipe_id"))</f>
        <v/>
      </c>
      <c r="E1585" s="12" t="str">
        <f aca="false">IF(C1585="","",IFERROR(INDEX('Ingredient Catalog'!$C:$C,MATCH(C1585,'Ingredient Catalog'!$A:$A,0)),"⚠ not in catalog"))</f>
        <v/>
      </c>
      <c r="G1585" s="12" t="str">
        <f aca="false">IF(A1585="","",COUNTIFS('Weekly Log'!$A:$A,'Grocery List'!$B$3,'Weekly Log'!$C:$C,A1585,'Weekly Log'!$E:$E,"Yes"))</f>
        <v/>
      </c>
      <c r="H1585" s="12" t="str">
        <f aca="false">IF(OR(A1585="",D1585=""),"",D1585*G1585)</f>
        <v/>
      </c>
    </row>
    <row r="1586" customFormat="false" ht="15" hidden="false" customHeight="false" outlineLevel="0" collapsed="false">
      <c r="B1586" s="12" t="str">
        <f aca="false">IF(A1586="","",IFERROR(INDEX(Recipes!$B:$B,MATCH(A1586,Recipes!$A:$A,0)),"⚠ unknown recipe_id"))</f>
        <v/>
      </c>
      <c r="E1586" s="12" t="str">
        <f aca="false">IF(C1586="","",IFERROR(INDEX('Ingredient Catalog'!$C:$C,MATCH(C1586,'Ingredient Catalog'!$A:$A,0)),"⚠ not in catalog"))</f>
        <v/>
      </c>
      <c r="G1586" s="12" t="str">
        <f aca="false">IF(A1586="","",COUNTIFS('Weekly Log'!$A:$A,'Grocery List'!$B$3,'Weekly Log'!$C:$C,A1586,'Weekly Log'!$E:$E,"Yes"))</f>
        <v/>
      </c>
      <c r="H1586" s="12" t="str">
        <f aca="false">IF(OR(A1586="",D1586=""),"",D1586*G1586)</f>
        <v/>
      </c>
    </row>
    <row r="1587" customFormat="false" ht="15" hidden="false" customHeight="false" outlineLevel="0" collapsed="false">
      <c r="B1587" s="12" t="str">
        <f aca="false">IF(A1587="","",IFERROR(INDEX(Recipes!$B:$B,MATCH(A1587,Recipes!$A:$A,0)),"⚠ unknown recipe_id"))</f>
        <v/>
      </c>
      <c r="E1587" s="12" t="str">
        <f aca="false">IF(C1587="","",IFERROR(INDEX('Ingredient Catalog'!$C:$C,MATCH(C1587,'Ingredient Catalog'!$A:$A,0)),"⚠ not in catalog"))</f>
        <v/>
      </c>
      <c r="G1587" s="12" t="str">
        <f aca="false">IF(A1587="","",COUNTIFS('Weekly Log'!$A:$A,'Grocery List'!$B$3,'Weekly Log'!$C:$C,A1587,'Weekly Log'!$E:$E,"Yes"))</f>
        <v/>
      </c>
      <c r="H1587" s="12" t="str">
        <f aca="false">IF(OR(A1587="",D1587=""),"",D1587*G1587)</f>
        <v/>
      </c>
    </row>
    <row r="1588" customFormat="false" ht="15" hidden="false" customHeight="false" outlineLevel="0" collapsed="false">
      <c r="B1588" s="12" t="str">
        <f aca="false">IF(A1588="","",IFERROR(INDEX(Recipes!$B:$B,MATCH(A1588,Recipes!$A:$A,0)),"⚠ unknown recipe_id"))</f>
        <v/>
      </c>
      <c r="E1588" s="12" t="str">
        <f aca="false">IF(C1588="","",IFERROR(INDEX('Ingredient Catalog'!$C:$C,MATCH(C1588,'Ingredient Catalog'!$A:$A,0)),"⚠ not in catalog"))</f>
        <v/>
      </c>
      <c r="G1588" s="12" t="str">
        <f aca="false">IF(A1588="","",COUNTIFS('Weekly Log'!$A:$A,'Grocery List'!$B$3,'Weekly Log'!$C:$C,A1588,'Weekly Log'!$E:$E,"Yes"))</f>
        <v/>
      </c>
      <c r="H1588" s="12" t="str">
        <f aca="false">IF(OR(A1588="",D1588=""),"",D1588*G1588)</f>
        <v/>
      </c>
    </row>
    <row r="1589" customFormat="false" ht="15" hidden="false" customHeight="false" outlineLevel="0" collapsed="false">
      <c r="B1589" s="12" t="str">
        <f aca="false">IF(A1589="","",IFERROR(INDEX(Recipes!$B:$B,MATCH(A1589,Recipes!$A:$A,0)),"⚠ unknown recipe_id"))</f>
        <v/>
      </c>
      <c r="E1589" s="12" t="str">
        <f aca="false">IF(C1589="","",IFERROR(INDEX('Ingredient Catalog'!$C:$C,MATCH(C1589,'Ingredient Catalog'!$A:$A,0)),"⚠ not in catalog"))</f>
        <v/>
      </c>
      <c r="G1589" s="12" t="str">
        <f aca="false">IF(A1589="","",COUNTIFS('Weekly Log'!$A:$A,'Grocery List'!$B$3,'Weekly Log'!$C:$C,A1589,'Weekly Log'!$E:$E,"Yes"))</f>
        <v/>
      </c>
      <c r="H1589" s="12" t="str">
        <f aca="false">IF(OR(A1589="",D1589=""),"",D1589*G1589)</f>
        <v/>
      </c>
    </row>
    <row r="1590" customFormat="false" ht="15" hidden="false" customHeight="false" outlineLevel="0" collapsed="false">
      <c r="B1590" s="12" t="str">
        <f aca="false">IF(A1590="","",IFERROR(INDEX(Recipes!$B:$B,MATCH(A1590,Recipes!$A:$A,0)),"⚠ unknown recipe_id"))</f>
        <v/>
      </c>
      <c r="E1590" s="12" t="str">
        <f aca="false">IF(C1590="","",IFERROR(INDEX('Ingredient Catalog'!$C:$C,MATCH(C1590,'Ingredient Catalog'!$A:$A,0)),"⚠ not in catalog"))</f>
        <v/>
      </c>
      <c r="G1590" s="12" t="str">
        <f aca="false">IF(A1590="","",COUNTIFS('Weekly Log'!$A:$A,'Grocery List'!$B$3,'Weekly Log'!$C:$C,A1590,'Weekly Log'!$E:$E,"Yes"))</f>
        <v/>
      </c>
      <c r="H1590" s="12" t="str">
        <f aca="false">IF(OR(A1590="",D1590=""),"",D1590*G1590)</f>
        <v/>
      </c>
    </row>
    <row r="1591" customFormat="false" ht="15" hidden="false" customHeight="false" outlineLevel="0" collapsed="false">
      <c r="B1591" s="12" t="str">
        <f aca="false">IF(A1591="","",IFERROR(INDEX(Recipes!$B:$B,MATCH(A1591,Recipes!$A:$A,0)),"⚠ unknown recipe_id"))</f>
        <v/>
      </c>
      <c r="E1591" s="12" t="str">
        <f aca="false">IF(C1591="","",IFERROR(INDEX('Ingredient Catalog'!$C:$C,MATCH(C1591,'Ingredient Catalog'!$A:$A,0)),"⚠ not in catalog"))</f>
        <v/>
      </c>
      <c r="G1591" s="12" t="str">
        <f aca="false">IF(A1591="","",COUNTIFS('Weekly Log'!$A:$A,'Grocery List'!$B$3,'Weekly Log'!$C:$C,A1591,'Weekly Log'!$E:$E,"Yes"))</f>
        <v/>
      </c>
      <c r="H1591" s="12" t="str">
        <f aca="false">IF(OR(A1591="",D1591=""),"",D1591*G1591)</f>
        <v/>
      </c>
    </row>
    <row r="1592" customFormat="false" ht="15" hidden="false" customHeight="false" outlineLevel="0" collapsed="false">
      <c r="B1592" s="12" t="str">
        <f aca="false">IF(A1592="","",IFERROR(INDEX(Recipes!$B:$B,MATCH(A1592,Recipes!$A:$A,0)),"⚠ unknown recipe_id"))</f>
        <v/>
      </c>
      <c r="E1592" s="12" t="str">
        <f aca="false">IF(C1592="","",IFERROR(INDEX('Ingredient Catalog'!$C:$C,MATCH(C1592,'Ingredient Catalog'!$A:$A,0)),"⚠ not in catalog"))</f>
        <v/>
      </c>
      <c r="G1592" s="12" t="str">
        <f aca="false">IF(A1592="","",COUNTIFS('Weekly Log'!$A:$A,'Grocery List'!$B$3,'Weekly Log'!$C:$C,A1592,'Weekly Log'!$E:$E,"Yes"))</f>
        <v/>
      </c>
      <c r="H1592" s="12" t="str">
        <f aca="false">IF(OR(A1592="",D1592=""),"",D1592*G1592)</f>
        <v/>
      </c>
    </row>
    <row r="1593" customFormat="false" ht="15" hidden="false" customHeight="false" outlineLevel="0" collapsed="false">
      <c r="B1593" s="12" t="str">
        <f aca="false">IF(A1593="","",IFERROR(INDEX(Recipes!$B:$B,MATCH(A1593,Recipes!$A:$A,0)),"⚠ unknown recipe_id"))</f>
        <v/>
      </c>
      <c r="E1593" s="12" t="str">
        <f aca="false">IF(C1593="","",IFERROR(INDEX('Ingredient Catalog'!$C:$C,MATCH(C1593,'Ingredient Catalog'!$A:$A,0)),"⚠ not in catalog"))</f>
        <v/>
      </c>
      <c r="G1593" s="12" t="str">
        <f aca="false">IF(A1593="","",COUNTIFS('Weekly Log'!$A:$A,'Grocery List'!$B$3,'Weekly Log'!$C:$C,A1593,'Weekly Log'!$E:$E,"Yes"))</f>
        <v/>
      </c>
      <c r="H1593" s="12" t="str">
        <f aca="false">IF(OR(A1593="",D1593=""),"",D1593*G1593)</f>
        <v/>
      </c>
    </row>
    <row r="1594" customFormat="false" ht="15" hidden="false" customHeight="false" outlineLevel="0" collapsed="false">
      <c r="B1594" s="12" t="str">
        <f aca="false">IF(A1594="","",IFERROR(INDEX(Recipes!$B:$B,MATCH(A1594,Recipes!$A:$A,0)),"⚠ unknown recipe_id"))</f>
        <v/>
      </c>
      <c r="E1594" s="12" t="str">
        <f aca="false">IF(C1594="","",IFERROR(INDEX('Ingredient Catalog'!$C:$C,MATCH(C1594,'Ingredient Catalog'!$A:$A,0)),"⚠ not in catalog"))</f>
        <v/>
      </c>
      <c r="G1594" s="12" t="str">
        <f aca="false">IF(A1594="","",COUNTIFS('Weekly Log'!$A:$A,'Grocery List'!$B$3,'Weekly Log'!$C:$C,A1594,'Weekly Log'!$E:$E,"Yes"))</f>
        <v/>
      </c>
      <c r="H1594" s="12" t="str">
        <f aca="false">IF(OR(A1594="",D1594=""),"",D1594*G1594)</f>
        <v/>
      </c>
    </row>
    <row r="1595" customFormat="false" ht="15" hidden="false" customHeight="false" outlineLevel="0" collapsed="false">
      <c r="B1595" s="12" t="str">
        <f aca="false">IF(A1595="","",IFERROR(INDEX(Recipes!$B:$B,MATCH(A1595,Recipes!$A:$A,0)),"⚠ unknown recipe_id"))</f>
        <v/>
      </c>
      <c r="E1595" s="12" t="str">
        <f aca="false">IF(C1595="","",IFERROR(INDEX('Ingredient Catalog'!$C:$C,MATCH(C1595,'Ingredient Catalog'!$A:$A,0)),"⚠ not in catalog"))</f>
        <v/>
      </c>
      <c r="G1595" s="12" t="str">
        <f aca="false">IF(A1595="","",COUNTIFS('Weekly Log'!$A:$A,'Grocery List'!$B$3,'Weekly Log'!$C:$C,A1595,'Weekly Log'!$E:$E,"Yes"))</f>
        <v/>
      </c>
      <c r="H1595" s="12" t="str">
        <f aca="false">IF(OR(A1595="",D1595=""),"",D1595*G1595)</f>
        <v/>
      </c>
    </row>
    <row r="1596" customFormat="false" ht="15" hidden="false" customHeight="false" outlineLevel="0" collapsed="false">
      <c r="B1596" s="12" t="str">
        <f aca="false">IF(A1596="","",IFERROR(INDEX(Recipes!$B:$B,MATCH(A1596,Recipes!$A:$A,0)),"⚠ unknown recipe_id"))</f>
        <v/>
      </c>
      <c r="E1596" s="12" t="str">
        <f aca="false">IF(C1596="","",IFERROR(INDEX('Ingredient Catalog'!$C:$C,MATCH(C1596,'Ingredient Catalog'!$A:$A,0)),"⚠ not in catalog"))</f>
        <v/>
      </c>
      <c r="G1596" s="12" t="str">
        <f aca="false">IF(A1596="","",COUNTIFS('Weekly Log'!$A:$A,'Grocery List'!$B$3,'Weekly Log'!$C:$C,A1596,'Weekly Log'!$E:$E,"Yes"))</f>
        <v/>
      </c>
      <c r="H1596" s="12" t="str">
        <f aca="false">IF(OR(A1596="",D1596=""),"",D1596*G1596)</f>
        <v/>
      </c>
    </row>
    <row r="1597" customFormat="false" ht="15" hidden="false" customHeight="false" outlineLevel="0" collapsed="false">
      <c r="B1597" s="12" t="str">
        <f aca="false">IF(A1597="","",IFERROR(INDEX(Recipes!$B:$B,MATCH(A1597,Recipes!$A:$A,0)),"⚠ unknown recipe_id"))</f>
        <v/>
      </c>
      <c r="E1597" s="12" t="str">
        <f aca="false">IF(C1597="","",IFERROR(INDEX('Ingredient Catalog'!$C:$C,MATCH(C1597,'Ingredient Catalog'!$A:$A,0)),"⚠ not in catalog"))</f>
        <v/>
      </c>
      <c r="G1597" s="12" t="str">
        <f aca="false">IF(A1597="","",COUNTIFS('Weekly Log'!$A:$A,'Grocery List'!$B$3,'Weekly Log'!$C:$C,A1597,'Weekly Log'!$E:$E,"Yes"))</f>
        <v/>
      </c>
      <c r="H1597" s="12" t="str">
        <f aca="false">IF(OR(A1597="",D1597=""),"",D1597*G1597)</f>
        <v/>
      </c>
    </row>
    <row r="1598" customFormat="false" ht="15" hidden="false" customHeight="false" outlineLevel="0" collapsed="false">
      <c r="B1598" s="12" t="str">
        <f aca="false">IF(A1598="","",IFERROR(INDEX(Recipes!$B:$B,MATCH(A1598,Recipes!$A:$A,0)),"⚠ unknown recipe_id"))</f>
        <v/>
      </c>
      <c r="E1598" s="12" t="str">
        <f aca="false">IF(C1598="","",IFERROR(INDEX('Ingredient Catalog'!$C:$C,MATCH(C1598,'Ingredient Catalog'!$A:$A,0)),"⚠ not in catalog"))</f>
        <v/>
      </c>
      <c r="G1598" s="12" t="str">
        <f aca="false">IF(A1598="","",COUNTIFS('Weekly Log'!$A:$A,'Grocery List'!$B$3,'Weekly Log'!$C:$C,A1598,'Weekly Log'!$E:$E,"Yes"))</f>
        <v/>
      </c>
      <c r="H1598" s="12" t="str">
        <f aca="false">IF(OR(A1598="",D1598=""),"",D1598*G1598)</f>
        <v/>
      </c>
    </row>
    <row r="1599" customFormat="false" ht="15" hidden="false" customHeight="false" outlineLevel="0" collapsed="false">
      <c r="B1599" s="12" t="str">
        <f aca="false">IF(A1599="","",IFERROR(INDEX(Recipes!$B:$B,MATCH(A1599,Recipes!$A:$A,0)),"⚠ unknown recipe_id"))</f>
        <v/>
      </c>
      <c r="E1599" s="12" t="str">
        <f aca="false">IF(C1599="","",IFERROR(INDEX('Ingredient Catalog'!$C:$C,MATCH(C1599,'Ingredient Catalog'!$A:$A,0)),"⚠ not in catalog"))</f>
        <v/>
      </c>
      <c r="G1599" s="12" t="str">
        <f aca="false">IF(A1599="","",COUNTIFS('Weekly Log'!$A:$A,'Grocery List'!$B$3,'Weekly Log'!$C:$C,A1599,'Weekly Log'!$E:$E,"Yes"))</f>
        <v/>
      </c>
      <c r="H1599" s="12" t="str">
        <f aca="false">IF(OR(A1599="",D1599=""),"",D1599*G1599)</f>
        <v/>
      </c>
    </row>
    <row r="1600" customFormat="false" ht="15" hidden="false" customHeight="false" outlineLevel="0" collapsed="false">
      <c r="B1600" s="12" t="str">
        <f aca="false">IF(A1600="","",IFERROR(INDEX(Recipes!$B:$B,MATCH(A1600,Recipes!$A:$A,0)),"⚠ unknown recipe_id"))</f>
        <v/>
      </c>
      <c r="E1600" s="12" t="str">
        <f aca="false">IF(C1600="","",IFERROR(INDEX('Ingredient Catalog'!$C:$C,MATCH(C1600,'Ingredient Catalog'!$A:$A,0)),"⚠ not in catalog"))</f>
        <v/>
      </c>
      <c r="G1600" s="12" t="str">
        <f aca="false">IF(A1600="","",COUNTIFS('Weekly Log'!$A:$A,'Grocery List'!$B$3,'Weekly Log'!$C:$C,A1600,'Weekly Log'!$E:$E,"Yes"))</f>
        <v/>
      </c>
      <c r="H1600" s="12" t="str">
        <f aca="false">IF(OR(A1600="",D1600=""),"",D1600*G1600)</f>
        <v/>
      </c>
    </row>
    <row r="1601" customFormat="false" ht="15" hidden="false" customHeight="false" outlineLevel="0" collapsed="false">
      <c r="B1601" s="12" t="str">
        <f aca="false">IF(A1601="","",IFERROR(INDEX(Recipes!$B:$B,MATCH(A1601,Recipes!$A:$A,0)),"⚠ unknown recipe_id"))</f>
        <v/>
      </c>
      <c r="E1601" s="12" t="str">
        <f aca="false">IF(C1601="","",IFERROR(INDEX('Ingredient Catalog'!$C:$C,MATCH(C1601,'Ingredient Catalog'!$A:$A,0)),"⚠ not in catalog"))</f>
        <v/>
      </c>
      <c r="G1601" s="12" t="str">
        <f aca="false">IF(A1601="","",COUNTIFS('Weekly Log'!$A:$A,'Grocery List'!$B$3,'Weekly Log'!$C:$C,A1601,'Weekly Log'!$E:$E,"Yes"))</f>
        <v/>
      </c>
      <c r="H1601" s="12" t="str">
        <f aca="false">IF(OR(A1601="",D1601=""),"",D1601*G1601)</f>
        <v/>
      </c>
    </row>
    <row r="1602" customFormat="false" ht="15" hidden="false" customHeight="false" outlineLevel="0" collapsed="false">
      <c r="B1602" s="12" t="str">
        <f aca="false">IF(A1602="","",IFERROR(INDEX(Recipes!$B:$B,MATCH(A1602,Recipes!$A:$A,0)),"⚠ unknown recipe_id"))</f>
        <v/>
      </c>
      <c r="E1602" s="12" t="str">
        <f aca="false">IF(C1602="","",IFERROR(INDEX('Ingredient Catalog'!$C:$C,MATCH(C1602,'Ingredient Catalog'!$A:$A,0)),"⚠ not in catalog"))</f>
        <v/>
      </c>
      <c r="G1602" s="12" t="str">
        <f aca="false">IF(A1602="","",COUNTIFS('Weekly Log'!$A:$A,'Grocery List'!$B$3,'Weekly Log'!$C:$C,A1602,'Weekly Log'!$E:$E,"Yes"))</f>
        <v/>
      </c>
      <c r="H1602" s="12" t="str">
        <f aca="false">IF(OR(A1602="",D1602=""),"",D1602*G1602)</f>
        <v/>
      </c>
    </row>
    <row r="1603" customFormat="false" ht="15" hidden="false" customHeight="false" outlineLevel="0" collapsed="false">
      <c r="B1603" s="12" t="str">
        <f aca="false">IF(A1603="","",IFERROR(INDEX(Recipes!$B:$B,MATCH(A1603,Recipes!$A:$A,0)),"⚠ unknown recipe_id"))</f>
        <v/>
      </c>
      <c r="E1603" s="12" t="str">
        <f aca="false">IF(C1603="","",IFERROR(INDEX('Ingredient Catalog'!$C:$C,MATCH(C1603,'Ingredient Catalog'!$A:$A,0)),"⚠ not in catalog"))</f>
        <v/>
      </c>
      <c r="G1603" s="12" t="str">
        <f aca="false">IF(A1603="","",COUNTIFS('Weekly Log'!$A:$A,'Grocery List'!$B$3,'Weekly Log'!$C:$C,A1603,'Weekly Log'!$E:$E,"Yes"))</f>
        <v/>
      </c>
      <c r="H1603" s="12" t="str">
        <f aca="false">IF(OR(A1603="",D1603=""),"",D1603*G1603)</f>
        <v/>
      </c>
    </row>
    <row r="1604" customFormat="false" ht="15" hidden="false" customHeight="false" outlineLevel="0" collapsed="false">
      <c r="B1604" s="12" t="str">
        <f aca="false">IF(A1604="","",IFERROR(INDEX(Recipes!$B:$B,MATCH(A1604,Recipes!$A:$A,0)),"⚠ unknown recipe_id"))</f>
        <v/>
      </c>
      <c r="E1604" s="12" t="str">
        <f aca="false">IF(C1604="","",IFERROR(INDEX('Ingredient Catalog'!$C:$C,MATCH(C1604,'Ingredient Catalog'!$A:$A,0)),"⚠ not in catalog"))</f>
        <v/>
      </c>
      <c r="G1604" s="12" t="str">
        <f aca="false">IF(A1604="","",COUNTIFS('Weekly Log'!$A:$A,'Grocery List'!$B$3,'Weekly Log'!$C:$C,A1604,'Weekly Log'!$E:$E,"Yes"))</f>
        <v/>
      </c>
      <c r="H1604" s="12" t="str">
        <f aca="false">IF(OR(A1604="",D1604=""),"",D1604*G1604)</f>
        <v/>
      </c>
    </row>
    <row r="1605" customFormat="false" ht="15" hidden="false" customHeight="false" outlineLevel="0" collapsed="false">
      <c r="B1605" s="12" t="str">
        <f aca="false">IF(A1605="","",IFERROR(INDEX(Recipes!$B:$B,MATCH(A1605,Recipes!$A:$A,0)),"⚠ unknown recipe_id"))</f>
        <v/>
      </c>
      <c r="E1605" s="12" t="str">
        <f aca="false">IF(C1605="","",IFERROR(INDEX('Ingredient Catalog'!$C:$C,MATCH(C1605,'Ingredient Catalog'!$A:$A,0)),"⚠ not in catalog"))</f>
        <v/>
      </c>
      <c r="G1605" s="12" t="str">
        <f aca="false">IF(A1605="","",COUNTIFS('Weekly Log'!$A:$A,'Grocery List'!$B$3,'Weekly Log'!$C:$C,A1605,'Weekly Log'!$E:$E,"Yes"))</f>
        <v/>
      </c>
      <c r="H1605" s="12" t="str">
        <f aca="false">IF(OR(A1605="",D1605=""),"",D1605*G1605)</f>
        <v/>
      </c>
    </row>
    <row r="1606" customFormat="false" ht="15" hidden="false" customHeight="false" outlineLevel="0" collapsed="false">
      <c r="B1606" s="12" t="str">
        <f aca="false">IF(A1606="","",IFERROR(INDEX(Recipes!$B:$B,MATCH(A1606,Recipes!$A:$A,0)),"⚠ unknown recipe_id"))</f>
        <v/>
      </c>
      <c r="E1606" s="12" t="str">
        <f aca="false">IF(C1606="","",IFERROR(INDEX('Ingredient Catalog'!$C:$C,MATCH(C1606,'Ingredient Catalog'!$A:$A,0)),"⚠ not in catalog"))</f>
        <v/>
      </c>
      <c r="G1606" s="12" t="str">
        <f aca="false">IF(A1606="","",COUNTIFS('Weekly Log'!$A:$A,'Grocery List'!$B$3,'Weekly Log'!$C:$C,A1606,'Weekly Log'!$E:$E,"Yes"))</f>
        <v/>
      </c>
      <c r="H1606" s="12" t="str">
        <f aca="false">IF(OR(A1606="",D1606=""),"",D1606*G1606)</f>
        <v/>
      </c>
    </row>
    <row r="1607" customFormat="false" ht="15" hidden="false" customHeight="false" outlineLevel="0" collapsed="false">
      <c r="B1607" s="12" t="str">
        <f aca="false">IF(A1607="","",IFERROR(INDEX(Recipes!$B:$B,MATCH(A1607,Recipes!$A:$A,0)),"⚠ unknown recipe_id"))</f>
        <v/>
      </c>
      <c r="E1607" s="12" t="str">
        <f aca="false">IF(C1607="","",IFERROR(INDEX('Ingredient Catalog'!$C:$C,MATCH(C1607,'Ingredient Catalog'!$A:$A,0)),"⚠ not in catalog"))</f>
        <v/>
      </c>
      <c r="G1607" s="12" t="str">
        <f aca="false">IF(A1607="","",COUNTIFS('Weekly Log'!$A:$A,'Grocery List'!$B$3,'Weekly Log'!$C:$C,A1607,'Weekly Log'!$E:$E,"Yes"))</f>
        <v/>
      </c>
      <c r="H1607" s="12" t="str">
        <f aca="false">IF(OR(A1607="",D1607=""),"",D1607*G1607)</f>
        <v/>
      </c>
    </row>
    <row r="1608" customFormat="false" ht="15" hidden="false" customHeight="false" outlineLevel="0" collapsed="false">
      <c r="B1608" s="12" t="str">
        <f aca="false">IF(A1608="","",IFERROR(INDEX(Recipes!$B:$B,MATCH(A1608,Recipes!$A:$A,0)),"⚠ unknown recipe_id"))</f>
        <v/>
      </c>
      <c r="E1608" s="12" t="str">
        <f aca="false">IF(C1608="","",IFERROR(INDEX('Ingredient Catalog'!$C:$C,MATCH(C1608,'Ingredient Catalog'!$A:$A,0)),"⚠ not in catalog"))</f>
        <v/>
      </c>
      <c r="G1608" s="12" t="str">
        <f aca="false">IF(A1608="","",COUNTIFS('Weekly Log'!$A:$A,'Grocery List'!$B$3,'Weekly Log'!$C:$C,A1608,'Weekly Log'!$E:$E,"Yes"))</f>
        <v/>
      </c>
      <c r="H1608" s="12" t="str">
        <f aca="false">IF(OR(A1608="",D1608=""),"",D1608*G1608)</f>
        <v/>
      </c>
    </row>
    <row r="1609" customFormat="false" ht="15" hidden="false" customHeight="false" outlineLevel="0" collapsed="false">
      <c r="B1609" s="12" t="str">
        <f aca="false">IF(A1609="","",IFERROR(INDEX(Recipes!$B:$B,MATCH(A1609,Recipes!$A:$A,0)),"⚠ unknown recipe_id"))</f>
        <v/>
      </c>
      <c r="E1609" s="12" t="str">
        <f aca="false">IF(C1609="","",IFERROR(INDEX('Ingredient Catalog'!$C:$C,MATCH(C1609,'Ingredient Catalog'!$A:$A,0)),"⚠ not in catalog"))</f>
        <v/>
      </c>
      <c r="G1609" s="12" t="str">
        <f aca="false">IF(A1609="","",COUNTIFS('Weekly Log'!$A:$A,'Grocery List'!$B$3,'Weekly Log'!$C:$C,A1609,'Weekly Log'!$E:$E,"Yes"))</f>
        <v/>
      </c>
      <c r="H1609" s="12" t="str">
        <f aca="false">IF(OR(A1609="",D1609=""),"",D1609*G1609)</f>
        <v/>
      </c>
    </row>
    <row r="1610" customFormat="false" ht="15" hidden="false" customHeight="false" outlineLevel="0" collapsed="false">
      <c r="B1610" s="12" t="str">
        <f aca="false">IF(A1610="","",IFERROR(INDEX(Recipes!$B:$B,MATCH(A1610,Recipes!$A:$A,0)),"⚠ unknown recipe_id"))</f>
        <v/>
      </c>
      <c r="E1610" s="12" t="str">
        <f aca="false">IF(C1610="","",IFERROR(INDEX('Ingredient Catalog'!$C:$C,MATCH(C1610,'Ingredient Catalog'!$A:$A,0)),"⚠ not in catalog"))</f>
        <v/>
      </c>
      <c r="G1610" s="12" t="str">
        <f aca="false">IF(A1610="","",COUNTIFS('Weekly Log'!$A:$A,'Grocery List'!$B$3,'Weekly Log'!$C:$C,A1610,'Weekly Log'!$E:$E,"Yes"))</f>
        <v/>
      </c>
      <c r="H1610" s="12" t="str">
        <f aca="false">IF(OR(A1610="",D1610=""),"",D1610*G1610)</f>
        <v/>
      </c>
    </row>
    <row r="1611" customFormat="false" ht="15" hidden="false" customHeight="false" outlineLevel="0" collapsed="false">
      <c r="B1611" s="12" t="str">
        <f aca="false">IF(A1611="","",IFERROR(INDEX(Recipes!$B:$B,MATCH(A1611,Recipes!$A:$A,0)),"⚠ unknown recipe_id"))</f>
        <v/>
      </c>
      <c r="E1611" s="12" t="str">
        <f aca="false">IF(C1611="","",IFERROR(INDEX('Ingredient Catalog'!$C:$C,MATCH(C1611,'Ingredient Catalog'!$A:$A,0)),"⚠ not in catalog"))</f>
        <v/>
      </c>
      <c r="G1611" s="12" t="str">
        <f aca="false">IF(A1611="","",COUNTIFS('Weekly Log'!$A:$A,'Grocery List'!$B$3,'Weekly Log'!$C:$C,A1611,'Weekly Log'!$E:$E,"Yes"))</f>
        <v/>
      </c>
      <c r="H1611" s="12" t="str">
        <f aca="false">IF(OR(A1611="",D1611=""),"",D1611*G1611)</f>
        <v/>
      </c>
    </row>
    <row r="1612" customFormat="false" ht="15" hidden="false" customHeight="false" outlineLevel="0" collapsed="false">
      <c r="B1612" s="12" t="str">
        <f aca="false">IF(A1612="","",IFERROR(INDEX(Recipes!$B:$B,MATCH(A1612,Recipes!$A:$A,0)),"⚠ unknown recipe_id"))</f>
        <v/>
      </c>
      <c r="E1612" s="12" t="str">
        <f aca="false">IF(C1612="","",IFERROR(INDEX('Ingredient Catalog'!$C:$C,MATCH(C1612,'Ingredient Catalog'!$A:$A,0)),"⚠ not in catalog"))</f>
        <v/>
      </c>
      <c r="G1612" s="12" t="str">
        <f aca="false">IF(A1612="","",COUNTIFS('Weekly Log'!$A:$A,'Grocery List'!$B$3,'Weekly Log'!$C:$C,A1612,'Weekly Log'!$E:$E,"Yes"))</f>
        <v/>
      </c>
      <c r="H1612" s="12" t="str">
        <f aca="false">IF(OR(A1612="",D1612=""),"",D1612*G1612)</f>
        <v/>
      </c>
    </row>
    <row r="1613" customFormat="false" ht="15" hidden="false" customHeight="false" outlineLevel="0" collapsed="false">
      <c r="B1613" s="12" t="str">
        <f aca="false">IF(A1613="","",IFERROR(INDEX(Recipes!$B:$B,MATCH(A1613,Recipes!$A:$A,0)),"⚠ unknown recipe_id"))</f>
        <v/>
      </c>
      <c r="E1613" s="12" t="str">
        <f aca="false">IF(C1613="","",IFERROR(INDEX('Ingredient Catalog'!$C:$C,MATCH(C1613,'Ingredient Catalog'!$A:$A,0)),"⚠ not in catalog"))</f>
        <v/>
      </c>
      <c r="G1613" s="12" t="str">
        <f aca="false">IF(A1613="","",COUNTIFS('Weekly Log'!$A:$A,'Grocery List'!$B$3,'Weekly Log'!$C:$C,A1613,'Weekly Log'!$E:$E,"Yes"))</f>
        <v/>
      </c>
      <c r="H1613" s="12" t="str">
        <f aca="false">IF(OR(A1613="",D1613=""),"",D1613*G1613)</f>
        <v/>
      </c>
    </row>
    <row r="1614" customFormat="false" ht="15" hidden="false" customHeight="false" outlineLevel="0" collapsed="false">
      <c r="B1614" s="12" t="str">
        <f aca="false">IF(A1614="","",IFERROR(INDEX(Recipes!$B:$B,MATCH(A1614,Recipes!$A:$A,0)),"⚠ unknown recipe_id"))</f>
        <v/>
      </c>
      <c r="E1614" s="12" t="str">
        <f aca="false">IF(C1614="","",IFERROR(INDEX('Ingredient Catalog'!$C:$C,MATCH(C1614,'Ingredient Catalog'!$A:$A,0)),"⚠ not in catalog"))</f>
        <v/>
      </c>
      <c r="G1614" s="12" t="str">
        <f aca="false">IF(A1614="","",COUNTIFS('Weekly Log'!$A:$A,'Grocery List'!$B$3,'Weekly Log'!$C:$C,A1614,'Weekly Log'!$E:$E,"Yes"))</f>
        <v/>
      </c>
      <c r="H1614" s="12" t="str">
        <f aca="false">IF(OR(A1614="",D1614=""),"",D1614*G1614)</f>
        <v/>
      </c>
    </row>
    <row r="1615" customFormat="false" ht="15" hidden="false" customHeight="false" outlineLevel="0" collapsed="false">
      <c r="B1615" s="12" t="str">
        <f aca="false">IF(A1615="","",IFERROR(INDEX(Recipes!$B:$B,MATCH(A1615,Recipes!$A:$A,0)),"⚠ unknown recipe_id"))</f>
        <v/>
      </c>
      <c r="E1615" s="12" t="str">
        <f aca="false">IF(C1615="","",IFERROR(INDEX('Ingredient Catalog'!$C:$C,MATCH(C1615,'Ingredient Catalog'!$A:$A,0)),"⚠ not in catalog"))</f>
        <v/>
      </c>
      <c r="G1615" s="12" t="str">
        <f aca="false">IF(A1615="","",COUNTIFS('Weekly Log'!$A:$A,'Grocery List'!$B$3,'Weekly Log'!$C:$C,A1615,'Weekly Log'!$E:$E,"Yes"))</f>
        <v/>
      </c>
      <c r="H1615" s="12" t="str">
        <f aca="false">IF(OR(A1615="",D1615=""),"",D1615*G1615)</f>
        <v/>
      </c>
    </row>
    <row r="1616" customFormat="false" ht="15" hidden="false" customHeight="false" outlineLevel="0" collapsed="false">
      <c r="B1616" s="12" t="str">
        <f aca="false">IF(A1616="","",IFERROR(INDEX(Recipes!$B:$B,MATCH(A1616,Recipes!$A:$A,0)),"⚠ unknown recipe_id"))</f>
        <v/>
      </c>
      <c r="E1616" s="12" t="str">
        <f aca="false">IF(C1616="","",IFERROR(INDEX('Ingredient Catalog'!$C:$C,MATCH(C1616,'Ingredient Catalog'!$A:$A,0)),"⚠ not in catalog"))</f>
        <v/>
      </c>
      <c r="G1616" s="12" t="str">
        <f aca="false">IF(A1616="","",COUNTIFS('Weekly Log'!$A:$A,'Grocery List'!$B$3,'Weekly Log'!$C:$C,A1616,'Weekly Log'!$E:$E,"Yes"))</f>
        <v/>
      </c>
      <c r="H1616" s="12" t="str">
        <f aca="false">IF(OR(A1616="",D1616=""),"",D1616*G1616)</f>
        <v/>
      </c>
    </row>
    <row r="1617" customFormat="false" ht="15" hidden="false" customHeight="false" outlineLevel="0" collapsed="false">
      <c r="B1617" s="12" t="str">
        <f aca="false">IF(A1617="","",IFERROR(INDEX(Recipes!$B:$B,MATCH(A1617,Recipes!$A:$A,0)),"⚠ unknown recipe_id"))</f>
        <v/>
      </c>
      <c r="E1617" s="12" t="str">
        <f aca="false">IF(C1617="","",IFERROR(INDEX('Ingredient Catalog'!$C:$C,MATCH(C1617,'Ingredient Catalog'!$A:$A,0)),"⚠ not in catalog"))</f>
        <v/>
      </c>
      <c r="G1617" s="12" t="str">
        <f aca="false">IF(A1617="","",COUNTIFS('Weekly Log'!$A:$A,'Grocery List'!$B$3,'Weekly Log'!$C:$C,A1617,'Weekly Log'!$E:$E,"Yes"))</f>
        <v/>
      </c>
      <c r="H1617" s="12" t="str">
        <f aca="false">IF(OR(A1617="",D1617=""),"",D1617*G1617)</f>
        <v/>
      </c>
    </row>
    <row r="1618" customFormat="false" ht="15" hidden="false" customHeight="false" outlineLevel="0" collapsed="false">
      <c r="B1618" s="12" t="str">
        <f aca="false">IF(A1618="","",IFERROR(INDEX(Recipes!$B:$B,MATCH(A1618,Recipes!$A:$A,0)),"⚠ unknown recipe_id"))</f>
        <v/>
      </c>
      <c r="E1618" s="12" t="str">
        <f aca="false">IF(C1618="","",IFERROR(INDEX('Ingredient Catalog'!$C:$C,MATCH(C1618,'Ingredient Catalog'!$A:$A,0)),"⚠ not in catalog"))</f>
        <v/>
      </c>
      <c r="G1618" s="12" t="str">
        <f aca="false">IF(A1618="","",COUNTIFS('Weekly Log'!$A:$A,'Grocery List'!$B$3,'Weekly Log'!$C:$C,A1618,'Weekly Log'!$E:$E,"Yes"))</f>
        <v/>
      </c>
      <c r="H1618" s="12" t="str">
        <f aca="false">IF(OR(A1618="",D1618=""),"",D1618*G1618)</f>
        <v/>
      </c>
    </row>
    <row r="1619" customFormat="false" ht="15" hidden="false" customHeight="false" outlineLevel="0" collapsed="false">
      <c r="B1619" s="12" t="str">
        <f aca="false">IF(A1619="","",IFERROR(INDEX(Recipes!$B:$B,MATCH(A1619,Recipes!$A:$A,0)),"⚠ unknown recipe_id"))</f>
        <v/>
      </c>
      <c r="E1619" s="12" t="str">
        <f aca="false">IF(C1619="","",IFERROR(INDEX('Ingredient Catalog'!$C:$C,MATCH(C1619,'Ingredient Catalog'!$A:$A,0)),"⚠ not in catalog"))</f>
        <v/>
      </c>
      <c r="G1619" s="12" t="str">
        <f aca="false">IF(A1619="","",COUNTIFS('Weekly Log'!$A:$A,'Grocery List'!$B$3,'Weekly Log'!$C:$C,A1619,'Weekly Log'!$E:$E,"Yes"))</f>
        <v/>
      </c>
      <c r="H1619" s="12" t="str">
        <f aca="false">IF(OR(A1619="",D1619=""),"",D1619*G1619)</f>
        <v/>
      </c>
    </row>
    <row r="1620" customFormat="false" ht="15" hidden="false" customHeight="false" outlineLevel="0" collapsed="false">
      <c r="B1620" s="12" t="str">
        <f aca="false">IF(A1620="","",IFERROR(INDEX(Recipes!$B:$B,MATCH(A1620,Recipes!$A:$A,0)),"⚠ unknown recipe_id"))</f>
        <v/>
      </c>
      <c r="E1620" s="12" t="str">
        <f aca="false">IF(C1620="","",IFERROR(INDEX('Ingredient Catalog'!$C:$C,MATCH(C1620,'Ingredient Catalog'!$A:$A,0)),"⚠ not in catalog"))</f>
        <v/>
      </c>
      <c r="G1620" s="12" t="str">
        <f aca="false">IF(A1620="","",COUNTIFS('Weekly Log'!$A:$A,'Grocery List'!$B$3,'Weekly Log'!$C:$C,A1620,'Weekly Log'!$E:$E,"Yes"))</f>
        <v/>
      </c>
      <c r="H1620" s="12" t="str">
        <f aca="false">IF(OR(A1620="",D1620=""),"",D1620*G1620)</f>
        <v/>
      </c>
    </row>
    <row r="1621" customFormat="false" ht="15" hidden="false" customHeight="false" outlineLevel="0" collapsed="false">
      <c r="B1621" s="12" t="str">
        <f aca="false">IF(A1621="","",IFERROR(INDEX(Recipes!$B:$B,MATCH(A1621,Recipes!$A:$A,0)),"⚠ unknown recipe_id"))</f>
        <v/>
      </c>
      <c r="E1621" s="12" t="str">
        <f aca="false">IF(C1621="","",IFERROR(INDEX('Ingredient Catalog'!$C:$C,MATCH(C1621,'Ingredient Catalog'!$A:$A,0)),"⚠ not in catalog"))</f>
        <v/>
      </c>
      <c r="G1621" s="12" t="str">
        <f aca="false">IF(A1621="","",COUNTIFS('Weekly Log'!$A:$A,'Grocery List'!$B$3,'Weekly Log'!$C:$C,A1621,'Weekly Log'!$E:$E,"Yes"))</f>
        <v/>
      </c>
      <c r="H1621" s="12" t="str">
        <f aca="false">IF(OR(A1621="",D1621=""),"",D1621*G1621)</f>
        <v/>
      </c>
    </row>
    <row r="1622" customFormat="false" ht="15" hidden="false" customHeight="false" outlineLevel="0" collapsed="false">
      <c r="B1622" s="12" t="str">
        <f aca="false">IF(A1622="","",IFERROR(INDEX(Recipes!$B:$B,MATCH(A1622,Recipes!$A:$A,0)),"⚠ unknown recipe_id"))</f>
        <v/>
      </c>
      <c r="E1622" s="12" t="str">
        <f aca="false">IF(C1622="","",IFERROR(INDEX('Ingredient Catalog'!$C:$C,MATCH(C1622,'Ingredient Catalog'!$A:$A,0)),"⚠ not in catalog"))</f>
        <v/>
      </c>
      <c r="G1622" s="12" t="str">
        <f aca="false">IF(A1622="","",COUNTIFS('Weekly Log'!$A:$A,'Grocery List'!$B$3,'Weekly Log'!$C:$C,A1622,'Weekly Log'!$E:$E,"Yes"))</f>
        <v/>
      </c>
      <c r="H1622" s="12" t="str">
        <f aca="false">IF(OR(A1622="",D1622=""),"",D1622*G1622)</f>
        <v/>
      </c>
    </row>
    <row r="1623" customFormat="false" ht="15" hidden="false" customHeight="false" outlineLevel="0" collapsed="false">
      <c r="B1623" s="12" t="str">
        <f aca="false">IF(A1623="","",IFERROR(INDEX(Recipes!$B:$B,MATCH(A1623,Recipes!$A:$A,0)),"⚠ unknown recipe_id"))</f>
        <v/>
      </c>
      <c r="E1623" s="12" t="str">
        <f aca="false">IF(C1623="","",IFERROR(INDEX('Ingredient Catalog'!$C:$C,MATCH(C1623,'Ingredient Catalog'!$A:$A,0)),"⚠ not in catalog"))</f>
        <v/>
      </c>
      <c r="G1623" s="12" t="str">
        <f aca="false">IF(A1623="","",COUNTIFS('Weekly Log'!$A:$A,'Grocery List'!$B$3,'Weekly Log'!$C:$C,A1623,'Weekly Log'!$E:$E,"Yes"))</f>
        <v/>
      </c>
      <c r="H1623" s="12" t="str">
        <f aca="false">IF(OR(A1623="",D1623=""),"",D1623*G1623)</f>
        <v/>
      </c>
    </row>
    <row r="1624" customFormat="false" ht="15" hidden="false" customHeight="false" outlineLevel="0" collapsed="false">
      <c r="B1624" s="12" t="str">
        <f aca="false">IF(A1624="","",IFERROR(INDEX(Recipes!$B:$B,MATCH(A1624,Recipes!$A:$A,0)),"⚠ unknown recipe_id"))</f>
        <v/>
      </c>
      <c r="E1624" s="12" t="str">
        <f aca="false">IF(C1624="","",IFERROR(INDEX('Ingredient Catalog'!$C:$C,MATCH(C1624,'Ingredient Catalog'!$A:$A,0)),"⚠ not in catalog"))</f>
        <v/>
      </c>
      <c r="G1624" s="12" t="str">
        <f aca="false">IF(A1624="","",COUNTIFS('Weekly Log'!$A:$A,'Grocery List'!$B$3,'Weekly Log'!$C:$C,A1624,'Weekly Log'!$E:$E,"Yes"))</f>
        <v/>
      </c>
      <c r="H1624" s="12" t="str">
        <f aca="false">IF(OR(A1624="",D1624=""),"",D1624*G1624)</f>
        <v/>
      </c>
    </row>
    <row r="1625" customFormat="false" ht="15" hidden="false" customHeight="false" outlineLevel="0" collapsed="false">
      <c r="B1625" s="12" t="str">
        <f aca="false">IF(A1625="","",IFERROR(INDEX(Recipes!$B:$B,MATCH(A1625,Recipes!$A:$A,0)),"⚠ unknown recipe_id"))</f>
        <v/>
      </c>
      <c r="E1625" s="12" t="str">
        <f aca="false">IF(C1625="","",IFERROR(INDEX('Ingredient Catalog'!$C:$C,MATCH(C1625,'Ingredient Catalog'!$A:$A,0)),"⚠ not in catalog"))</f>
        <v/>
      </c>
      <c r="G1625" s="12" t="str">
        <f aca="false">IF(A1625="","",COUNTIFS('Weekly Log'!$A:$A,'Grocery List'!$B$3,'Weekly Log'!$C:$C,A1625,'Weekly Log'!$E:$E,"Yes"))</f>
        <v/>
      </c>
      <c r="H1625" s="12" t="str">
        <f aca="false">IF(OR(A1625="",D1625=""),"",D1625*G1625)</f>
        <v/>
      </c>
    </row>
    <row r="1626" customFormat="false" ht="15" hidden="false" customHeight="false" outlineLevel="0" collapsed="false">
      <c r="B1626" s="12" t="str">
        <f aca="false">IF(A1626="","",IFERROR(INDEX(Recipes!$B:$B,MATCH(A1626,Recipes!$A:$A,0)),"⚠ unknown recipe_id"))</f>
        <v/>
      </c>
      <c r="E1626" s="12" t="str">
        <f aca="false">IF(C1626="","",IFERROR(INDEX('Ingredient Catalog'!$C:$C,MATCH(C1626,'Ingredient Catalog'!$A:$A,0)),"⚠ not in catalog"))</f>
        <v/>
      </c>
      <c r="G1626" s="12" t="str">
        <f aca="false">IF(A1626="","",COUNTIFS('Weekly Log'!$A:$A,'Grocery List'!$B$3,'Weekly Log'!$C:$C,A1626,'Weekly Log'!$E:$E,"Yes"))</f>
        <v/>
      </c>
      <c r="H1626" s="12" t="str">
        <f aca="false">IF(OR(A1626="",D1626=""),"",D1626*G1626)</f>
        <v/>
      </c>
    </row>
    <row r="1627" customFormat="false" ht="15" hidden="false" customHeight="false" outlineLevel="0" collapsed="false">
      <c r="B1627" s="12" t="str">
        <f aca="false">IF(A1627="","",IFERROR(INDEX(Recipes!$B:$B,MATCH(A1627,Recipes!$A:$A,0)),"⚠ unknown recipe_id"))</f>
        <v/>
      </c>
      <c r="E1627" s="12" t="str">
        <f aca="false">IF(C1627="","",IFERROR(INDEX('Ingredient Catalog'!$C:$C,MATCH(C1627,'Ingredient Catalog'!$A:$A,0)),"⚠ not in catalog"))</f>
        <v/>
      </c>
      <c r="G1627" s="12" t="str">
        <f aca="false">IF(A1627="","",COUNTIFS('Weekly Log'!$A:$A,'Grocery List'!$B$3,'Weekly Log'!$C:$C,A1627,'Weekly Log'!$E:$E,"Yes"))</f>
        <v/>
      </c>
      <c r="H1627" s="12" t="str">
        <f aca="false">IF(OR(A1627="",D1627=""),"",D1627*G1627)</f>
        <v/>
      </c>
    </row>
    <row r="1628" customFormat="false" ht="15" hidden="false" customHeight="false" outlineLevel="0" collapsed="false">
      <c r="B1628" s="12" t="str">
        <f aca="false">IF(A1628="","",IFERROR(INDEX(Recipes!$B:$B,MATCH(A1628,Recipes!$A:$A,0)),"⚠ unknown recipe_id"))</f>
        <v/>
      </c>
      <c r="E1628" s="12" t="str">
        <f aca="false">IF(C1628="","",IFERROR(INDEX('Ingredient Catalog'!$C:$C,MATCH(C1628,'Ingredient Catalog'!$A:$A,0)),"⚠ not in catalog"))</f>
        <v/>
      </c>
      <c r="G1628" s="12" t="str">
        <f aca="false">IF(A1628="","",COUNTIFS('Weekly Log'!$A:$A,'Grocery List'!$B$3,'Weekly Log'!$C:$C,A1628,'Weekly Log'!$E:$E,"Yes"))</f>
        <v/>
      </c>
      <c r="H1628" s="12" t="str">
        <f aca="false">IF(OR(A1628="",D1628=""),"",D1628*G1628)</f>
        <v/>
      </c>
    </row>
    <row r="1629" customFormat="false" ht="15" hidden="false" customHeight="false" outlineLevel="0" collapsed="false">
      <c r="B1629" s="12" t="str">
        <f aca="false">IF(A1629="","",IFERROR(INDEX(Recipes!$B:$B,MATCH(A1629,Recipes!$A:$A,0)),"⚠ unknown recipe_id"))</f>
        <v/>
      </c>
      <c r="E1629" s="12" t="str">
        <f aca="false">IF(C1629="","",IFERROR(INDEX('Ingredient Catalog'!$C:$C,MATCH(C1629,'Ingredient Catalog'!$A:$A,0)),"⚠ not in catalog"))</f>
        <v/>
      </c>
      <c r="G1629" s="12" t="str">
        <f aca="false">IF(A1629="","",COUNTIFS('Weekly Log'!$A:$A,'Grocery List'!$B$3,'Weekly Log'!$C:$C,A1629,'Weekly Log'!$E:$E,"Yes"))</f>
        <v/>
      </c>
      <c r="H1629" s="12" t="str">
        <f aca="false">IF(OR(A1629="",D1629=""),"",D1629*G1629)</f>
        <v/>
      </c>
    </row>
    <row r="1630" customFormat="false" ht="15" hidden="false" customHeight="false" outlineLevel="0" collapsed="false">
      <c r="B1630" s="12" t="str">
        <f aca="false">IF(A1630="","",IFERROR(INDEX(Recipes!$B:$B,MATCH(A1630,Recipes!$A:$A,0)),"⚠ unknown recipe_id"))</f>
        <v/>
      </c>
      <c r="E1630" s="12" t="str">
        <f aca="false">IF(C1630="","",IFERROR(INDEX('Ingredient Catalog'!$C:$C,MATCH(C1630,'Ingredient Catalog'!$A:$A,0)),"⚠ not in catalog"))</f>
        <v/>
      </c>
      <c r="G1630" s="12" t="str">
        <f aca="false">IF(A1630="","",COUNTIFS('Weekly Log'!$A:$A,'Grocery List'!$B$3,'Weekly Log'!$C:$C,A1630,'Weekly Log'!$E:$E,"Yes"))</f>
        <v/>
      </c>
      <c r="H1630" s="12" t="str">
        <f aca="false">IF(OR(A1630="",D1630=""),"",D1630*G1630)</f>
        <v/>
      </c>
    </row>
    <row r="1631" customFormat="false" ht="15" hidden="false" customHeight="false" outlineLevel="0" collapsed="false">
      <c r="B1631" s="12" t="str">
        <f aca="false">IF(A1631="","",IFERROR(INDEX(Recipes!$B:$B,MATCH(A1631,Recipes!$A:$A,0)),"⚠ unknown recipe_id"))</f>
        <v/>
      </c>
      <c r="E1631" s="12" t="str">
        <f aca="false">IF(C1631="","",IFERROR(INDEX('Ingredient Catalog'!$C:$C,MATCH(C1631,'Ingredient Catalog'!$A:$A,0)),"⚠ not in catalog"))</f>
        <v/>
      </c>
      <c r="G1631" s="12" t="str">
        <f aca="false">IF(A1631="","",COUNTIFS('Weekly Log'!$A:$A,'Grocery List'!$B$3,'Weekly Log'!$C:$C,A1631,'Weekly Log'!$E:$E,"Yes"))</f>
        <v/>
      </c>
      <c r="H1631" s="12" t="str">
        <f aca="false">IF(OR(A1631="",D1631=""),"",D1631*G1631)</f>
        <v/>
      </c>
    </row>
    <row r="1632" customFormat="false" ht="15" hidden="false" customHeight="false" outlineLevel="0" collapsed="false">
      <c r="B1632" s="12" t="str">
        <f aca="false">IF(A1632="","",IFERROR(INDEX(Recipes!$B:$B,MATCH(A1632,Recipes!$A:$A,0)),"⚠ unknown recipe_id"))</f>
        <v/>
      </c>
      <c r="E1632" s="12" t="str">
        <f aca="false">IF(C1632="","",IFERROR(INDEX('Ingredient Catalog'!$C:$C,MATCH(C1632,'Ingredient Catalog'!$A:$A,0)),"⚠ not in catalog"))</f>
        <v/>
      </c>
      <c r="G1632" s="12" t="str">
        <f aca="false">IF(A1632="","",COUNTIFS('Weekly Log'!$A:$A,'Grocery List'!$B$3,'Weekly Log'!$C:$C,A1632,'Weekly Log'!$E:$E,"Yes"))</f>
        <v/>
      </c>
      <c r="H1632" s="12" t="str">
        <f aca="false">IF(OR(A1632="",D1632=""),"",D1632*G1632)</f>
        <v/>
      </c>
    </row>
    <row r="1633" customFormat="false" ht="15" hidden="false" customHeight="false" outlineLevel="0" collapsed="false">
      <c r="B1633" s="12" t="str">
        <f aca="false">IF(A1633="","",IFERROR(INDEX(Recipes!$B:$B,MATCH(A1633,Recipes!$A:$A,0)),"⚠ unknown recipe_id"))</f>
        <v/>
      </c>
      <c r="E1633" s="12" t="str">
        <f aca="false">IF(C1633="","",IFERROR(INDEX('Ingredient Catalog'!$C:$C,MATCH(C1633,'Ingredient Catalog'!$A:$A,0)),"⚠ not in catalog"))</f>
        <v/>
      </c>
      <c r="G1633" s="12" t="str">
        <f aca="false">IF(A1633="","",COUNTIFS('Weekly Log'!$A:$A,'Grocery List'!$B$3,'Weekly Log'!$C:$C,A1633,'Weekly Log'!$E:$E,"Yes"))</f>
        <v/>
      </c>
      <c r="H1633" s="12" t="str">
        <f aca="false">IF(OR(A1633="",D1633=""),"",D1633*G1633)</f>
        <v/>
      </c>
    </row>
    <row r="1634" customFormat="false" ht="15" hidden="false" customHeight="false" outlineLevel="0" collapsed="false">
      <c r="B1634" s="12" t="str">
        <f aca="false">IF(A1634="","",IFERROR(INDEX(Recipes!$B:$B,MATCH(A1634,Recipes!$A:$A,0)),"⚠ unknown recipe_id"))</f>
        <v/>
      </c>
      <c r="E1634" s="12" t="str">
        <f aca="false">IF(C1634="","",IFERROR(INDEX('Ingredient Catalog'!$C:$C,MATCH(C1634,'Ingredient Catalog'!$A:$A,0)),"⚠ not in catalog"))</f>
        <v/>
      </c>
      <c r="G1634" s="12" t="str">
        <f aca="false">IF(A1634="","",COUNTIFS('Weekly Log'!$A:$A,'Grocery List'!$B$3,'Weekly Log'!$C:$C,A1634,'Weekly Log'!$E:$E,"Yes"))</f>
        <v/>
      </c>
      <c r="H1634" s="12" t="str">
        <f aca="false">IF(OR(A1634="",D1634=""),"",D1634*G1634)</f>
        <v/>
      </c>
    </row>
    <row r="1635" customFormat="false" ht="15" hidden="false" customHeight="false" outlineLevel="0" collapsed="false">
      <c r="B1635" s="12" t="str">
        <f aca="false">IF(A1635="","",IFERROR(INDEX(Recipes!$B:$B,MATCH(A1635,Recipes!$A:$A,0)),"⚠ unknown recipe_id"))</f>
        <v/>
      </c>
      <c r="E1635" s="12" t="str">
        <f aca="false">IF(C1635="","",IFERROR(INDEX('Ingredient Catalog'!$C:$C,MATCH(C1635,'Ingredient Catalog'!$A:$A,0)),"⚠ not in catalog"))</f>
        <v/>
      </c>
      <c r="G1635" s="12" t="str">
        <f aca="false">IF(A1635="","",COUNTIFS('Weekly Log'!$A:$A,'Grocery List'!$B$3,'Weekly Log'!$C:$C,A1635,'Weekly Log'!$E:$E,"Yes"))</f>
        <v/>
      </c>
      <c r="H1635" s="12" t="str">
        <f aca="false">IF(OR(A1635="",D1635=""),"",D1635*G1635)</f>
        <v/>
      </c>
    </row>
    <row r="1636" customFormat="false" ht="15" hidden="false" customHeight="false" outlineLevel="0" collapsed="false">
      <c r="B1636" s="12" t="str">
        <f aca="false">IF(A1636="","",IFERROR(INDEX(Recipes!$B:$B,MATCH(A1636,Recipes!$A:$A,0)),"⚠ unknown recipe_id"))</f>
        <v/>
      </c>
      <c r="E1636" s="12" t="str">
        <f aca="false">IF(C1636="","",IFERROR(INDEX('Ingredient Catalog'!$C:$C,MATCH(C1636,'Ingredient Catalog'!$A:$A,0)),"⚠ not in catalog"))</f>
        <v/>
      </c>
      <c r="G1636" s="12" t="str">
        <f aca="false">IF(A1636="","",COUNTIFS('Weekly Log'!$A:$A,'Grocery List'!$B$3,'Weekly Log'!$C:$C,A1636,'Weekly Log'!$E:$E,"Yes"))</f>
        <v/>
      </c>
      <c r="H1636" s="12" t="str">
        <f aca="false">IF(OR(A1636="",D1636=""),"",D1636*G1636)</f>
        <v/>
      </c>
    </row>
    <row r="1637" customFormat="false" ht="15" hidden="false" customHeight="false" outlineLevel="0" collapsed="false">
      <c r="B1637" s="12" t="str">
        <f aca="false">IF(A1637="","",IFERROR(INDEX(Recipes!$B:$B,MATCH(A1637,Recipes!$A:$A,0)),"⚠ unknown recipe_id"))</f>
        <v/>
      </c>
      <c r="E1637" s="12" t="str">
        <f aca="false">IF(C1637="","",IFERROR(INDEX('Ingredient Catalog'!$C:$C,MATCH(C1637,'Ingredient Catalog'!$A:$A,0)),"⚠ not in catalog"))</f>
        <v/>
      </c>
      <c r="G1637" s="12" t="str">
        <f aca="false">IF(A1637="","",COUNTIFS('Weekly Log'!$A:$A,'Grocery List'!$B$3,'Weekly Log'!$C:$C,A1637,'Weekly Log'!$E:$E,"Yes"))</f>
        <v/>
      </c>
      <c r="H1637" s="12" t="str">
        <f aca="false">IF(OR(A1637="",D1637=""),"",D1637*G1637)</f>
        <v/>
      </c>
    </row>
    <row r="1638" customFormat="false" ht="15" hidden="false" customHeight="false" outlineLevel="0" collapsed="false">
      <c r="B1638" s="12" t="str">
        <f aca="false">IF(A1638="","",IFERROR(INDEX(Recipes!$B:$B,MATCH(A1638,Recipes!$A:$A,0)),"⚠ unknown recipe_id"))</f>
        <v/>
      </c>
      <c r="E1638" s="12" t="str">
        <f aca="false">IF(C1638="","",IFERROR(INDEX('Ingredient Catalog'!$C:$C,MATCH(C1638,'Ingredient Catalog'!$A:$A,0)),"⚠ not in catalog"))</f>
        <v/>
      </c>
      <c r="G1638" s="12" t="str">
        <f aca="false">IF(A1638="","",COUNTIFS('Weekly Log'!$A:$A,'Grocery List'!$B$3,'Weekly Log'!$C:$C,A1638,'Weekly Log'!$E:$E,"Yes"))</f>
        <v/>
      </c>
      <c r="H1638" s="12" t="str">
        <f aca="false">IF(OR(A1638="",D1638=""),"",D1638*G1638)</f>
        <v/>
      </c>
    </row>
    <row r="1639" customFormat="false" ht="15" hidden="false" customHeight="false" outlineLevel="0" collapsed="false">
      <c r="B1639" s="12" t="str">
        <f aca="false">IF(A1639="","",IFERROR(INDEX(Recipes!$B:$B,MATCH(A1639,Recipes!$A:$A,0)),"⚠ unknown recipe_id"))</f>
        <v/>
      </c>
      <c r="E1639" s="12" t="str">
        <f aca="false">IF(C1639="","",IFERROR(INDEX('Ingredient Catalog'!$C:$C,MATCH(C1639,'Ingredient Catalog'!$A:$A,0)),"⚠ not in catalog"))</f>
        <v/>
      </c>
      <c r="G1639" s="12" t="str">
        <f aca="false">IF(A1639="","",COUNTIFS('Weekly Log'!$A:$A,'Grocery List'!$B$3,'Weekly Log'!$C:$C,A1639,'Weekly Log'!$E:$E,"Yes"))</f>
        <v/>
      </c>
      <c r="H1639" s="12" t="str">
        <f aca="false">IF(OR(A1639="",D1639=""),"",D1639*G1639)</f>
        <v/>
      </c>
    </row>
    <row r="1640" customFormat="false" ht="15" hidden="false" customHeight="false" outlineLevel="0" collapsed="false">
      <c r="B1640" s="12" t="str">
        <f aca="false">IF(A1640="","",IFERROR(INDEX(Recipes!$B:$B,MATCH(A1640,Recipes!$A:$A,0)),"⚠ unknown recipe_id"))</f>
        <v/>
      </c>
      <c r="E1640" s="12" t="str">
        <f aca="false">IF(C1640="","",IFERROR(INDEX('Ingredient Catalog'!$C:$C,MATCH(C1640,'Ingredient Catalog'!$A:$A,0)),"⚠ not in catalog"))</f>
        <v/>
      </c>
      <c r="G1640" s="12" t="str">
        <f aca="false">IF(A1640="","",COUNTIFS('Weekly Log'!$A:$A,'Grocery List'!$B$3,'Weekly Log'!$C:$C,A1640,'Weekly Log'!$E:$E,"Yes"))</f>
        <v/>
      </c>
      <c r="H1640" s="12" t="str">
        <f aca="false">IF(OR(A1640="",D1640=""),"",D1640*G1640)</f>
        <v/>
      </c>
    </row>
    <row r="1641" customFormat="false" ht="15" hidden="false" customHeight="false" outlineLevel="0" collapsed="false">
      <c r="B1641" s="12" t="str">
        <f aca="false">IF(A1641="","",IFERROR(INDEX(Recipes!$B:$B,MATCH(A1641,Recipes!$A:$A,0)),"⚠ unknown recipe_id"))</f>
        <v/>
      </c>
      <c r="E1641" s="12" t="str">
        <f aca="false">IF(C1641="","",IFERROR(INDEX('Ingredient Catalog'!$C:$C,MATCH(C1641,'Ingredient Catalog'!$A:$A,0)),"⚠ not in catalog"))</f>
        <v/>
      </c>
      <c r="G1641" s="12" t="str">
        <f aca="false">IF(A1641="","",COUNTIFS('Weekly Log'!$A:$A,'Grocery List'!$B$3,'Weekly Log'!$C:$C,A1641,'Weekly Log'!$E:$E,"Yes"))</f>
        <v/>
      </c>
      <c r="H1641" s="12" t="str">
        <f aca="false">IF(OR(A1641="",D1641=""),"",D1641*G1641)</f>
        <v/>
      </c>
    </row>
    <row r="1642" customFormat="false" ht="15" hidden="false" customHeight="false" outlineLevel="0" collapsed="false">
      <c r="B1642" s="12" t="str">
        <f aca="false">IF(A1642="","",IFERROR(INDEX(Recipes!$B:$B,MATCH(A1642,Recipes!$A:$A,0)),"⚠ unknown recipe_id"))</f>
        <v/>
      </c>
      <c r="E1642" s="12" t="str">
        <f aca="false">IF(C1642="","",IFERROR(INDEX('Ingredient Catalog'!$C:$C,MATCH(C1642,'Ingredient Catalog'!$A:$A,0)),"⚠ not in catalog"))</f>
        <v/>
      </c>
      <c r="G1642" s="12" t="str">
        <f aca="false">IF(A1642="","",COUNTIFS('Weekly Log'!$A:$A,'Grocery List'!$B$3,'Weekly Log'!$C:$C,A1642,'Weekly Log'!$E:$E,"Yes"))</f>
        <v/>
      </c>
      <c r="H1642" s="12" t="str">
        <f aca="false">IF(OR(A1642="",D1642=""),"",D1642*G1642)</f>
        <v/>
      </c>
    </row>
    <row r="1643" customFormat="false" ht="15" hidden="false" customHeight="false" outlineLevel="0" collapsed="false">
      <c r="B1643" s="12" t="str">
        <f aca="false">IF(A1643="","",IFERROR(INDEX(Recipes!$B:$B,MATCH(A1643,Recipes!$A:$A,0)),"⚠ unknown recipe_id"))</f>
        <v/>
      </c>
      <c r="E1643" s="12" t="str">
        <f aca="false">IF(C1643="","",IFERROR(INDEX('Ingredient Catalog'!$C:$C,MATCH(C1643,'Ingredient Catalog'!$A:$A,0)),"⚠ not in catalog"))</f>
        <v/>
      </c>
      <c r="G1643" s="12" t="str">
        <f aca="false">IF(A1643="","",COUNTIFS('Weekly Log'!$A:$A,'Grocery List'!$B$3,'Weekly Log'!$C:$C,A1643,'Weekly Log'!$E:$E,"Yes"))</f>
        <v/>
      </c>
      <c r="H1643" s="12" t="str">
        <f aca="false">IF(OR(A1643="",D1643=""),"",D1643*G1643)</f>
        <v/>
      </c>
    </row>
    <row r="1644" customFormat="false" ht="15" hidden="false" customHeight="false" outlineLevel="0" collapsed="false">
      <c r="B1644" s="12" t="str">
        <f aca="false">IF(A1644="","",IFERROR(INDEX(Recipes!$B:$B,MATCH(A1644,Recipes!$A:$A,0)),"⚠ unknown recipe_id"))</f>
        <v/>
      </c>
      <c r="E1644" s="12" t="str">
        <f aca="false">IF(C1644="","",IFERROR(INDEX('Ingredient Catalog'!$C:$C,MATCH(C1644,'Ingredient Catalog'!$A:$A,0)),"⚠ not in catalog"))</f>
        <v/>
      </c>
      <c r="G1644" s="12" t="str">
        <f aca="false">IF(A1644="","",COUNTIFS('Weekly Log'!$A:$A,'Grocery List'!$B$3,'Weekly Log'!$C:$C,A1644,'Weekly Log'!$E:$E,"Yes"))</f>
        <v/>
      </c>
      <c r="H1644" s="12" t="str">
        <f aca="false">IF(OR(A1644="",D1644=""),"",D1644*G1644)</f>
        <v/>
      </c>
    </row>
    <row r="1645" customFormat="false" ht="15" hidden="false" customHeight="false" outlineLevel="0" collapsed="false">
      <c r="B1645" s="12" t="str">
        <f aca="false">IF(A1645="","",IFERROR(INDEX(Recipes!$B:$B,MATCH(A1645,Recipes!$A:$A,0)),"⚠ unknown recipe_id"))</f>
        <v/>
      </c>
      <c r="E1645" s="12" t="str">
        <f aca="false">IF(C1645="","",IFERROR(INDEX('Ingredient Catalog'!$C:$C,MATCH(C1645,'Ingredient Catalog'!$A:$A,0)),"⚠ not in catalog"))</f>
        <v/>
      </c>
      <c r="G1645" s="12" t="str">
        <f aca="false">IF(A1645="","",COUNTIFS('Weekly Log'!$A:$A,'Grocery List'!$B$3,'Weekly Log'!$C:$C,A1645,'Weekly Log'!$E:$E,"Yes"))</f>
        <v/>
      </c>
      <c r="H1645" s="12" t="str">
        <f aca="false">IF(OR(A1645="",D1645=""),"",D1645*G1645)</f>
        <v/>
      </c>
    </row>
    <row r="1646" customFormat="false" ht="15" hidden="false" customHeight="false" outlineLevel="0" collapsed="false">
      <c r="B1646" s="12" t="str">
        <f aca="false">IF(A1646="","",IFERROR(INDEX(Recipes!$B:$B,MATCH(A1646,Recipes!$A:$A,0)),"⚠ unknown recipe_id"))</f>
        <v/>
      </c>
      <c r="E1646" s="12" t="str">
        <f aca="false">IF(C1646="","",IFERROR(INDEX('Ingredient Catalog'!$C:$C,MATCH(C1646,'Ingredient Catalog'!$A:$A,0)),"⚠ not in catalog"))</f>
        <v/>
      </c>
      <c r="G1646" s="12" t="str">
        <f aca="false">IF(A1646="","",COUNTIFS('Weekly Log'!$A:$A,'Grocery List'!$B$3,'Weekly Log'!$C:$C,A1646,'Weekly Log'!$E:$E,"Yes"))</f>
        <v/>
      </c>
      <c r="H1646" s="12" t="str">
        <f aca="false">IF(OR(A1646="",D1646=""),"",D1646*G1646)</f>
        <v/>
      </c>
    </row>
    <row r="1647" customFormat="false" ht="15" hidden="false" customHeight="false" outlineLevel="0" collapsed="false">
      <c r="B1647" s="12" t="str">
        <f aca="false">IF(A1647="","",IFERROR(INDEX(Recipes!$B:$B,MATCH(A1647,Recipes!$A:$A,0)),"⚠ unknown recipe_id"))</f>
        <v/>
      </c>
      <c r="E1647" s="12" t="str">
        <f aca="false">IF(C1647="","",IFERROR(INDEX('Ingredient Catalog'!$C:$C,MATCH(C1647,'Ingredient Catalog'!$A:$A,0)),"⚠ not in catalog"))</f>
        <v/>
      </c>
      <c r="G1647" s="12" t="str">
        <f aca="false">IF(A1647="","",COUNTIFS('Weekly Log'!$A:$A,'Grocery List'!$B$3,'Weekly Log'!$C:$C,A1647,'Weekly Log'!$E:$E,"Yes"))</f>
        <v/>
      </c>
      <c r="H1647" s="12" t="str">
        <f aca="false">IF(OR(A1647="",D1647=""),"",D1647*G1647)</f>
        <v/>
      </c>
    </row>
    <row r="1648" customFormat="false" ht="15" hidden="false" customHeight="false" outlineLevel="0" collapsed="false">
      <c r="B1648" s="12" t="str">
        <f aca="false">IF(A1648="","",IFERROR(INDEX(Recipes!$B:$B,MATCH(A1648,Recipes!$A:$A,0)),"⚠ unknown recipe_id"))</f>
        <v/>
      </c>
      <c r="E1648" s="12" t="str">
        <f aca="false">IF(C1648="","",IFERROR(INDEX('Ingredient Catalog'!$C:$C,MATCH(C1648,'Ingredient Catalog'!$A:$A,0)),"⚠ not in catalog"))</f>
        <v/>
      </c>
      <c r="G1648" s="12" t="str">
        <f aca="false">IF(A1648="","",COUNTIFS('Weekly Log'!$A:$A,'Grocery List'!$B$3,'Weekly Log'!$C:$C,A1648,'Weekly Log'!$E:$E,"Yes"))</f>
        <v/>
      </c>
      <c r="H1648" s="12" t="str">
        <f aca="false">IF(OR(A1648="",D1648=""),"",D1648*G1648)</f>
        <v/>
      </c>
    </row>
    <row r="1649" customFormat="false" ht="15" hidden="false" customHeight="false" outlineLevel="0" collapsed="false">
      <c r="B1649" s="12" t="str">
        <f aca="false">IF(A1649="","",IFERROR(INDEX(Recipes!$B:$B,MATCH(A1649,Recipes!$A:$A,0)),"⚠ unknown recipe_id"))</f>
        <v/>
      </c>
      <c r="E1649" s="12" t="str">
        <f aca="false">IF(C1649="","",IFERROR(INDEX('Ingredient Catalog'!$C:$C,MATCH(C1649,'Ingredient Catalog'!$A:$A,0)),"⚠ not in catalog"))</f>
        <v/>
      </c>
      <c r="G1649" s="12" t="str">
        <f aca="false">IF(A1649="","",COUNTIFS('Weekly Log'!$A:$A,'Grocery List'!$B$3,'Weekly Log'!$C:$C,A1649,'Weekly Log'!$E:$E,"Yes"))</f>
        <v/>
      </c>
      <c r="H1649" s="12" t="str">
        <f aca="false">IF(OR(A1649="",D1649=""),"",D1649*G1649)</f>
        <v/>
      </c>
    </row>
    <row r="1650" customFormat="false" ht="15" hidden="false" customHeight="false" outlineLevel="0" collapsed="false">
      <c r="B1650" s="12" t="str">
        <f aca="false">IF(A1650="","",IFERROR(INDEX(Recipes!$B:$B,MATCH(A1650,Recipes!$A:$A,0)),"⚠ unknown recipe_id"))</f>
        <v/>
      </c>
      <c r="E1650" s="12" t="str">
        <f aca="false">IF(C1650="","",IFERROR(INDEX('Ingredient Catalog'!$C:$C,MATCH(C1650,'Ingredient Catalog'!$A:$A,0)),"⚠ not in catalog"))</f>
        <v/>
      </c>
      <c r="G1650" s="12" t="str">
        <f aca="false">IF(A1650="","",COUNTIFS('Weekly Log'!$A:$A,'Grocery List'!$B$3,'Weekly Log'!$C:$C,A1650,'Weekly Log'!$E:$E,"Yes"))</f>
        <v/>
      </c>
      <c r="H1650" s="12" t="str">
        <f aca="false">IF(OR(A1650="",D1650=""),"",D1650*G1650)</f>
        <v/>
      </c>
    </row>
    <row r="1651" customFormat="false" ht="15" hidden="false" customHeight="false" outlineLevel="0" collapsed="false">
      <c r="B1651" s="12" t="str">
        <f aca="false">IF(A1651="","",IFERROR(INDEX(Recipes!$B:$B,MATCH(A1651,Recipes!$A:$A,0)),"⚠ unknown recipe_id"))</f>
        <v/>
      </c>
      <c r="E1651" s="12" t="str">
        <f aca="false">IF(C1651="","",IFERROR(INDEX('Ingredient Catalog'!$C:$C,MATCH(C1651,'Ingredient Catalog'!$A:$A,0)),"⚠ not in catalog"))</f>
        <v/>
      </c>
      <c r="G1651" s="12" t="str">
        <f aca="false">IF(A1651="","",COUNTIFS('Weekly Log'!$A:$A,'Grocery List'!$B$3,'Weekly Log'!$C:$C,A1651,'Weekly Log'!$E:$E,"Yes"))</f>
        <v/>
      </c>
      <c r="H1651" s="12" t="str">
        <f aca="false">IF(OR(A1651="",D1651=""),"",D1651*G1651)</f>
        <v/>
      </c>
    </row>
    <row r="1652" customFormat="false" ht="15" hidden="false" customHeight="false" outlineLevel="0" collapsed="false">
      <c r="B1652" s="12" t="str">
        <f aca="false">IF(A1652="","",IFERROR(INDEX(Recipes!$B:$B,MATCH(A1652,Recipes!$A:$A,0)),"⚠ unknown recipe_id"))</f>
        <v/>
      </c>
      <c r="E1652" s="12" t="str">
        <f aca="false">IF(C1652="","",IFERROR(INDEX('Ingredient Catalog'!$C:$C,MATCH(C1652,'Ingredient Catalog'!$A:$A,0)),"⚠ not in catalog"))</f>
        <v/>
      </c>
      <c r="G1652" s="12" t="str">
        <f aca="false">IF(A1652="","",COUNTIFS('Weekly Log'!$A:$A,'Grocery List'!$B$3,'Weekly Log'!$C:$C,A1652,'Weekly Log'!$E:$E,"Yes"))</f>
        <v/>
      </c>
      <c r="H1652" s="12" t="str">
        <f aca="false">IF(OR(A1652="",D1652=""),"",D1652*G1652)</f>
        <v/>
      </c>
    </row>
    <row r="1653" customFormat="false" ht="15" hidden="false" customHeight="false" outlineLevel="0" collapsed="false">
      <c r="B1653" s="12" t="str">
        <f aca="false">IF(A1653="","",IFERROR(INDEX(Recipes!$B:$B,MATCH(A1653,Recipes!$A:$A,0)),"⚠ unknown recipe_id"))</f>
        <v/>
      </c>
      <c r="E1653" s="12" t="str">
        <f aca="false">IF(C1653="","",IFERROR(INDEX('Ingredient Catalog'!$C:$C,MATCH(C1653,'Ingredient Catalog'!$A:$A,0)),"⚠ not in catalog"))</f>
        <v/>
      </c>
      <c r="G1653" s="12" t="str">
        <f aca="false">IF(A1653="","",COUNTIFS('Weekly Log'!$A:$A,'Grocery List'!$B$3,'Weekly Log'!$C:$C,A1653,'Weekly Log'!$E:$E,"Yes"))</f>
        <v/>
      </c>
      <c r="H1653" s="12" t="str">
        <f aca="false">IF(OR(A1653="",D1653=""),"",D1653*G1653)</f>
        <v/>
      </c>
    </row>
    <row r="1654" customFormat="false" ht="15" hidden="false" customHeight="false" outlineLevel="0" collapsed="false">
      <c r="B1654" s="12" t="str">
        <f aca="false">IF(A1654="","",IFERROR(INDEX(Recipes!$B:$B,MATCH(A1654,Recipes!$A:$A,0)),"⚠ unknown recipe_id"))</f>
        <v/>
      </c>
      <c r="E1654" s="12" t="str">
        <f aca="false">IF(C1654="","",IFERROR(INDEX('Ingredient Catalog'!$C:$C,MATCH(C1654,'Ingredient Catalog'!$A:$A,0)),"⚠ not in catalog"))</f>
        <v/>
      </c>
      <c r="G1654" s="12" t="str">
        <f aca="false">IF(A1654="","",COUNTIFS('Weekly Log'!$A:$A,'Grocery List'!$B$3,'Weekly Log'!$C:$C,A1654,'Weekly Log'!$E:$E,"Yes"))</f>
        <v/>
      </c>
      <c r="H1654" s="12" t="str">
        <f aca="false">IF(OR(A1654="",D1654=""),"",D1654*G1654)</f>
        <v/>
      </c>
    </row>
    <row r="1655" customFormat="false" ht="15" hidden="false" customHeight="false" outlineLevel="0" collapsed="false">
      <c r="B1655" s="12" t="str">
        <f aca="false">IF(A1655="","",IFERROR(INDEX(Recipes!$B:$B,MATCH(A1655,Recipes!$A:$A,0)),"⚠ unknown recipe_id"))</f>
        <v/>
      </c>
      <c r="E1655" s="12" t="str">
        <f aca="false">IF(C1655="","",IFERROR(INDEX('Ingredient Catalog'!$C:$C,MATCH(C1655,'Ingredient Catalog'!$A:$A,0)),"⚠ not in catalog"))</f>
        <v/>
      </c>
      <c r="G1655" s="12" t="str">
        <f aca="false">IF(A1655="","",COUNTIFS('Weekly Log'!$A:$A,'Grocery List'!$B$3,'Weekly Log'!$C:$C,A1655,'Weekly Log'!$E:$E,"Yes"))</f>
        <v/>
      </c>
      <c r="H1655" s="12" t="str">
        <f aca="false">IF(OR(A1655="",D1655=""),"",D1655*G1655)</f>
        <v/>
      </c>
    </row>
    <row r="1656" customFormat="false" ht="15" hidden="false" customHeight="false" outlineLevel="0" collapsed="false">
      <c r="B1656" s="12" t="str">
        <f aca="false">IF(A1656="","",IFERROR(INDEX(Recipes!$B:$B,MATCH(A1656,Recipes!$A:$A,0)),"⚠ unknown recipe_id"))</f>
        <v/>
      </c>
      <c r="E1656" s="12" t="str">
        <f aca="false">IF(C1656="","",IFERROR(INDEX('Ingredient Catalog'!$C:$C,MATCH(C1656,'Ingredient Catalog'!$A:$A,0)),"⚠ not in catalog"))</f>
        <v/>
      </c>
      <c r="G1656" s="12" t="str">
        <f aca="false">IF(A1656="","",COUNTIFS('Weekly Log'!$A:$A,'Grocery List'!$B$3,'Weekly Log'!$C:$C,A1656,'Weekly Log'!$E:$E,"Yes"))</f>
        <v/>
      </c>
      <c r="H1656" s="12" t="str">
        <f aca="false">IF(OR(A1656="",D1656=""),"",D1656*G1656)</f>
        <v/>
      </c>
    </row>
    <row r="1657" customFormat="false" ht="15" hidden="false" customHeight="false" outlineLevel="0" collapsed="false">
      <c r="B1657" s="12" t="str">
        <f aca="false">IF(A1657="","",IFERROR(INDEX(Recipes!$B:$B,MATCH(A1657,Recipes!$A:$A,0)),"⚠ unknown recipe_id"))</f>
        <v/>
      </c>
      <c r="E1657" s="12" t="str">
        <f aca="false">IF(C1657="","",IFERROR(INDEX('Ingredient Catalog'!$C:$C,MATCH(C1657,'Ingredient Catalog'!$A:$A,0)),"⚠ not in catalog"))</f>
        <v/>
      </c>
      <c r="G1657" s="12" t="str">
        <f aca="false">IF(A1657="","",COUNTIFS('Weekly Log'!$A:$A,'Grocery List'!$B$3,'Weekly Log'!$C:$C,A1657,'Weekly Log'!$E:$E,"Yes"))</f>
        <v/>
      </c>
      <c r="H1657" s="12" t="str">
        <f aca="false">IF(OR(A1657="",D1657=""),"",D1657*G1657)</f>
        <v/>
      </c>
    </row>
    <row r="1658" customFormat="false" ht="15" hidden="false" customHeight="false" outlineLevel="0" collapsed="false">
      <c r="B1658" s="12" t="str">
        <f aca="false">IF(A1658="","",IFERROR(INDEX(Recipes!$B:$B,MATCH(A1658,Recipes!$A:$A,0)),"⚠ unknown recipe_id"))</f>
        <v/>
      </c>
      <c r="E1658" s="12" t="str">
        <f aca="false">IF(C1658="","",IFERROR(INDEX('Ingredient Catalog'!$C:$C,MATCH(C1658,'Ingredient Catalog'!$A:$A,0)),"⚠ not in catalog"))</f>
        <v/>
      </c>
      <c r="G1658" s="12" t="str">
        <f aca="false">IF(A1658="","",COUNTIFS('Weekly Log'!$A:$A,'Grocery List'!$B$3,'Weekly Log'!$C:$C,A1658,'Weekly Log'!$E:$E,"Yes"))</f>
        <v/>
      </c>
      <c r="H1658" s="12" t="str">
        <f aca="false">IF(OR(A1658="",D1658=""),"",D1658*G1658)</f>
        <v/>
      </c>
    </row>
    <row r="1659" customFormat="false" ht="15" hidden="false" customHeight="false" outlineLevel="0" collapsed="false">
      <c r="B1659" s="12" t="str">
        <f aca="false">IF(A1659="","",IFERROR(INDEX(Recipes!$B:$B,MATCH(A1659,Recipes!$A:$A,0)),"⚠ unknown recipe_id"))</f>
        <v/>
      </c>
      <c r="E1659" s="12" t="str">
        <f aca="false">IF(C1659="","",IFERROR(INDEX('Ingredient Catalog'!$C:$C,MATCH(C1659,'Ingredient Catalog'!$A:$A,0)),"⚠ not in catalog"))</f>
        <v/>
      </c>
      <c r="G1659" s="12" t="str">
        <f aca="false">IF(A1659="","",COUNTIFS('Weekly Log'!$A:$A,'Grocery List'!$B$3,'Weekly Log'!$C:$C,A1659,'Weekly Log'!$E:$E,"Yes"))</f>
        <v/>
      </c>
      <c r="H1659" s="12" t="str">
        <f aca="false">IF(OR(A1659="",D1659=""),"",D1659*G1659)</f>
        <v/>
      </c>
    </row>
    <row r="1660" customFormat="false" ht="15" hidden="false" customHeight="false" outlineLevel="0" collapsed="false">
      <c r="B1660" s="12" t="str">
        <f aca="false">IF(A1660="","",IFERROR(INDEX(Recipes!$B:$B,MATCH(A1660,Recipes!$A:$A,0)),"⚠ unknown recipe_id"))</f>
        <v/>
      </c>
      <c r="E1660" s="12" t="str">
        <f aca="false">IF(C1660="","",IFERROR(INDEX('Ingredient Catalog'!$C:$C,MATCH(C1660,'Ingredient Catalog'!$A:$A,0)),"⚠ not in catalog"))</f>
        <v/>
      </c>
      <c r="G1660" s="12" t="str">
        <f aca="false">IF(A1660="","",COUNTIFS('Weekly Log'!$A:$A,'Grocery List'!$B$3,'Weekly Log'!$C:$C,A1660,'Weekly Log'!$E:$E,"Yes"))</f>
        <v/>
      </c>
      <c r="H1660" s="12" t="str">
        <f aca="false">IF(OR(A1660="",D1660=""),"",D1660*G1660)</f>
        <v/>
      </c>
    </row>
    <row r="1661" customFormat="false" ht="15" hidden="false" customHeight="false" outlineLevel="0" collapsed="false">
      <c r="B1661" s="12" t="str">
        <f aca="false">IF(A1661="","",IFERROR(INDEX(Recipes!$B:$B,MATCH(A1661,Recipes!$A:$A,0)),"⚠ unknown recipe_id"))</f>
        <v/>
      </c>
      <c r="E1661" s="12" t="str">
        <f aca="false">IF(C1661="","",IFERROR(INDEX('Ingredient Catalog'!$C:$C,MATCH(C1661,'Ingredient Catalog'!$A:$A,0)),"⚠ not in catalog"))</f>
        <v/>
      </c>
      <c r="G1661" s="12" t="str">
        <f aca="false">IF(A1661="","",COUNTIFS('Weekly Log'!$A:$A,'Grocery List'!$B$3,'Weekly Log'!$C:$C,A1661,'Weekly Log'!$E:$E,"Yes"))</f>
        <v/>
      </c>
      <c r="H1661" s="12" t="str">
        <f aca="false">IF(OR(A1661="",D1661=""),"",D1661*G1661)</f>
        <v/>
      </c>
    </row>
    <row r="1662" customFormat="false" ht="15" hidden="false" customHeight="false" outlineLevel="0" collapsed="false">
      <c r="B1662" s="12" t="str">
        <f aca="false">IF(A1662="","",IFERROR(INDEX(Recipes!$B:$B,MATCH(A1662,Recipes!$A:$A,0)),"⚠ unknown recipe_id"))</f>
        <v/>
      </c>
      <c r="E1662" s="12" t="str">
        <f aca="false">IF(C1662="","",IFERROR(INDEX('Ingredient Catalog'!$C:$C,MATCH(C1662,'Ingredient Catalog'!$A:$A,0)),"⚠ not in catalog"))</f>
        <v/>
      </c>
      <c r="G1662" s="12" t="str">
        <f aca="false">IF(A1662="","",COUNTIFS('Weekly Log'!$A:$A,'Grocery List'!$B$3,'Weekly Log'!$C:$C,A1662,'Weekly Log'!$E:$E,"Yes"))</f>
        <v/>
      </c>
      <c r="H1662" s="12" t="str">
        <f aca="false">IF(OR(A1662="",D1662=""),"",D1662*G1662)</f>
        <v/>
      </c>
    </row>
    <row r="1663" customFormat="false" ht="15" hidden="false" customHeight="false" outlineLevel="0" collapsed="false">
      <c r="B1663" s="12" t="str">
        <f aca="false">IF(A1663="","",IFERROR(INDEX(Recipes!$B:$B,MATCH(A1663,Recipes!$A:$A,0)),"⚠ unknown recipe_id"))</f>
        <v/>
      </c>
      <c r="E1663" s="12" t="str">
        <f aca="false">IF(C1663="","",IFERROR(INDEX('Ingredient Catalog'!$C:$C,MATCH(C1663,'Ingredient Catalog'!$A:$A,0)),"⚠ not in catalog"))</f>
        <v/>
      </c>
      <c r="G1663" s="12" t="str">
        <f aca="false">IF(A1663="","",COUNTIFS('Weekly Log'!$A:$A,'Grocery List'!$B$3,'Weekly Log'!$C:$C,A1663,'Weekly Log'!$E:$E,"Yes"))</f>
        <v/>
      </c>
      <c r="H1663" s="12" t="str">
        <f aca="false">IF(OR(A1663="",D1663=""),"",D1663*G1663)</f>
        <v/>
      </c>
    </row>
    <row r="1664" customFormat="false" ht="15" hidden="false" customHeight="false" outlineLevel="0" collapsed="false">
      <c r="B1664" s="12" t="str">
        <f aca="false">IF(A1664="","",IFERROR(INDEX(Recipes!$B:$B,MATCH(A1664,Recipes!$A:$A,0)),"⚠ unknown recipe_id"))</f>
        <v/>
      </c>
      <c r="E1664" s="12" t="str">
        <f aca="false">IF(C1664="","",IFERROR(INDEX('Ingredient Catalog'!$C:$C,MATCH(C1664,'Ingredient Catalog'!$A:$A,0)),"⚠ not in catalog"))</f>
        <v/>
      </c>
      <c r="G1664" s="12" t="str">
        <f aca="false">IF(A1664="","",COUNTIFS('Weekly Log'!$A:$A,'Grocery List'!$B$3,'Weekly Log'!$C:$C,A1664,'Weekly Log'!$E:$E,"Yes"))</f>
        <v/>
      </c>
      <c r="H1664" s="12" t="str">
        <f aca="false">IF(OR(A1664="",D1664=""),"",D1664*G1664)</f>
        <v/>
      </c>
    </row>
    <row r="1665" customFormat="false" ht="15" hidden="false" customHeight="false" outlineLevel="0" collapsed="false">
      <c r="B1665" s="12" t="str">
        <f aca="false">IF(A1665="","",IFERROR(INDEX(Recipes!$B:$B,MATCH(A1665,Recipes!$A:$A,0)),"⚠ unknown recipe_id"))</f>
        <v/>
      </c>
      <c r="E1665" s="12" t="str">
        <f aca="false">IF(C1665="","",IFERROR(INDEX('Ingredient Catalog'!$C:$C,MATCH(C1665,'Ingredient Catalog'!$A:$A,0)),"⚠ not in catalog"))</f>
        <v/>
      </c>
      <c r="G1665" s="12" t="str">
        <f aca="false">IF(A1665="","",COUNTIFS('Weekly Log'!$A:$A,'Grocery List'!$B$3,'Weekly Log'!$C:$C,A1665,'Weekly Log'!$E:$E,"Yes"))</f>
        <v/>
      </c>
      <c r="H1665" s="12" t="str">
        <f aca="false">IF(OR(A1665="",D1665=""),"",D1665*G1665)</f>
        <v/>
      </c>
    </row>
    <row r="1666" customFormat="false" ht="15" hidden="false" customHeight="false" outlineLevel="0" collapsed="false">
      <c r="B1666" s="12" t="str">
        <f aca="false">IF(A1666="","",IFERROR(INDEX(Recipes!$B:$B,MATCH(A1666,Recipes!$A:$A,0)),"⚠ unknown recipe_id"))</f>
        <v/>
      </c>
      <c r="E1666" s="12" t="str">
        <f aca="false">IF(C1666="","",IFERROR(INDEX('Ingredient Catalog'!$C:$C,MATCH(C1666,'Ingredient Catalog'!$A:$A,0)),"⚠ not in catalog"))</f>
        <v/>
      </c>
      <c r="G1666" s="12" t="str">
        <f aca="false">IF(A1666="","",COUNTIFS('Weekly Log'!$A:$A,'Grocery List'!$B$3,'Weekly Log'!$C:$C,A1666,'Weekly Log'!$E:$E,"Yes"))</f>
        <v/>
      </c>
      <c r="H1666" s="12" t="str">
        <f aca="false">IF(OR(A1666="",D1666=""),"",D1666*G1666)</f>
        <v/>
      </c>
    </row>
    <row r="1667" customFormat="false" ht="15" hidden="false" customHeight="false" outlineLevel="0" collapsed="false">
      <c r="B1667" s="12" t="str">
        <f aca="false">IF(A1667="","",IFERROR(INDEX(Recipes!$B:$B,MATCH(A1667,Recipes!$A:$A,0)),"⚠ unknown recipe_id"))</f>
        <v/>
      </c>
      <c r="E1667" s="12" t="str">
        <f aca="false">IF(C1667="","",IFERROR(INDEX('Ingredient Catalog'!$C:$C,MATCH(C1667,'Ingredient Catalog'!$A:$A,0)),"⚠ not in catalog"))</f>
        <v/>
      </c>
      <c r="G1667" s="12" t="str">
        <f aca="false">IF(A1667="","",COUNTIFS('Weekly Log'!$A:$A,'Grocery List'!$B$3,'Weekly Log'!$C:$C,A1667,'Weekly Log'!$E:$E,"Yes"))</f>
        <v/>
      </c>
      <c r="H1667" s="12" t="str">
        <f aca="false">IF(OR(A1667="",D1667=""),"",D1667*G1667)</f>
        <v/>
      </c>
    </row>
    <row r="1668" customFormat="false" ht="15" hidden="false" customHeight="false" outlineLevel="0" collapsed="false">
      <c r="B1668" s="12" t="str">
        <f aca="false">IF(A1668="","",IFERROR(INDEX(Recipes!$B:$B,MATCH(A1668,Recipes!$A:$A,0)),"⚠ unknown recipe_id"))</f>
        <v/>
      </c>
      <c r="E1668" s="12" t="str">
        <f aca="false">IF(C1668="","",IFERROR(INDEX('Ingredient Catalog'!$C:$C,MATCH(C1668,'Ingredient Catalog'!$A:$A,0)),"⚠ not in catalog"))</f>
        <v/>
      </c>
      <c r="G1668" s="12" t="str">
        <f aca="false">IF(A1668="","",COUNTIFS('Weekly Log'!$A:$A,'Grocery List'!$B$3,'Weekly Log'!$C:$C,A1668,'Weekly Log'!$E:$E,"Yes"))</f>
        <v/>
      </c>
      <c r="H1668" s="12" t="str">
        <f aca="false">IF(OR(A1668="",D1668=""),"",D1668*G1668)</f>
        <v/>
      </c>
    </row>
    <row r="1669" customFormat="false" ht="15" hidden="false" customHeight="false" outlineLevel="0" collapsed="false">
      <c r="B1669" s="12" t="str">
        <f aca="false">IF(A1669="","",IFERROR(INDEX(Recipes!$B:$B,MATCH(A1669,Recipes!$A:$A,0)),"⚠ unknown recipe_id"))</f>
        <v/>
      </c>
      <c r="E1669" s="12" t="str">
        <f aca="false">IF(C1669="","",IFERROR(INDEX('Ingredient Catalog'!$C:$C,MATCH(C1669,'Ingredient Catalog'!$A:$A,0)),"⚠ not in catalog"))</f>
        <v/>
      </c>
      <c r="G1669" s="12" t="str">
        <f aca="false">IF(A1669="","",COUNTIFS('Weekly Log'!$A:$A,'Grocery List'!$B$3,'Weekly Log'!$C:$C,A1669,'Weekly Log'!$E:$E,"Yes"))</f>
        <v/>
      </c>
      <c r="H1669" s="12" t="str">
        <f aca="false">IF(OR(A1669="",D1669=""),"",D1669*G1669)</f>
        <v/>
      </c>
    </row>
    <row r="1670" customFormat="false" ht="15" hidden="false" customHeight="false" outlineLevel="0" collapsed="false">
      <c r="B1670" s="12" t="str">
        <f aca="false">IF(A1670="","",IFERROR(INDEX(Recipes!$B:$B,MATCH(A1670,Recipes!$A:$A,0)),"⚠ unknown recipe_id"))</f>
        <v/>
      </c>
      <c r="E1670" s="12" t="str">
        <f aca="false">IF(C1670="","",IFERROR(INDEX('Ingredient Catalog'!$C:$C,MATCH(C1670,'Ingredient Catalog'!$A:$A,0)),"⚠ not in catalog"))</f>
        <v/>
      </c>
      <c r="G1670" s="12" t="str">
        <f aca="false">IF(A1670="","",COUNTIFS('Weekly Log'!$A:$A,'Grocery List'!$B$3,'Weekly Log'!$C:$C,A1670,'Weekly Log'!$E:$E,"Yes"))</f>
        <v/>
      </c>
      <c r="H1670" s="12" t="str">
        <f aca="false">IF(OR(A1670="",D1670=""),"",D1670*G1670)</f>
        <v/>
      </c>
    </row>
    <row r="1671" customFormat="false" ht="15" hidden="false" customHeight="false" outlineLevel="0" collapsed="false">
      <c r="B1671" s="12" t="str">
        <f aca="false">IF(A1671="","",IFERROR(INDEX(Recipes!$B:$B,MATCH(A1671,Recipes!$A:$A,0)),"⚠ unknown recipe_id"))</f>
        <v/>
      </c>
      <c r="E1671" s="12" t="str">
        <f aca="false">IF(C1671="","",IFERROR(INDEX('Ingredient Catalog'!$C:$C,MATCH(C1671,'Ingredient Catalog'!$A:$A,0)),"⚠ not in catalog"))</f>
        <v/>
      </c>
      <c r="G1671" s="12" t="str">
        <f aca="false">IF(A1671="","",COUNTIFS('Weekly Log'!$A:$A,'Grocery List'!$B$3,'Weekly Log'!$C:$C,A1671,'Weekly Log'!$E:$E,"Yes"))</f>
        <v/>
      </c>
      <c r="H1671" s="12" t="str">
        <f aca="false">IF(OR(A1671="",D1671=""),"",D1671*G1671)</f>
        <v/>
      </c>
    </row>
    <row r="1672" customFormat="false" ht="15" hidden="false" customHeight="false" outlineLevel="0" collapsed="false">
      <c r="B1672" s="12" t="str">
        <f aca="false">IF(A1672="","",IFERROR(INDEX(Recipes!$B:$B,MATCH(A1672,Recipes!$A:$A,0)),"⚠ unknown recipe_id"))</f>
        <v/>
      </c>
      <c r="E1672" s="12" t="str">
        <f aca="false">IF(C1672="","",IFERROR(INDEX('Ingredient Catalog'!$C:$C,MATCH(C1672,'Ingredient Catalog'!$A:$A,0)),"⚠ not in catalog"))</f>
        <v/>
      </c>
      <c r="G1672" s="12" t="str">
        <f aca="false">IF(A1672="","",COUNTIFS('Weekly Log'!$A:$A,'Grocery List'!$B$3,'Weekly Log'!$C:$C,A1672,'Weekly Log'!$E:$E,"Yes"))</f>
        <v/>
      </c>
      <c r="H1672" s="12" t="str">
        <f aca="false">IF(OR(A1672="",D1672=""),"",D1672*G1672)</f>
        <v/>
      </c>
    </row>
    <row r="1673" customFormat="false" ht="15" hidden="false" customHeight="false" outlineLevel="0" collapsed="false">
      <c r="B1673" s="12" t="str">
        <f aca="false">IF(A1673="","",IFERROR(INDEX(Recipes!$B:$B,MATCH(A1673,Recipes!$A:$A,0)),"⚠ unknown recipe_id"))</f>
        <v/>
      </c>
      <c r="E1673" s="12" t="str">
        <f aca="false">IF(C1673="","",IFERROR(INDEX('Ingredient Catalog'!$C:$C,MATCH(C1673,'Ingredient Catalog'!$A:$A,0)),"⚠ not in catalog"))</f>
        <v/>
      </c>
      <c r="G1673" s="12" t="str">
        <f aca="false">IF(A1673="","",COUNTIFS('Weekly Log'!$A:$A,'Grocery List'!$B$3,'Weekly Log'!$C:$C,A1673,'Weekly Log'!$E:$E,"Yes"))</f>
        <v/>
      </c>
      <c r="H1673" s="12" t="str">
        <f aca="false">IF(OR(A1673="",D1673=""),"",D1673*G1673)</f>
        <v/>
      </c>
    </row>
    <row r="1674" customFormat="false" ht="15" hidden="false" customHeight="false" outlineLevel="0" collapsed="false">
      <c r="B1674" s="12" t="str">
        <f aca="false">IF(A1674="","",IFERROR(INDEX(Recipes!$B:$B,MATCH(A1674,Recipes!$A:$A,0)),"⚠ unknown recipe_id"))</f>
        <v/>
      </c>
      <c r="E1674" s="12" t="str">
        <f aca="false">IF(C1674="","",IFERROR(INDEX('Ingredient Catalog'!$C:$C,MATCH(C1674,'Ingredient Catalog'!$A:$A,0)),"⚠ not in catalog"))</f>
        <v/>
      </c>
      <c r="G1674" s="12" t="str">
        <f aca="false">IF(A1674="","",COUNTIFS('Weekly Log'!$A:$A,'Grocery List'!$B$3,'Weekly Log'!$C:$C,A1674,'Weekly Log'!$E:$E,"Yes"))</f>
        <v/>
      </c>
      <c r="H1674" s="12" t="str">
        <f aca="false">IF(OR(A1674="",D1674=""),"",D1674*G1674)</f>
        <v/>
      </c>
    </row>
    <row r="1675" customFormat="false" ht="15" hidden="false" customHeight="false" outlineLevel="0" collapsed="false">
      <c r="B1675" s="12" t="str">
        <f aca="false">IF(A1675="","",IFERROR(INDEX(Recipes!$B:$B,MATCH(A1675,Recipes!$A:$A,0)),"⚠ unknown recipe_id"))</f>
        <v/>
      </c>
      <c r="E1675" s="12" t="str">
        <f aca="false">IF(C1675="","",IFERROR(INDEX('Ingredient Catalog'!$C:$C,MATCH(C1675,'Ingredient Catalog'!$A:$A,0)),"⚠ not in catalog"))</f>
        <v/>
      </c>
      <c r="G1675" s="12" t="str">
        <f aca="false">IF(A1675="","",COUNTIFS('Weekly Log'!$A:$A,'Grocery List'!$B$3,'Weekly Log'!$C:$C,A1675,'Weekly Log'!$E:$E,"Yes"))</f>
        <v/>
      </c>
      <c r="H1675" s="12" t="str">
        <f aca="false">IF(OR(A1675="",D1675=""),"",D1675*G1675)</f>
        <v/>
      </c>
    </row>
    <row r="1676" customFormat="false" ht="15" hidden="false" customHeight="false" outlineLevel="0" collapsed="false">
      <c r="B1676" s="12" t="str">
        <f aca="false">IF(A1676="","",IFERROR(INDEX(Recipes!$B:$B,MATCH(A1676,Recipes!$A:$A,0)),"⚠ unknown recipe_id"))</f>
        <v/>
      </c>
      <c r="E1676" s="12" t="str">
        <f aca="false">IF(C1676="","",IFERROR(INDEX('Ingredient Catalog'!$C:$C,MATCH(C1676,'Ingredient Catalog'!$A:$A,0)),"⚠ not in catalog"))</f>
        <v/>
      </c>
      <c r="G1676" s="12" t="str">
        <f aca="false">IF(A1676="","",COUNTIFS('Weekly Log'!$A:$A,'Grocery List'!$B$3,'Weekly Log'!$C:$C,A1676,'Weekly Log'!$E:$E,"Yes"))</f>
        <v/>
      </c>
      <c r="H1676" s="12" t="str">
        <f aca="false">IF(OR(A1676="",D1676=""),"",D1676*G1676)</f>
        <v/>
      </c>
    </row>
    <row r="1677" customFormat="false" ht="15" hidden="false" customHeight="false" outlineLevel="0" collapsed="false">
      <c r="B1677" s="12" t="str">
        <f aca="false">IF(A1677="","",IFERROR(INDEX(Recipes!$B:$B,MATCH(A1677,Recipes!$A:$A,0)),"⚠ unknown recipe_id"))</f>
        <v/>
      </c>
      <c r="E1677" s="12" t="str">
        <f aca="false">IF(C1677="","",IFERROR(INDEX('Ingredient Catalog'!$C:$C,MATCH(C1677,'Ingredient Catalog'!$A:$A,0)),"⚠ not in catalog"))</f>
        <v/>
      </c>
      <c r="G1677" s="12" t="str">
        <f aca="false">IF(A1677="","",COUNTIFS('Weekly Log'!$A:$A,'Grocery List'!$B$3,'Weekly Log'!$C:$C,A1677,'Weekly Log'!$E:$E,"Yes"))</f>
        <v/>
      </c>
      <c r="H1677" s="12" t="str">
        <f aca="false">IF(OR(A1677="",D1677=""),"",D1677*G1677)</f>
        <v/>
      </c>
    </row>
    <row r="1678" customFormat="false" ht="15" hidden="false" customHeight="false" outlineLevel="0" collapsed="false">
      <c r="B1678" s="12" t="str">
        <f aca="false">IF(A1678="","",IFERROR(INDEX(Recipes!$B:$B,MATCH(A1678,Recipes!$A:$A,0)),"⚠ unknown recipe_id"))</f>
        <v/>
      </c>
      <c r="E1678" s="12" t="str">
        <f aca="false">IF(C1678="","",IFERROR(INDEX('Ingredient Catalog'!$C:$C,MATCH(C1678,'Ingredient Catalog'!$A:$A,0)),"⚠ not in catalog"))</f>
        <v/>
      </c>
      <c r="G1678" s="12" t="str">
        <f aca="false">IF(A1678="","",COUNTIFS('Weekly Log'!$A:$A,'Grocery List'!$B$3,'Weekly Log'!$C:$C,A1678,'Weekly Log'!$E:$E,"Yes"))</f>
        <v/>
      </c>
      <c r="H1678" s="12" t="str">
        <f aca="false">IF(OR(A1678="",D1678=""),"",D1678*G1678)</f>
        <v/>
      </c>
    </row>
    <row r="1679" customFormat="false" ht="15" hidden="false" customHeight="false" outlineLevel="0" collapsed="false">
      <c r="B1679" s="12" t="str">
        <f aca="false">IF(A1679="","",IFERROR(INDEX(Recipes!$B:$B,MATCH(A1679,Recipes!$A:$A,0)),"⚠ unknown recipe_id"))</f>
        <v/>
      </c>
      <c r="E1679" s="12" t="str">
        <f aca="false">IF(C1679="","",IFERROR(INDEX('Ingredient Catalog'!$C:$C,MATCH(C1679,'Ingredient Catalog'!$A:$A,0)),"⚠ not in catalog"))</f>
        <v/>
      </c>
      <c r="G1679" s="12" t="str">
        <f aca="false">IF(A1679="","",COUNTIFS('Weekly Log'!$A:$A,'Grocery List'!$B$3,'Weekly Log'!$C:$C,A1679,'Weekly Log'!$E:$E,"Yes"))</f>
        <v/>
      </c>
      <c r="H1679" s="12" t="str">
        <f aca="false">IF(OR(A1679="",D1679=""),"",D1679*G1679)</f>
        <v/>
      </c>
    </row>
    <row r="1680" customFormat="false" ht="15" hidden="false" customHeight="false" outlineLevel="0" collapsed="false">
      <c r="B1680" s="12" t="str">
        <f aca="false">IF(A1680="","",IFERROR(INDEX(Recipes!$B:$B,MATCH(A1680,Recipes!$A:$A,0)),"⚠ unknown recipe_id"))</f>
        <v/>
      </c>
      <c r="E1680" s="12" t="str">
        <f aca="false">IF(C1680="","",IFERROR(INDEX('Ingredient Catalog'!$C:$C,MATCH(C1680,'Ingredient Catalog'!$A:$A,0)),"⚠ not in catalog"))</f>
        <v/>
      </c>
      <c r="G1680" s="12" t="str">
        <f aca="false">IF(A1680="","",COUNTIFS('Weekly Log'!$A:$A,'Grocery List'!$B$3,'Weekly Log'!$C:$C,A1680,'Weekly Log'!$E:$E,"Yes"))</f>
        <v/>
      </c>
      <c r="H1680" s="12" t="str">
        <f aca="false">IF(OR(A1680="",D1680=""),"",D1680*G1680)</f>
        <v/>
      </c>
    </row>
    <row r="1681" customFormat="false" ht="15" hidden="false" customHeight="false" outlineLevel="0" collapsed="false">
      <c r="B1681" s="12" t="str">
        <f aca="false">IF(A1681="","",IFERROR(INDEX(Recipes!$B:$B,MATCH(A1681,Recipes!$A:$A,0)),"⚠ unknown recipe_id"))</f>
        <v/>
      </c>
      <c r="E1681" s="12" t="str">
        <f aca="false">IF(C1681="","",IFERROR(INDEX('Ingredient Catalog'!$C:$C,MATCH(C1681,'Ingredient Catalog'!$A:$A,0)),"⚠ not in catalog"))</f>
        <v/>
      </c>
      <c r="G1681" s="12" t="str">
        <f aca="false">IF(A1681="","",COUNTIFS('Weekly Log'!$A:$A,'Grocery List'!$B$3,'Weekly Log'!$C:$C,A1681,'Weekly Log'!$E:$E,"Yes"))</f>
        <v/>
      </c>
      <c r="H1681" s="12" t="str">
        <f aca="false">IF(OR(A1681="",D1681=""),"",D1681*G1681)</f>
        <v/>
      </c>
    </row>
    <row r="1682" customFormat="false" ht="15" hidden="false" customHeight="false" outlineLevel="0" collapsed="false">
      <c r="B1682" s="12" t="str">
        <f aca="false">IF(A1682="","",IFERROR(INDEX(Recipes!$B:$B,MATCH(A1682,Recipes!$A:$A,0)),"⚠ unknown recipe_id"))</f>
        <v/>
      </c>
      <c r="E1682" s="12" t="str">
        <f aca="false">IF(C1682="","",IFERROR(INDEX('Ingredient Catalog'!$C:$C,MATCH(C1682,'Ingredient Catalog'!$A:$A,0)),"⚠ not in catalog"))</f>
        <v/>
      </c>
      <c r="G1682" s="12" t="str">
        <f aca="false">IF(A1682="","",COUNTIFS('Weekly Log'!$A:$A,'Grocery List'!$B$3,'Weekly Log'!$C:$C,A1682,'Weekly Log'!$E:$E,"Yes"))</f>
        <v/>
      </c>
      <c r="H1682" s="12" t="str">
        <f aca="false">IF(OR(A1682="",D1682=""),"",D1682*G1682)</f>
        <v/>
      </c>
    </row>
    <row r="1683" customFormat="false" ht="15" hidden="false" customHeight="false" outlineLevel="0" collapsed="false">
      <c r="B1683" s="12" t="str">
        <f aca="false">IF(A1683="","",IFERROR(INDEX(Recipes!$B:$B,MATCH(A1683,Recipes!$A:$A,0)),"⚠ unknown recipe_id"))</f>
        <v/>
      </c>
      <c r="E1683" s="12" t="str">
        <f aca="false">IF(C1683="","",IFERROR(INDEX('Ingredient Catalog'!$C:$C,MATCH(C1683,'Ingredient Catalog'!$A:$A,0)),"⚠ not in catalog"))</f>
        <v/>
      </c>
      <c r="G1683" s="12" t="str">
        <f aca="false">IF(A1683="","",COUNTIFS('Weekly Log'!$A:$A,'Grocery List'!$B$3,'Weekly Log'!$C:$C,A1683,'Weekly Log'!$E:$E,"Yes"))</f>
        <v/>
      </c>
      <c r="H1683" s="12" t="str">
        <f aca="false">IF(OR(A1683="",D1683=""),"",D1683*G1683)</f>
        <v/>
      </c>
    </row>
    <row r="1684" customFormat="false" ht="15" hidden="false" customHeight="false" outlineLevel="0" collapsed="false">
      <c r="B1684" s="12" t="str">
        <f aca="false">IF(A1684="","",IFERROR(INDEX(Recipes!$B:$B,MATCH(A1684,Recipes!$A:$A,0)),"⚠ unknown recipe_id"))</f>
        <v/>
      </c>
      <c r="E1684" s="12" t="str">
        <f aca="false">IF(C1684="","",IFERROR(INDEX('Ingredient Catalog'!$C:$C,MATCH(C1684,'Ingredient Catalog'!$A:$A,0)),"⚠ not in catalog"))</f>
        <v/>
      </c>
      <c r="G1684" s="12" t="str">
        <f aca="false">IF(A1684="","",COUNTIFS('Weekly Log'!$A:$A,'Grocery List'!$B$3,'Weekly Log'!$C:$C,A1684,'Weekly Log'!$E:$E,"Yes"))</f>
        <v/>
      </c>
      <c r="H1684" s="12" t="str">
        <f aca="false">IF(OR(A1684="",D1684=""),"",D1684*G1684)</f>
        <v/>
      </c>
    </row>
    <row r="1685" customFormat="false" ht="15" hidden="false" customHeight="false" outlineLevel="0" collapsed="false">
      <c r="B1685" s="12" t="str">
        <f aca="false">IF(A1685="","",IFERROR(INDEX(Recipes!$B:$B,MATCH(A1685,Recipes!$A:$A,0)),"⚠ unknown recipe_id"))</f>
        <v/>
      </c>
      <c r="E1685" s="12" t="str">
        <f aca="false">IF(C1685="","",IFERROR(INDEX('Ingredient Catalog'!$C:$C,MATCH(C1685,'Ingredient Catalog'!$A:$A,0)),"⚠ not in catalog"))</f>
        <v/>
      </c>
      <c r="G1685" s="12" t="str">
        <f aca="false">IF(A1685="","",COUNTIFS('Weekly Log'!$A:$A,'Grocery List'!$B$3,'Weekly Log'!$C:$C,A1685,'Weekly Log'!$E:$E,"Yes"))</f>
        <v/>
      </c>
      <c r="H1685" s="12" t="str">
        <f aca="false">IF(OR(A1685="",D1685=""),"",D1685*G1685)</f>
        <v/>
      </c>
    </row>
    <row r="1686" customFormat="false" ht="15" hidden="false" customHeight="false" outlineLevel="0" collapsed="false">
      <c r="B1686" s="12" t="str">
        <f aca="false">IF(A1686="","",IFERROR(INDEX(Recipes!$B:$B,MATCH(A1686,Recipes!$A:$A,0)),"⚠ unknown recipe_id"))</f>
        <v/>
      </c>
      <c r="E1686" s="12" t="str">
        <f aca="false">IF(C1686="","",IFERROR(INDEX('Ingredient Catalog'!$C:$C,MATCH(C1686,'Ingredient Catalog'!$A:$A,0)),"⚠ not in catalog"))</f>
        <v/>
      </c>
      <c r="G1686" s="12" t="str">
        <f aca="false">IF(A1686="","",COUNTIFS('Weekly Log'!$A:$A,'Grocery List'!$B$3,'Weekly Log'!$C:$C,A1686,'Weekly Log'!$E:$E,"Yes"))</f>
        <v/>
      </c>
      <c r="H1686" s="12" t="str">
        <f aca="false">IF(OR(A1686="",D1686=""),"",D1686*G1686)</f>
        <v/>
      </c>
    </row>
    <row r="1687" customFormat="false" ht="15" hidden="false" customHeight="false" outlineLevel="0" collapsed="false">
      <c r="B1687" s="12" t="str">
        <f aca="false">IF(A1687="","",IFERROR(INDEX(Recipes!$B:$B,MATCH(A1687,Recipes!$A:$A,0)),"⚠ unknown recipe_id"))</f>
        <v/>
      </c>
      <c r="E1687" s="12" t="str">
        <f aca="false">IF(C1687="","",IFERROR(INDEX('Ingredient Catalog'!$C:$C,MATCH(C1687,'Ingredient Catalog'!$A:$A,0)),"⚠ not in catalog"))</f>
        <v/>
      </c>
      <c r="G1687" s="12" t="str">
        <f aca="false">IF(A1687="","",COUNTIFS('Weekly Log'!$A:$A,'Grocery List'!$B$3,'Weekly Log'!$C:$C,A1687,'Weekly Log'!$E:$E,"Yes"))</f>
        <v/>
      </c>
      <c r="H1687" s="12" t="str">
        <f aca="false">IF(OR(A1687="",D1687=""),"",D1687*G1687)</f>
        <v/>
      </c>
    </row>
    <row r="1688" customFormat="false" ht="15" hidden="false" customHeight="false" outlineLevel="0" collapsed="false">
      <c r="B1688" s="12" t="str">
        <f aca="false">IF(A1688="","",IFERROR(INDEX(Recipes!$B:$B,MATCH(A1688,Recipes!$A:$A,0)),"⚠ unknown recipe_id"))</f>
        <v/>
      </c>
      <c r="E1688" s="12" t="str">
        <f aca="false">IF(C1688="","",IFERROR(INDEX('Ingredient Catalog'!$C:$C,MATCH(C1688,'Ingredient Catalog'!$A:$A,0)),"⚠ not in catalog"))</f>
        <v/>
      </c>
      <c r="G1688" s="12" t="str">
        <f aca="false">IF(A1688="","",COUNTIFS('Weekly Log'!$A:$A,'Grocery List'!$B$3,'Weekly Log'!$C:$C,A1688,'Weekly Log'!$E:$E,"Yes"))</f>
        <v/>
      </c>
      <c r="H1688" s="12" t="str">
        <f aca="false">IF(OR(A1688="",D1688=""),"",D1688*G1688)</f>
        <v/>
      </c>
    </row>
    <row r="1689" customFormat="false" ht="15" hidden="false" customHeight="false" outlineLevel="0" collapsed="false">
      <c r="B1689" s="12" t="str">
        <f aca="false">IF(A1689="","",IFERROR(INDEX(Recipes!$B:$B,MATCH(A1689,Recipes!$A:$A,0)),"⚠ unknown recipe_id"))</f>
        <v/>
      </c>
      <c r="E1689" s="12" t="str">
        <f aca="false">IF(C1689="","",IFERROR(INDEX('Ingredient Catalog'!$C:$C,MATCH(C1689,'Ingredient Catalog'!$A:$A,0)),"⚠ not in catalog"))</f>
        <v/>
      </c>
      <c r="G1689" s="12" t="str">
        <f aca="false">IF(A1689="","",COUNTIFS('Weekly Log'!$A:$A,'Grocery List'!$B$3,'Weekly Log'!$C:$C,A1689,'Weekly Log'!$E:$E,"Yes"))</f>
        <v/>
      </c>
      <c r="H1689" s="12" t="str">
        <f aca="false">IF(OR(A1689="",D1689=""),"",D1689*G1689)</f>
        <v/>
      </c>
    </row>
    <row r="1690" customFormat="false" ht="15" hidden="false" customHeight="false" outlineLevel="0" collapsed="false">
      <c r="B1690" s="12" t="str">
        <f aca="false">IF(A1690="","",IFERROR(INDEX(Recipes!$B:$B,MATCH(A1690,Recipes!$A:$A,0)),"⚠ unknown recipe_id"))</f>
        <v/>
      </c>
      <c r="E1690" s="12" t="str">
        <f aca="false">IF(C1690="","",IFERROR(INDEX('Ingredient Catalog'!$C:$C,MATCH(C1690,'Ingredient Catalog'!$A:$A,0)),"⚠ not in catalog"))</f>
        <v/>
      </c>
      <c r="G1690" s="12" t="str">
        <f aca="false">IF(A1690="","",COUNTIFS('Weekly Log'!$A:$A,'Grocery List'!$B$3,'Weekly Log'!$C:$C,A1690,'Weekly Log'!$E:$E,"Yes"))</f>
        <v/>
      </c>
      <c r="H1690" s="12" t="str">
        <f aca="false">IF(OR(A1690="",D1690=""),"",D1690*G1690)</f>
        <v/>
      </c>
    </row>
    <row r="1691" customFormat="false" ht="15" hidden="false" customHeight="false" outlineLevel="0" collapsed="false">
      <c r="B1691" s="12" t="str">
        <f aca="false">IF(A1691="","",IFERROR(INDEX(Recipes!$B:$B,MATCH(A1691,Recipes!$A:$A,0)),"⚠ unknown recipe_id"))</f>
        <v/>
      </c>
      <c r="E1691" s="12" t="str">
        <f aca="false">IF(C1691="","",IFERROR(INDEX('Ingredient Catalog'!$C:$C,MATCH(C1691,'Ingredient Catalog'!$A:$A,0)),"⚠ not in catalog"))</f>
        <v/>
      </c>
      <c r="G1691" s="12" t="str">
        <f aca="false">IF(A1691="","",COUNTIFS('Weekly Log'!$A:$A,'Grocery List'!$B$3,'Weekly Log'!$C:$C,A1691,'Weekly Log'!$E:$E,"Yes"))</f>
        <v/>
      </c>
      <c r="H1691" s="12" t="str">
        <f aca="false">IF(OR(A1691="",D1691=""),"",D1691*G1691)</f>
        <v/>
      </c>
    </row>
    <row r="1692" customFormat="false" ht="15" hidden="false" customHeight="false" outlineLevel="0" collapsed="false">
      <c r="B1692" s="12" t="str">
        <f aca="false">IF(A1692="","",IFERROR(INDEX(Recipes!$B:$B,MATCH(A1692,Recipes!$A:$A,0)),"⚠ unknown recipe_id"))</f>
        <v/>
      </c>
      <c r="E1692" s="12" t="str">
        <f aca="false">IF(C1692="","",IFERROR(INDEX('Ingredient Catalog'!$C:$C,MATCH(C1692,'Ingredient Catalog'!$A:$A,0)),"⚠ not in catalog"))</f>
        <v/>
      </c>
      <c r="G1692" s="12" t="str">
        <f aca="false">IF(A1692="","",COUNTIFS('Weekly Log'!$A:$A,'Grocery List'!$B$3,'Weekly Log'!$C:$C,A1692,'Weekly Log'!$E:$E,"Yes"))</f>
        <v/>
      </c>
      <c r="H1692" s="12" t="str">
        <f aca="false">IF(OR(A1692="",D1692=""),"",D1692*G1692)</f>
        <v/>
      </c>
    </row>
    <row r="1693" customFormat="false" ht="15" hidden="false" customHeight="false" outlineLevel="0" collapsed="false">
      <c r="B1693" s="12" t="str">
        <f aca="false">IF(A1693="","",IFERROR(INDEX(Recipes!$B:$B,MATCH(A1693,Recipes!$A:$A,0)),"⚠ unknown recipe_id"))</f>
        <v/>
      </c>
      <c r="E1693" s="12" t="str">
        <f aca="false">IF(C1693="","",IFERROR(INDEX('Ingredient Catalog'!$C:$C,MATCH(C1693,'Ingredient Catalog'!$A:$A,0)),"⚠ not in catalog"))</f>
        <v/>
      </c>
      <c r="G1693" s="12" t="str">
        <f aca="false">IF(A1693="","",COUNTIFS('Weekly Log'!$A:$A,'Grocery List'!$B$3,'Weekly Log'!$C:$C,A1693,'Weekly Log'!$E:$E,"Yes"))</f>
        <v/>
      </c>
      <c r="H1693" s="12" t="str">
        <f aca="false">IF(OR(A1693="",D1693=""),"",D1693*G1693)</f>
        <v/>
      </c>
    </row>
    <row r="1694" customFormat="false" ht="15" hidden="false" customHeight="false" outlineLevel="0" collapsed="false">
      <c r="B1694" s="12" t="str">
        <f aca="false">IF(A1694="","",IFERROR(INDEX(Recipes!$B:$B,MATCH(A1694,Recipes!$A:$A,0)),"⚠ unknown recipe_id"))</f>
        <v/>
      </c>
      <c r="E1694" s="12" t="str">
        <f aca="false">IF(C1694="","",IFERROR(INDEX('Ingredient Catalog'!$C:$C,MATCH(C1694,'Ingredient Catalog'!$A:$A,0)),"⚠ not in catalog"))</f>
        <v/>
      </c>
      <c r="G1694" s="12" t="str">
        <f aca="false">IF(A1694="","",COUNTIFS('Weekly Log'!$A:$A,'Grocery List'!$B$3,'Weekly Log'!$C:$C,A1694,'Weekly Log'!$E:$E,"Yes"))</f>
        <v/>
      </c>
      <c r="H1694" s="12" t="str">
        <f aca="false">IF(OR(A1694="",D1694=""),"",D1694*G1694)</f>
        <v/>
      </c>
    </row>
    <row r="1695" customFormat="false" ht="15" hidden="false" customHeight="false" outlineLevel="0" collapsed="false">
      <c r="B1695" s="12" t="str">
        <f aca="false">IF(A1695="","",IFERROR(INDEX(Recipes!$B:$B,MATCH(A1695,Recipes!$A:$A,0)),"⚠ unknown recipe_id"))</f>
        <v/>
      </c>
      <c r="E1695" s="12" t="str">
        <f aca="false">IF(C1695="","",IFERROR(INDEX('Ingredient Catalog'!$C:$C,MATCH(C1695,'Ingredient Catalog'!$A:$A,0)),"⚠ not in catalog"))</f>
        <v/>
      </c>
      <c r="G1695" s="12" t="str">
        <f aca="false">IF(A1695="","",COUNTIFS('Weekly Log'!$A:$A,'Grocery List'!$B$3,'Weekly Log'!$C:$C,A1695,'Weekly Log'!$E:$E,"Yes"))</f>
        <v/>
      </c>
      <c r="H1695" s="12" t="str">
        <f aca="false">IF(OR(A1695="",D1695=""),"",D1695*G1695)</f>
        <v/>
      </c>
    </row>
    <row r="1696" customFormat="false" ht="15" hidden="false" customHeight="false" outlineLevel="0" collapsed="false">
      <c r="B1696" s="12" t="str">
        <f aca="false">IF(A1696="","",IFERROR(INDEX(Recipes!$B:$B,MATCH(A1696,Recipes!$A:$A,0)),"⚠ unknown recipe_id"))</f>
        <v/>
      </c>
      <c r="E1696" s="12" t="str">
        <f aca="false">IF(C1696="","",IFERROR(INDEX('Ingredient Catalog'!$C:$C,MATCH(C1696,'Ingredient Catalog'!$A:$A,0)),"⚠ not in catalog"))</f>
        <v/>
      </c>
      <c r="G1696" s="12" t="str">
        <f aca="false">IF(A1696="","",COUNTIFS('Weekly Log'!$A:$A,'Grocery List'!$B$3,'Weekly Log'!$C:$C,A1696,'Weekly Log'!$E:$E,"Yes"))</f>
        <v/>
      </c>
      <c r="H1696" s="12" t="str">
        <f aca="false">IF(OR(A1696="",D1696=""),"",D1696*G1696)</f>
        <v/>
      </c>
    </row>
    <row r="1697" customFormat="false" ht="15" hidden="false" customHeight="false" outlineLevel="0" collapsed="false">
      <c r="B1697" s="12" t="str">
        <f aca="false">IF(A1697="","",IFERROR(INDEX(Recipes!$B:$B,MATCH(A1697,Recipes!$A:$A,0)),"⚠ unknown recipe_id"))</f>
        <v/>
      </c>
      <c r="E1697" s="12" t="str">
        <f aca="false">IF(C1697="","",IFERROR(INDEX('Ingredient Catalog'!$C:$C,MATCH(C1697,'Ingredient Catalog'!$A:$A,0)),"⚠ not in catalog"))</f>
        <v/>
      </c>
      <c r="G1697" s="12" t="str">
        <f aca="false">IF(A1697="","",COUNTIFS('Weekly Log'!$A:$A,'Grocery List'!$B$3,'Weekly Log'!$C:$C,A1697,'Weekly Log'!$E:$E,"Yes"))</f>
        <v/>
      </c>
      <c r="H1697" s="12" t="str">
        <f aca="false">IF(OR(A1697="",D1697=""),"",D1697*G1697)</f>
        <v/>
      </c>
    </row>
    <row r="1698" customFormat="false" ht="15" hidden="false" customHeight="false" outlineLevel="0" collapsed="false">
      <c r="B1698" s="12" t="str">
        <f aca="false">IF(A1698="","",IFERROR(INDEX(Recipes!$B:$B,MATCH(A1698,Recipes!$A:$A,0)),"⚠ unknown recipe_id"))</f>
        <v/>
      </c>
      <c r="E1698" s="12" t="str">
        <f aca="false">IF(C1698="","",IFERROR(INDEX('Ingredient Catalog'!$C:$C,MATCH(C1698,'Ingredient Catalog'!$A:$A,0)),"⚠ not in catalog"))</f>
        <v/>
      </c>
      <c r="G1698" s="12" t="str">
        <f aca="false">IF(A1698="","",COUNTIFS('Weekly Log'!$A:$A,'Grocery List'!$B$3,'Weekly Log'!$C:$C,A1698,'Weekly Log'!$E:$E,"Yes"))</f>
        <v/>
      </c>
      <c r="H1698" s="12" t="str">
        <f aca="false">IF(OR(A1698="",D1698=""),"",D1698*G1698)</f>
        <v/>
      </c>
    </row>
    <row r="1699" customFormat="false" ht="15" hidden="false" customHeight="false" outlineLevel="0" collapsed="false">
      <c r="B1699" s="12" t="str">
        <f aca="false">IF(A1699="","",IFERROR(INDEX(Recipes!$B:$B,MATCH(A1699,Recipes!$A:$A,0)),"⚠ unknown recipe_id"))</f>
        <v/>
      </c>
      <c r="E1699" s="12" t="str">
        <f aca="false">IF(C1699="","",IFERROR(INDEX('Ingredient Catalog'!$C:$C,MATCH(C1699,'Ingredient Catalog'!$A:$A,0)),"⚠ not in catalog"))</f>
        <v/>
      </c>
      <c r="G1699" s="12" t="str">
        <f aca="false">IF(A1699="","",COUNTIFS('Weekly Log'!$A:$A,'Grocery List'!$B$3,'Weekly Log'!$C:$C,A1699,'Weekly Log'!$E:$E,"Yes"))</f>
        <v/>
      </c>
      <c r="H1699" s="12" t="str">
        <f aca="false">IF(OR(A1699="",D1699=""),"",D1699*G1699)</f>
        <v/>
      </c>
    </row>
    <row r="1700" customFormat="false" ht="15" hidden="false" customHeight="false" outlineLevel="0" collapsed="false">
      <c r="B1700" s="12" t="str">
        <f aca="false">IF(A1700="","",IFERROR(INDEX(Recipes!$B:$B,MATCH(A1700,Recipes!$A:$A,0)),"⚠ unknown recipe_id"))</f>
        <v/>
      </c>
      <c r="E1700" s="12" t="str">
        <f aca="false">IF(C1700="","",IFERROR(INDEX('Ingredient Catalog'!$C:$C,MATCH(C1700,'Ingredient Catalog'!$A:$A,0)),"⚠ not in catalog"))</f>
        <v/>
      </c>
      <c r="G1700" s="12" t="str">
        <f aca="false">IF(A1700="","",COUNTIFS('Weekly Log'!$A:$A,'Grocery List'!$B$3,'Weekly Log'!$C:$C,A1700,'Weekly Log'!$E:$E,"Yes"))</f>
        <v/>
      </c>
      <c r="H1700" s="12" t="str">
        <f aca="false">IF(OR(A1700="",D1700=""),"",D1700*G1700)</f>
        <v/>
      </c>
    </row>
    <row r="1701" customFormat="false" ht="15" hidden="false" customHeight="false" outlineLevel="0" collapsed="false">
      <c r="B1701" s="12" t="str">
        <f aca="false">IF(A1701="","",IFERROR(INDEX(Recipes!$B:$B,MATCH(A1701,Recipes!$A:$A,0)),"⚠ unknown recipe_id"))</f>
        <v/>
      </c>
      <c r="E1701" s="12" t="str">
        <f aca="false">IF(C1701="","",IFERROR(INDEX('Ingredient Catalog'!$C:$C,MATCH(C1701,'Ingredient Catalog'!$A:$A,0)),"⚠ not in catalog"))</f>
        <v/>
      </c>
      <c r="G1701" s="12" t="str">
        <f aca="false">IF(A1701="","",COUNTIFS('Weekly Log'!$A:$A,'Grocery List'!$B$3,'Weekly Log'!$C:$C,A1701,'Weekly Log'!$E:$E,"Yes"))</f>
        <v/>
      </c>
      <c r="H1701" s="12" t="str">
        <f aca="false">IF(OR(A1701="",D1701=""),"",D1701*G1701)</f>
        <v/>
      </c>
    </row>
    <row r="1702" customFormat="false" ht="15" hidden="false" customHeight="false" outlineLevel="0" collapsed="false">
      <c r="B1702" s="12" t="str">
        <f aca="false">IF(A1702="","",IFERROR(INDEX(Recipes!$B:$B,MATCH(A1702,Recipes!$A:$A,0)),"⚠ unknown recipe_id"))</f>
        <v/>
      </c>
      <c r="E1702" s="12" t="str">
        <f aca="false">IF(C1702="","",IFERROR(INDEX('Ingredient Catalog'!$C:$C,MATCH(C1702,'Ingredient Catalog'!$A:$A,0)),"⚠ not in catalog"))</f>
        <v/>
      </c>
      <c r="G1702" s="12" t="str">
        <f aca="false">IF(A1702="","",COUNTIFS('Weekly Log'!$A:$A,'Grocery List'!$B$3,'Weekly Log'!$C:$C,A1702,'Weekly Log'!$E:$E,"Yes"))</f>
        <v/>
      </c>
      <c r="H1702" s="12" t="str">
        <f aca="false">IF(OR(A1702="",D1702=""),"",D1702*G1702)</f>
        <v/>
      </c>
    </row>
    <row r="1703" customFormat="false" ht="15" hidden="false" customHeight="false" outlineLevel="0" collapsed="false">
      <c r="B1703" s="12" t="str">
        <f aca="false">IF(A1703="","",IFERROR(INDEX(Recipes!$B:$B,MATCH(A1703,Recipes!$A:$A,0)),"⚠ unknown recipe_id"))</f>
        <v/>
      </c>
      <c r="E1703" s="12" t="str">
        <f aca="false">IF(C1703="","",IFERROR(INDEX('Ingredient Catalog'!$C:$C,MATCH(C1703,'Ingredient Catalog'!$A:$A,0)),"⚠ not in catalog"))</f>
        <v/>
      </c>
      <c r="G1703" s="12" t="str">
        <f aca="false">IF(A1703="","",COUNTIFS('Weekly Log'!$A:$A,'Grocery List'!$B$3,'Weekly Log'!$C:$C,A1703,'Weekly Log'!$E:$E,"Yes"))</f>
        <v/>
      </c>
      <c r="H1703" s="12" t="str">
        <f aca="false">IF(OR(A1703="",D1703=""),"",D1703*G1703)</f>
        <v/>
      </c>
    </row>
    <row r="1704" customFormat="false" ht="15" hidden="false" customHeight="false" outlineLevel="0" collapsed="false">
      <c r="B1704" s="12" t="str">
        <f aca="false">IF(A1704="","",IFERROR(INDEX(Recipes!$B:$B,MATCH(A1704,Recipes!$A:$A,0)),"⚠ unknown recipe_id"))</f>
        <v/>
      </c>
      <c r="E1704" s="12" t="str">
        <f aca="false">IF(C1704="","",IFERROR(INDEX('Ingredient Catalog'!$C:$C,MATCH(C1704,'Ingredient Catalog'!$A:$A,0)),"⚠ not in catalog"))</f>
        <v/>
      </c>
      <c r="G1704" s="12" t="str">
        <f aca="false">IF(A1704="","",COUNTIFS('Weekly Log'!$A:$A,'Grocery List'!$B$3,'Weekly Log'!$C:$C,A1704,'Weekly Log'!$E:$E,"Yes"))</f>
        <v/>
      </c>
      <c r="H1704" s="12" t="str">
        <f aca="false">IF(OR(A1704="",D1704=""),"",D1704*G1704)</f>
        <v/>
      </c>
    </row>
    <row r="1705" customFormat="false" ht="15" hidden="false" customHeight="false" outlineLevel="0" collapsed="false">
      <c r="B1705" s="12" t="str">
        <f aca="false">IF(A1705="","",IFERROR(INDEX(Recipes!$B:$B,MATCH(A1705,Recipes!$A:$A,0)),"⚠ unknown recipe_id"))</f>
        <v/>
      </c>
      <c r="E1705" s="12" t="str">
        <f aca="false">IF(C1705="","",IFERROR(INDEX('Ingredient Catalog'!$C:$C,MATCH(C1705,'Ingredient Catalog'!$A:$A,0)),"⚠ not in catalog"))</f>
        <v/>
      </c>
      <c r="G1705" s="12" t="str">
        <f aca="false">IF(A1705="","",COUNTIFS('Weekly Log'!$A:$A,'Grocery List'!$B$3,'Weekly Log'!$C:$C,A1705,'Weekly Log'!$E:$E,"Yes"))</f>
        <v/>
      </c>
      <c r="H1705" s="12" t="str">
        <f aca="false">IF(OR(A1705="",D1705=""),"",D1705*G1705)</f>
        <v/>
      </c>
    </row>
    <row r="1706" customFormat="false" ht="15" hidden="false" customHeight="false" outlineLevel="0" collapsed="false">
      <c r="B1706" s="12" t="str">
        <f aca="false">IF(A1706="","",IFERROR(INDEX(Recipes!$B:$B,MATCH(A1706,Recipes!$A:$A,0)),"⚠ unknown recipe_id"))</f>
        <v/>
      </c>
      <c r="E1706" s="12" t="str">
        <f aca="false">IF(C1706="","",IFERROR(INDEX('Ingredient Catalog'!$C:$C,MATCH(C1706,'Ingredient Catalog'!$A:$A,0)),"⚠ not in catalog"))</f>
        <v/>
      </c>
      <c r="G1706" s="12" t="str">
        <f aca="false">IF(A1706="","",COUNTIFS('Weekly Log'!$A:$A,'Grocery List'!$B$3,'Weekly Log'!$C:$C,A1706,'Weekly Log'!$E:$E,"Yes"))</f>
        <v/>
      </c>
      <c r="H1706" s="12" t="str">
        <f aca="false">IF(OR(A1706="",D1706=""),"",D1706*G1706)</f>
        <v/>
      </c>
    </row>
    <row r="1707" customFormat="false" ht="15" hidden="false" customHeight="false" outlineLevel="0" collapsed="false">
      <c r="B1707" s="12" t="str">
        <f aca="false">IF(A1707="","",IFERROR(INDEX(Recipes!$B:$B,MATCH(A1707,Recipes!$A:$A,0)),"⚠ unknown recipe_id"))</f>
        <v/>
      </c>
      <c r="E1707" s="12" t="str">
        <f aca="false">IF(C1707="","",IFERROR(INDEX('Ingredient Catalog'!$C:$C,MATCH(C1707,'Ingredient Catalog'!$A:$A,0)),"⚠ not in catalog"))</f>
        <v/>
      </c>
      <c r="G1707" s="12" t="str">
        <f aca="false">IF(A1707="","",COUNTIFS('Weekly Log'!$A:$A,'Grocery List'!$B$3,'Weekly Log'!$C:$C,A1707,'Weekly Log'!$E:$E,"Yes"))</f>
        <v/>
      </c>
      <c r="H1707" s="12" t="str">
        <f aca="false">IF(OR(A1707="",D1707=""),"",D1707*G1707)</f>
        <v/>
      </c>
    </row>
    <row r="1708" customFormat="false" ht="15" hidden="false" customHeight="false" outlineLevel="0" collapsed="false">
      <c r="B1708" s="12" t="str">
        <f aca="false">IF(A1708="","",IFERROR(INDEX(Recipes!$B:$B,MATCH(A1708,Recipes!$A:$A,0)),"⚠ unknown recipe_id"))</f>
        <v/>
      </c>
      <c r="E1708" s="12" t="str">
        <f aca="false">IF(C1708="","",IFERROR(INDEX('Ingredient Catalog'!$C:$C,MATCH(C1708,'Ingredient Catalog'!$A:$A,0)),"⚠ not in catalog"))</f>
        <v/>
      </c>
      <c r="G1708" s="12" t="str">
        <f aca="false">IF(A1708="","",COUNTIFS('Weekly Log'!$A:$A,'Grocery List'!$B$3,'Weekly Log'!$C:$C,A1708,'Weekly Log'!$E:$E,"Yes"))</f>
        <v/>
      </c>
      <c r="H1708" s="12" t="str">
        <f aca="false">IF(OR(A1708="",D1708=""),"",D1708*G1708)</f>
        <v/>
      </c>
    </row>
    <row r="1709" customFormat="false" ht="15" hidden="false" customHeight="false" outlineLevel="0" collapsed="false">
      <c r="B1709" s="12" t="str">
        <f aca="false">IF(A1709="","",IFERROR(INDEX(Recipes!$B:$B,MATCH(A1709,Recipes!$A:$A,0)),"⚠ unknown recipe_id"))</f>
        <v/>
      </c>
      <c r="E1709" s="12" t="str">
        <f aca="false">IF(C1709="","",IFERROR(INDEX('Ingredient Catalog'!$C:$C,MATCH(C1709,'Ingredient Catalog'!$A:$A,0)),"⚠ not in catalog"))</f>
        <v/>
      </c>
      <c r="G1709" s="12" t="str">
        <f aca="false">IF(A1709="","",COUNTIFS('Weekly Log'!$A:$A,'Grocery List'!$B$3,'Weekly Log'!$C:$C,A1709,'Weekly Log'!$E:$E,"Yes"))</f>
        <v/>
      </c>
      <c r="H1709" s="12" t="str">
        <f aca="false">IF(OR(A1709="",D1709=""),"",D1709*G1709)</f>
        <v/>
      </c>
    </row>
    <row r="1710" customFormat="false" ht="15" hidden="false" customHeight="false" outlineLevel="0" collapsed="false">
      <c r="B1710" s="12" t="str">
        <f aca="false">IF(A1710="","",IFERROR(INDEX(Recipes!$B:$B,MATCH(A1710,Recipes!$A:$A,0)),"⚠ unknown recipe_id"))</f>
        <v/>
      </c>
      <c r="E1710" s="12" t="str">
        <f aca="false">IF(C1710="","",IFERROR(INDEX('Ingredient Catalog'!$C:$C,MATCH(C1710,'Ingredient Catalog'!$A:$A,0)),"⚠ not in catalog"))</f>
        <v/>
      </c>
      <c r="G1710" s="12" t="str">
        <f aca="false">IF(A1710="","",COUNTIFS('Weekly Log'!$A:$A,'Grocery List'!$B$3,'Weekly Log'!$C:$C,A1710,'Weekly Log'!$E:$E,"Yes"))</f>
        <v/>
      </c>
      <c r="H1710" s="12" t="str">
        <f aca="false">IF(OR(A1710="",D1710=""),"",D1710*G1710)</f>
        <v/>
      </c>
    </row>
    <row r="1711" customFormat="false" ht="15" hidden="false" customHeight="false" outlineLevel="0" collapsed="false">
      <c r="B1711" s="12" t="str">
        <f aca="false">IF(A1711="","",IFERROR(INDEX(Recipes!$B:$B,MATCH(A1711,Recipes!$A:$A,0)),"⚠ unknown recipe_id"))</f>
        <v/>
      </c>
      <c r="E1711" s="12" t="str">
        <f aca="false">IF(C1711="","",IFERROR(INDEX('Ingredient Catalog'!$C:$C,MATCH(C1711,'Ingredient Catalog'!$A:$A,0)),"⚠ not in catalog"))</f>
        <v/>
      </c>
      <c r="G1711" s="12" t="str">
        <f aca="false">IF(A1711="","",COUNTIFS('Weekly Log'!$A:$A,'Grocery List'!$B$3,'Weekly Log'!$C:$C,A1711,'Weekly Log'!$E:$E,"Yes"))</f>
        <v/>
      </c>
      <c r="H1711" s="12" t="str">
        <f aca="false">IF(OR(A1711="",D1711=""),"",D1711*G1711)</f>
        <v/>
      </c>
    </row>
    <row r="1712" customFormat="false" ht="15" hidden="false" customHeight="false" outlineLevel="0" collapsed="false">
      <c r="B1712" s="12" t="str">
        <f aca="false">IF(A1712="","",IFERROR(INDEX(Recipes!$B:$B,MATCH(A1712,Recipes!$A:$A,0)),"⚠ unknown recipe_id"))</f>
        <v/>
      </c>
      <c r="E1712" s="12" t="str">
        <f aca="false">IF(C1712="","",IFERROR(INDEX('Ingredient Catalog'!$C:$C,MATCH(C1712,'Ingredient Catalog'!$A:$A,0)),"⚠ not in catalog"))</f>
        <v/>
      </c>
      <c r="G1712" s="12" t="str">
        <f aca="false">IF(A1712="","",COUNTIFS('Weekly Log'!$A:$A,'Grocery List'!$B$3,'Weekly Log'!$C:$C,A1712,'Weekly Log'!$E:$E,"Yes"))</f>
        <v/>
      </c>
      <c r="H1712" s="12" t="str">
        <f aca="false">IF(OR(A1712="",D1712=""),"",D1712*G1712)</f>
        <v/>
      </c>
    </row>
    <row r="1713" customFormat="false" ht="15" hidden="false" customHeight="false" outlineLevel="0" collapsed="false">
      <c r="B1713" s="12" t="str">
        <f aca="false">IF(A1713="","",IFERROR(INDEX(Recipes!$B:$B,MATCH(A1713,Recipes!$A:$A,0)),"⚠ unknown recipe_id"))</f>
        <v/>
      </c>
      <c r="E1713" s="12" t="str">
        <f aca="false">IF(C1713="","",IFERROR(INDEX('Ingredient Catalog'!$C:$C,MATCH(C1713,'Ingredient Catalog'!$A:$A,0)),"⚠ not in catalog"))</f>
        <v/>
      </c>
      <c r="G1713" s="12" t="str">
        <f aca="false">IF(A1713="","",COUNTIFS('Weekly Log'!$A:$A,'Grocery List'!$B$3,'Weekly Log'!$C:$C,A1713,'Weekly Log'!$E:$E,"Yes"))</f>
        <v/>
      </c>
      <c r="H1713" s="12" t="str">
        <f aca="false">IF(OR(A1713="",D1713=""),"",D1713*G1713)</f>
        <v/>
      </c>
    </row>
    <row r="1714" customFormat="false" ht="15" hidden="false" customHeight="false" outlineLevel="0" collapsed="false">
      <c r="B1714" s="12" t="str">
        <f aca="false">IF(A1714="","",IFERROR(INDEX(Recipes!$B:$B,MATCH(A1714,Recipes!$A:$A,0)),"⚠ unknown recipe_id"))</f>
        <v/>
      </c>
      <c r="E1714" s="12" t="str">
        <f aca="false">IF(C1714="","",IFERROR(INDEX('Ingredient Catalog'!$C:$C,MATCH(C1714,'Ingredient Catalog'!$A:$A,0)),"⚠ not in catalog"))</f>
        <v/>
      </c>
      <c r="G1714" s="12" t="str">
        <f aca="false">IF(A1714="","",COUNTIFS('Weekly Log'!$A:$A,'Grocery List'!$B$3,'Weekly Log'!$C:$C,A1714,'Weekly Log'!$E:$E,"Yes"))</f>
        <v/>
      </c>
      <c r="H1714" s="12" t="str">
        <f aca="false">IF(OR(A1714="",D1714=""),"",D1714*G1714)</f>
        <v/>
      </c>
    </row>
    <row r="1715" customFormat="false" ht="15" hidden="false" customHeight="false" outlineLevel="0" collapsed="false">
      <c r="B1715" s="12" t="str">
        <f aca="false">IF(A1715="","",IFERROR(INDEX(Recipes!$B:$B,MATCH(A1715,Recipes!$A:$A,0)),"⚠ unknown recipe_id"))</f>
        <v/>
      </c>
      <c r="E1715" s="12" t="str">
        <f aca="false">IF(C1715="","",IFERROR(INDEX('Ingredient Catalog'!$C:$C,MATCH(C1715,'Ingredient Catalog'!$A:$A,0)),"⚠ not in catalog"))</f>
        <v/>
      </c>
      <c r="G1715" s="12" t="str">
        <f aca="false">IF(A1715="","",COUNTIFS('Weekly Log'!$A:$A,'Grocery List'!$B$3,'Weekly Log'!$C:$C,A1715,'Weekly Log'!$E:$E,"Yes"))</f>
        <v/>
      </c>
      <c r="H1715" s="12" t="str">
        <f aca="false">IF(OR(A1715="",D1715=""),"",D1715*G1715)</f>
        <v/>
      </c>
    </row>
    <row r="1716" customFormat="false" ht="15" hidden="false" customHeight="false" outlineLevel="0" collapsed="false">
      <c r="B1716" s="12" t="str">
        <f aca="false">IF(A1716="","",IFERROR(INDEX(Recipes!$B:$B,MATCH(A1716,Recipes!$A:$A,0)),"⚠ unknown recipe_id"))</f>
        <v/>
      </c>
      <c r="E1716" s="12" t="str">
        <f aca="false">IF(C1716="","",IFERROR(INDEX('Ingredient Catalog'!$C:$C,MATCH(C1716,'Ingredient Catalog'!$A:$A,0)),"⚠ not in catalog"))</f>
        <v/>
      </c>
      <c r="G1716" s="12" t="str">
        <f aca="false">IF(A1716="","",COUNTIFS('Weekly Log'!$A:$A,'Grocery List'!$B$3,'Weekly Log'!$C:$C,A1716,'Weekly Log'!$E:$E,"Yes"))</f>
        <v/>
      </c>
      <c r="H1716" s="12" t="str">
        <f aca="false">IF(OR(A1716="",D1716=""),"",D1716*G1716)</f>
        <v/>
      </c>
    </row>
    <row r="1717" customFormat="false" ht="15" hidden="false" customHeight="false" outlineLevel="0" collapsed="false">
      <c r="B1717" s="12" t="str">
        <f aca="false">IF(A1717="","",IFERROR(INDEX(Recipes!$B:$B,MATCH(A1717,Recipes!$A:$A,0)),"⚠ unknown recipe_id"))</f>
        <v/>
      </c>
      <c r="E1717" s="12" t="str">
        <f aca="false">IF(C1717="","",IFERROR(INDEX('Ingredient Catalog'!$C:$C,MATCH(C1717,'Ingredient Catalog'!$A:$A,0)),"⚠ not in catalog"))</f>
        <v/>
      </c>
      <c r="G1717" s="12" t="str">
        <f aca="false">IF(A1717="","",COUNTIFS('Weekly Log'!$A:$A,'Grocery List'!$B$3,'Weekly Log'!$C:$C,A1717,'Weekly Log'!$E:$E,"Yes"))</f>
        <v/>
      </c>
      <c r="H1717" s="12" t="str">
        <f aca="false">IF(OR(A1717="",D1717=""),"",D1717*G1717)</f>
        <v/>
      </c>
    </row>
    <row r="1718" customFormat="false" ht="15" hidden="false" customHeight="false" outlineLevel="0" collapsed="false">
      <c r="B1718" s="12" t="str">
        <f aca="false">IF(A1718="","",IFERROR(INDEX(Recipes!$B:$B,MATCH(A1718,Recipes!$A:$A,0)),"⚠ unknown recipe_id"))</f>
        <v/>
      </c>
      <c r="E1718" s="12" t="str">
        <f aca="false">IF(C1718="","",IFERROR(INDEX('Ingredient Catalog'!$C:$C,MATCH(C1718,'Ingredient Catalog'!$A:$A,0)),"⚠ not in catalog"))</f>
        <v/>
      </c>
      <c r="G1718" s="12" t="str">
        <f aca="false">IF(A1718="","",COUNTIFS('Weekly Log'!$A:$A,'Grocery List'!$B$3,'Weekly Log'!$C:$C,A1718,'Weekly Log'!$E:$E,"Yes"))</f>
        <v/>
      </c>
      <c r="H1718" s="12" t="str">
        <f aca="false">IF(OR(A1718="",D1718=""),"",D1718*G1718)</f>
        <v/>
      </c>
    </row>
    <row r="1719" customFormat="false" ht="15" hidden="false" customHeight="false" outlineLevel="0" collapsed="false">
      <c r="B1719" s="12" t="str">
        <f aca="false">IF(A1719="","",IFERROR(INDEX(Recipes!$B:$B,MATCH(A1719,Recipes!$A:$A,0)),"⚠ unknown recipe_id"))</f>
        <v/>
      </c>
      <c r="E1719" s="12" t="str">
        <f aca="false">IF(C1719="","",IFERROR(INDEX('Ingredient Catalog'!$C:$C,MATCH(C1719,'Ingredient Catalog'!$A:$A,0)),"⚠ not in catalog"))</f>
        <v/>
      </c>
      <c r="G1719" s="12" t="str">
        <f aca="false">IF(A1719="","",COUNTIFS('Weekly Log'!$A:$A,'Grocery List'!$B$3,'Weekly Log'!$C:$C,A1719,'Weekly Log'!$E:$E,"Yes"))</f>
        <v/>
      </c>
      <c r="H1719" s="12" t="str">
        <f aca="false">IF(OR(A1719="",D1719=""),"",D1719*G1719)</f>
        <v/>
      </c>
    </row>
    <row r="1720" customFormat="false" ht="15" hidden="false" customHeight="false" outlineLevel="0" collapsed="false">
      <c r="B1720" s="12" t="str">
        <f aca="false">IF(A1720="","",IFERROR(INDEX(Recipes!$B:$B,MATCH(A1720,Recipes!$A:$A,0)),"⚠ unknown recipe_id"))</f>
        <v/>
      </c>
      <c r="E1720" s="12" t="str">
        <f aca="false">IF(C1720="","",IFERROR(INDEX('Ingredient Catalog'!$C:$C,MATCH(C1720,'Ingredient Catalog'!$A:$A,0)),"⚠ not in catalog"))</f>
        <v/>
      </c>
      <c r="G1720" s="12" t="str">
        <f aca="false">IF(A1720="","",COUNTIFS('Weekly Log'!$A:$A,'Grocery List'!$B$3,'Weekly Log'!$C:$C,A1720,'Weekly Log'!$E:$E,"Yes"))</f>
        <v/>
      </c>
      <c r="H1720" s="12" t="str">
        <f aca="false">IF(OR(A1720="",D1720=""),"",D1720*G1720)</f>
        <v/>
      </c>
    </row>
    <row r="1721" customFormat="false" ht="15" hidden="false" customHeight="false" outlineLevel="0" collapsed="false">
      <c r="B1721" s="12" t="str">
        <f aca="false">IF(A1721="","",IFERROR(INDEX(Recipes!$B:$B,MATCH(A1721,Recipes!$A:$A,0)),"⚠ unknown recipe_id"))</f>
        <v/>
      </c>
      <c r="E1721" s="12" t="str">
        <f aca="false">IF(C1721="","",IFERROR(INDEX('Ingredient Catalog'!$C:$C,MATCH(C1721,'Ingredient Catalog'!$A:$A,0)),"⚠ not in catalog"))</f>
        <v/>
      </c>
      <c r="G1721" s="12" t="str">
        <f aca="false">IF(A1721="","",COUNTIFS('Weekly Log'!$A:$A,'Grocery List'!$B$3,'Weekly Log'!$C:$C,A1721,'Weekly Log'!$E:$E,"Yes"))</f>
        <v/>
      </c>
      <c r="H1721" s="12" t="str">
        <f aca="false">IF(OR(A1721="",D1721=""),"",D1721*G1721)</f>
        <v/>
      </c>
    </row>
    <row r="1722" customFormat="false" ht="15" hidden="false" customHeight="false" outlineLevel="0" collapsed="false">
      <c r="B1722" s="12" t="str">
        <f aca="false">IF(A1722="","",IFERROR(INDEX(Recipes!$B:$B,MATCH(A1722,Recipes!$A:$A,0)),"⚠ unknown recipe_id"))</f>
        <v/>
      </c>
      <c r="E1722" s="12" t="str">
        <f aca="false">IF(C1722="","",IFERROR(INDEX('Ingredient Catalog'!$C:$C,MATCH(C1722,'Ingredient Catalog'!$A:$A,0)),"⚠ not in catalog"))</f>
        <v/>
      </c>
      <c r="G1722" s="12" t="str">
        <f aca="false">IF(A1722="","",COUNTIFS('Weekly Log'!$A:$A,'Grocery List'!$B$3,'Weekly Log'!$C:$C,A1722,'Weekly Log'!$E:$E,"Yes"))</f>
        <v/>
      </c>
      <c r="H1722" s="12" t="str">
        <f aca="false">IF(OR(A1722="",D1722=""),"",D1722*G1722)</f>
        <v/>
      </c>
    </row>
    <row r="1723" customFormat="false" ht="15" hidden="false" customHeight="false" outlineLevel="0" collapsed="false">
      <c r="B1723" s="12" t="str">
        <f aca="false">IF(A1723="","",IFERROR(INDEX(Recipes!$B:$B,MATCH(A1723,Recipes!$A:$A,0)),"⚠ unknown recipe_id"))</f>
        <v/>
      </c>
      <c r="E1723" s="12" t="str">
        <f aca="false">IF(C1723="","",IFERROR(INDEX('Ingredient Catalog'!$C:$C,MATCH(C1723,'Ingredient Catalog'!$A:$A,0)),"⚠ not in catalog"))</f>
        <v/>
      </c>
      <c r="G1723" s="12" t="str">
        <f aca="false">IF(A1723="","",COUNTIFS('Weekly Log'!$A:$A,'Grocery List'!$B$3,'Weekly Log'!$C:$C,A1723,'Weekly Log'!$E:$E,"Yes"))</f>
        <v/>
      </c>
      <c r="H1723" s="12" t="str">
        <f aca="false">IF(OR(A1723="",D1723=""),"",D1723*G1723)</f>
        <v/>
      </c>
    </row>
    <row r="1724" customFormat="false" ht="15" hidden="false" customHeight="false" outlineLevel="0" collapsed="false">
      <c r="B1724" s="12" t="str">
        <f aca="false">IF(A1724="","",IFERROR(INDEX(Recipes!$B:$B,MATCH(A1724,Recipes!$A:$A,0)),"⚠ unknown recipe_id"))</f>
        <v/>
      </c>
      <c r="E1724" s="12" t="str">
        <f aca="false">IF(C1724="","",IFERROR(INDEX('Ingredient Catalog'!$C:$C,MATCH(C1724,'Ingredient Catalog'!$A:$A,0)),"⚠ not in catalog"))</f>
        <v/>
      </c>
      <c r="G1724" s="12" t="str">
        <f aca="false">IF(A1724="","",COUNTIFS('Weekly Log'!$A:$A,'Grocery List'!$B$3,'Weekly Log'!$C:$C,A1724,'Weekly Log'!$E:$E,"Yes"))</f>
        <v/>
      </c>
      <c r="H1724" s="12" t="str">
        <f aca="false">IF(OR(A1724="",D1724=""),"",D1724*G1724)</f>
        <v/>
      </c>
    </row>
    <row r="1725" customFormat="false" ht="15" hidden="false" customHeight="false" outlineLevel="0" collapsed="false">
      <c r="B1725" s="12" t="str">
        <f aca="false">IF(A1725="","",IFERROR(INDEX(Recipes!$B:$B,MATCH(A1725,Recipes!$A:$A,0)),"⚠ unknown recipe_id"))</f>
        <v/>
      </c>
      <c r="E1725" s="12" t="str">
        <f aca="false">IF(C1725="","",IFERROR(INDEX('Ingredient Catalog'!$C:$C,MATCH(C1725,'Ingredient Catalog'!$A:$A,0)),"⚠ not in catalog"))</f>
        <v/>
      </c>
      <c r="G1725" s="12" t="str">
        <f aca="false">IF(A1725="","",COUNTIFS('Weekly Log'!$A:$A,'Grocery List'!$B$3,'Weekly Log'!$C:$C,A1725,'Weekly Log'!$E:$E,"Yes"))</f>
        <v/>
      </c>
      <c r="H1725" s="12" t="str">
        <f aca="false">IF(OR(A1725="",D1725=""),"",D1725*G1725)</f>
        <v/>
      </c>
    </row>
    <row r="1726" customFormat="false" ht="15" hidden="false" customHeight="false" outlineLevel="0" collapsed="false">
      <c r="B1726" s="12" t="str">
        <f aca="false">IF(A1726="","",IFERROR(INDEX(Recipes!$B:$B,MATCH(A1726,Recipes!$A:$A,0)),"⚠ unknown recipe_id"))</f>
        <v/>
      </c>
      <c r="E1726" s="12" t="str">
        <f aca="false">IF(C1726="","",IFERROR(INDEX('Ingredient Catalog'!$C:$C,MATCH(C1726,'Ingredient Catalog'!$A:$A,0)),"⚠ not in catalog"))</f>
        <v/>
      </c>
      <c r="G1726" s="12" t="str">
        <f aca="false">IF(A1726="","",COUNTIFS('Weekly Log'!$A:$A,'Grocery List'!$B$3,'Weekly Log'!$C:$C,A1726,'Weekly Log'!$E:$E,"Yes"))</f>
        <v/>
      </c>
      <c r="H1726" s="12" t="str">
        <f aca="false">IF(OR(A1726="",D1726=""),"",D1726*G1726)</f>
        <v/>
      </c>
    </row>
    <row r="1727" customFormat="false" ht="15" hidden="false" customHeight="false" outlineLevel="0" collapsed="false">
      <c r="B1727" s="12" t="str">
        <f aca="false">IF(A1727="","",IFERROR(INDEX(Recipes!$B:$B,MATCH(A1727,Recipes!$A:$A,0)),"⚠ unknown recipe_id"))</f>
        <v/>
      </c>
      <c r="E1727" s="12" t="str">
        <f aca="false">IF(C1727="","",IFERROR(INDEX('Ingredient Catalog'!$C:$C,MATCH(C1727,'Ingredient Catalog'!$A:$A,0)),"⚠ not in catalog"))</f>
        <v/>
      </c>
      <c r="G1727" s="12" t="str">
        <f aca="false">IF(A1727="","",COUNTIFS('Weekly Log'!$A:$A,'Grocery List'!$B$3,'Weekly Log'!$C:$C,A1727,'Weekly Log'!$E:$E,"Yes"))</f>
        <v/>
      </c>
      <c r="H1727" s="12" t="str">
        <f aca="false">IF(OR(A1727="",D1727=""),"",D1727*G1727)</f>
        <v/>
      </c>
    </row>
    <row r="1728" customFormat="false" ht="15" hidden="false" customHeight="false" outlineLevel="0" collapsed="false">
      <c r="B1728" s="12" t="str">
        <f aca="false">IF(A1728="","",IFERROR(INDEX(Recipes!$B:$B,MATCH(A1728,Recipes!$A:$A,0)),"⚠ unknown recipe_id"))</f>
        <v/>
      </c>
      <c r="E1728" s="12" t="str">
        <f aca="false">IF(C1728="","",IFERROR(INDEX('Ingredient Catalog'!$C:$C,MATCH(C1728,'Ingredient Catalog'!$A:$A,0)),"⚠ not in catalog"))</f>
        <v/>
      </c>
      <c r="G1728" s="12" t="str">
        <f aca="false">IF(A1728="","",COUNTIFS('Weekly Log'!$A:$A,'Grocery List'!$B$3,'Weekly Log'!$C:$C,A1728,'Weekly Log'!$E:$E,"Yes"))</f>
        <v/>
      </c>
      <c r="H1728" s="12" t="str">
        <f aca="false">IF(OR(A1728="",D1728=""),"",D1728*G1728)</f>
        <v/>
      </c>
    </row>
    <row r="1729" customFormat="false" ht="15" hidden="false" customHeight="false" outlineLevel="0" collapsed="false">
      <c r="B1729" s="12" t="str">
        <f aca="false">IF(A1729="","",IFERROR(INDEX(Recipes!$B:$B,MATCH(A1729,Recipes!$A:$A,0)),"⚠ unknown recipe_id"))</f>
        <v/>
      </c>
      <c r="E1729" s="12" t="str">
        <f aca="false">IF(C1729="","",IFERROR(INDEX('Ingredient Catalog'!$C:$C,MATCH(C1729,'Ingredient Catalog'!$A:$A,0)),"⚠ not in catalog"))</f>
        <v/>
      </c>
      <c r="G1729" s="12" t="str">
        <f aca="false">IF(A1729="","",COUNTIFS('Weekly Log'!$A:$A,'Grocery List'!$B$3,'Weekly Log'!$C:$C,A1729,'Weekly Log'!$E:$E,"Yes"))</f>
        <v/>
      </c>
      <c r="H1729" s="12" t="str">
        <f aca="false">IF(OR(A1729="",D1729=""),"",D1729*G1729)</f>
        <v/>
      </c>
    </row>
    <row r="1730" customFormat="false" ht="15" hidden="false" customHeight="false" outlineLevel="0" collapsed="false">
      <c r="B1730" s="12" t="str">
        <f aca="false">IF(A1730="","",IFERROR(INDEX(Recipes!$B:$B,MATCH(A1730,Recipes!$A:$A,0)),"⚠ unknown recipe_id"))</f>
        <v/>
      </c>
      <c r="E1730" s="12" t="str">
        <f aca="false">IF(C1730="","",IFERROR(INDEX('Ingredient Catalog'!$C:$C,MATCH(C1730,'Ingredient Catalog'!$A:$A,0)),"⚠ not in catalog"))</f>
        <v/>
      </c>
      <c r="G1730" s="12" t="str">
        <f aca="false">IF(A1730="","",COUNTIFS('Weekly Log'!$A:$A,'Grocery List'!$B$3,'Weekly Log'!$C:$C,A1730,'Weekly Log'!$E:$E,"Yes"))</f>
        <v/>
      </c>
      <c r="H1730" s="12" t="str">
        <f aca="false">IF(OR(A1730="",D1730=""),"",D1730*G1730)</f>
        <v/>
      </c>
    </row>
    <row r="1731" customFormat="false" ht="15" hidden="false" customHeight="false" outlineLevel="0" collapsed="false">
      <c r="B1731" s="12" t="str">
        <f aca="false">IF(A1731="","",IFERROR(INDEX(Recipes!$B:$B,MATCH(A1731,Recipes!$A:$A,0)),"⚠ unknown recipe_id"))</f>
        <v/>
      </c>
      <c r="E1731" s="12" t="str">
        <f aca="false">IF(C1731="","",IFERROR(INDEX('Ingredient Catalog'!$C:$C,MATCH(C1731,'Ingredient Catalog'!$A:$A,0)),"⚠ not in catalog"))</f>
        <v/>
      </c>
      <c r="G1731" s="12" t="str">
        <f aca="false">IF(A1731="","",COUNTIFS('Weekly Log'!$A:$A,'Grocery List'!$B$3,'Weekly Log'!$C:$C,A1731,'Weekly Log'!$E:$E,"Yes"))</f>
        <v/>
      </c>
      <c r="H1731" s="12" t="str">
        <f aca="false">IF(OR(A1731="",D1731=""),"",D1731*G1731)</f>
        <v/>
      </c>
    </row>
    <row r="1732" customFormat="false" ht="15" hidden="false" customHeight="false" outlineLevel="0" collapsed="false">
      <c r="B1732" s="12" t="str">
        <f aca="false">IF(A1732="","",IFERROR(INDEX(Recipes!$B:$B,MATCH(A1732,Recipes!$A:$A,0)),"⚠ unknown recipe_id"))</f>
        <v/>
      </c>
      <c r="E1732" s="12" t="str">
        <f aca="false">IF(C1732="","",IFERROR(INDEX('Ingredient Catalog'!$C:$C,MATCH(C1732,'Ingredient Catalog'!$A:$A,0)),"⚠ not in catalog"))</f>
        <v/>
      </c>
      <c r="G1732" s="12" t="str">
        <f aca="false">IF(A1732="","",COUNTIFS('Weekly Log'!$A:$A,'Grocery List'!$B$3,'Weekly Log'!$C:$C,A1732,'Weekly Log'!$E:$E,"Yes"))</f>
        <v/>
      </c>
      <c r="H1732" s="12" t="str">
        <f aca="false">IF(OR(A1732="",D1732=""),"",D1732*G1732)</f>
        <v/>
      </c>
    </row>
    <row r="1733" customFormat="false" ht="15" hidden="false" customHeight="false" outlineLevel="0" collapsed="false">
      <c r="B1733" s="12" t="str">
        <f aca="false">IF(A1733="","",IFERROR(INDEX(Recipes!$B:$B,MATCH(A1733,Recipes!$A:$A,0)),"⚠ unknown recipe_id"))</f>
        <v/>
      </c>
      <c r="E1733" s="12" t="str">
        <f aca="false">IF(C1733="","",IFERROR(INDEX('Ingredient Catalog'!$C:$C,MATCH(C1733,'Ingredient Catalog'!$A:$A,0)),"⚠ not in catalog"))</f>
        <v/>
      </c>
      <c r="G1733" s="12" t="str">
        <f aca="false">IF(A1733="","",COUNTIFS('Weekly Log'!$A:$A,'Grocery List'!$B$3,'Weekly Log'!$C:$C,A1733,'Weekly Log'!$E:$E,"Yes"))</f>
        <v/>
      </c>
      <c r="H1733" s="12" t="str">
        <f aca="false">IF(OR(A1733="",D1733=""),"",D1733*G1733)</f>
        <v/>
      </c>
    </row>
    <row r="1734" customFormat="false" ht="15" hidden="false" customHeight="false" outlineLevel="0" collapsed="false">
      <c r="B1734" s="12" t="str">
        <f aca="false">IF(A1734="","",IFERROR(INDEX(Recipes!$B:$B,MATCH(A1734,Recipes!$A:$A,0)),"⚠ unknown recipe_id"))</f>
        <v/>
      </c>
      <c r="E1734" s="12" t="str">
        <f aca="false">IF(C1734="","",IFERROR(INDEX('Ingredient Catalog'!$C:$C,MATCH(C1734,'Ingredient Catalog'!$A:$A,0)),"⚠ not in catalog"))</f>
        <v/>
      </c>
      <c r="G1734" s="12" t="str">
        <f aca="false">IF(A1734="","",COUNTIFS('Weekly Log'!$A:$A,'Grocery List'!$B$3,'Weekly Log'!$C:$C,A1734,'Weekly Log'!$E:$E,"Yes"))</f>
        <v/>
      </c>
      <c r="H1734" s="12" t="str">
        <f aca="false">IF(OR(A1734="",D1734=""),"",D1734*G1734)</f>
        <v/>
      </c>
    </row>
    <row r="1735" customFormat="false" ht="15" hidden="false" customHeight="false" outlineLevel="0" collapsed="false">
      <c r="B1735" s="12" t="str">
        <f aca="false">IF(A1735="","",IFERROR(INDEX(Recipes!$B:$B,MATCH(A1735,Recipes!$A:$A,0)),"⚠ unknown recipe_id"))</f>
        <v/>
      </c>
      <c r="E1735" s="12" t="str">
        <f aca="false">IF(C1735="","",IFERROR(INDEX('Ingredient Catalog'!$C:$C,MATCH(C1735,'Ingredient Catalog'!$A:$A,0)),"⚠ not in catalog"))</f>
        <v/>
      </c>
      <c r="G1735" s="12" t="str">
        <f aca="false">IF(A1735="","",COUNTIFS('Weekly Log'!$A:$A,'Grocery List'!$B$3,'Weekly Log'!$C:$C,A1735,'Weekly Log'!$E:$E,"Yes"))</f>
        <v/>
      </c>
      <c r="H1735" s="12" t="str">
        <f aca="false">IF(OR(A1735="",D1735=""),"",D1735*G1735)</f>
        <v/>
      </c>
    </row>
    <row r="1736" customFormat="false" ht="15" hidden="false" customHeight="false" outlineLevel="0" collapsed="false">
      <c r="B1736" s="12" t="str">
        <f aca="false">IF(A1736="","",IFERROR(INDEX(Recipes!$B:$B,MATCH(A1736,Recipes!$A:$A,0)),"⚠ unknown recipe_id"))</f>
        <v/>
      </c>
      <c r="E1736" s="12" t="str">
        <f aca="false">IF(C1736="","",IFERROR(INDEX('Ingredient Catalog'!$C:$C,MATCH(C1736,'Ingredient Catalog'!$A:$A,0)),"⚠ not in catalog"))</f>
        <v/>
      </c>
      <c r="G1736" s="12" t="str">
        <f aca="false">IF(A1736="","",COUNTIFS('Weekly Log'!$A:$A,'Grocery List'!$B$3,'Weekly Log'!$C:$C,A1736,'Weekly Log'!$E:$E,"Yes"))</f>
        <v/>
      </c>
      <c r="H1736" s="12" t="str">
        <f aca="false">IF(OR(A1736="",D1736=""),"",D1736*G1736)</f>
        <v/>
      </c>
    </row>
    <row r="1737" customFormat="false" ht="15" hidden="false" customHeight="false" outlineLevel="0" collapsed="false">
      <c r="B1737" s="12" t="str">
        <f aca="false">IF(A1737="","",IFERROR(INDEX(Recipes!$B:$B,MATCH(A1737,Recipes!$A:$A,0)),"⚠ unknown recipe_id"))</f>
        <v/>
      </c>
      <c r="E1737" s="12" t="str">
        <f aca="false">IF(C1737="","",IFERROR(INDEX('Ingredient Catalog'!$C:$C,MATCH(C1737,'Ingredient Catalog'!$A:$A,0)),"⚠ not in catalog"))</f>
        <v/>
      </c>
      <c r="G1737" s="12" t="str">
        <f aca="false">IF(A1737="","",COUNTIFS('Weekly Log'!$A:$A,'Grocery List'!$B$3,'Weekly Log'!$C:$C,A1737,'Weekly Log'!$E:$E,"Yes"))</f>
        <v/>
      </c>
      <c r="H1737" s="12" t="str">
        <f aca="false">IF(OR(A1737="",D1737=""),"",D1737*G1737)</f>
        <v/>
      </c>
    </row>
    <row r="1738" customFormat="false" ht="15" hidden="false" customHeight="false" outlineLevel="0" collapsed="false">
      <c r="B1738" s="12" t="str">
        <f aca="false">IF(A1738="","",IFERROR(INDEX(Recipes!$B:$B,MATCH(A1738,Recipes!$A:$A,0)),"⚠ unknown recipe_id"))</f>
        <v/>
      </c>
      <c r="E1738" s="12" t="str">
        <f aca="false">IF(C1738="","",IFERROR(INDEX('Ingredient Catalog'!$C:$C,MATCH(C1738,'Ingredient Catalog'!$A:$A,0)),"⚠ not in catalog"))</f>
        <v/>
      </c>
      <c r="G1738" s="12" t="str">
        <f aca="false">IF(A1738="","",COUNTIFS('Weekly Log'!$A:$A,'Grocery List'!$B$3,'Weekly Log'!$C:$C,A1738,'Weekly Log'!$E:$E,"Yes"))</f>
        <v/>
      </c>
      <c r="H1738" s="12" t="str">
        <f aca="false">IF(OR(A1738="",D1738=""),"",D1738*G1738)</f>
        <v/>
      </c>
    </row>
    <row r="1739" customFormat="false" ht="15" hidden="false" customHeight="false" outlineLevel="0" collapsed="false">
      <c r="B1739" s="12" t="str">
        <f aca="false">IF(A1739="","",IFERROR(INDEX(Recipes!$B:$B,MATCH(A1739,Recipes!$A:$A,0)),"⚠ unknown recipe_id"))</f>
        <v/>
      </c>
      <c r="E1739" s="12" t="str">
        <f aca="false">IF(C1739="","",IFERROR(INDEX('Ingredient Catalog'!$C:$C,MATCH(C1739,'Ingredient Catalog'!$A:$A,0)),"⚠ not in catalog"))</f>
        <v/>
      </c>
      <c r="G1739" s="12" t="str">
        <f aca="false">IF(A1739="","",COUNTIFS('Weekly Log'!$A:$A,'Grocery List'!$B$3,'Weekly Log'!$C:$C,A1739,'Weekly Log'!$E:$E,"Yes"))</f>
        <v/>
      </c>
      <c r="H1739" s="12" t="str">
        <f aca="false">IF(OR(A1739="",D1739=""),"",D1739*G1739)</f>
        <v/>
      </c>
    </row>
    <row r="1740" customFormat="false" ht="15" hidden="false" customHeight="false" outlineLevel="0" collapsed="false">
      <c r="B1740" s="12" t="str">
        <f aca="false">IF(A1740="","",IFERROR(INDEX(Recipes!$B:$B,MATCH(A1740,Recipes!$A:$A,0)),"⚠ unknown recipe_id"))</f>
        <v/>
      </c>
      <c r="E1740" s="12" t="str">
        <f aca="false">IF(C1740="","",IFERROR(INDEX('Ingredient Catalog'!$C:$C,MATCH(C1740,'Ingredient Catalog'!$A:$A,0)),"⚠ not in catalog"))</f>
        <v/>
      </c>
      <c r="G1740" s="12" t="str">
        <f aca="false">IF(A1740="","",COUNTIFS('Weekly Log'!$A:$A,'Grocery List'!$B$3,'Weekly Log'!$C:$C,A1740,'Weekly Log'!$E:$E,"Yes"))</f>
        <v/>
      </c>
      <c r="H1740" s="12" t="str">
        <f aca="false">IF(OR(A1740="",D1740=""),"",D1740*G1740)</f>
        <v/>
      </c>
    </row>
    <row r="1741" customFormat="false" ht="15" hidden="false" customHeight="false" outlineLevel="0" collapsed="false">
      <c r="B1741" s="12" t="str">
        <f aca="false">IF(A1741="","",IFERROR(INDEX(Recipes!$B:$B,MATCH(A1741,Recipes!$A:$A,0)),"⚠ unknown recipe_id"))</f>
        <v/>
      </c>
      <c r="E1741" s="12" t="str">
        <f aca="false">IF(C1741="","",IFERROR(INDEX('Ingredient Catalog'!$C:$C,MATCH(C1741,'Ingredient Catalog'!$A:$A,0)),"⚠ not in catalog"))</f>
        <v/>
      </c>
      <c r="G1741" s="12" t="str">
        <f aca="false">IF(A1741="","",COUNTIFS('Weekly Log'!$A:$A,'Grocery List'!$B$3,'Weekly Log'!$C:$C,A1741,'Weekly Log'!$E:$E,"Yes"))</f>
        <v/>
      </c>
      <c r="H1741" s="12" t="str">
        <f aca="false">IF(OR(A1741="",D1741=""),"",D1741*G1741)</f>
        <v/>
      </c>
    </row>
    <row r="1742" customFormat="false" ht="15" hidden="false" customHeight="false" outlineLevel="0" collapsed="false">
      <c r="B1742" s="12" t="str">
        <f aca="false">IF(A1742="","",IFERROR(INDEX(Recipes!$B:$B,MATCH(A1742,Recipes!$A:$A,0)),"⚠ unknown recipe_id"))</f>
        <v/>
      </c>
      <c r="E1742" s="12" t="str">
        <f aca="false">IF(C1742="","",IFERROR(INDEX('Ingredient Catalog'!$C:$C,MATCH(C1742,'Ingredient Catalog'!$A:$A,0)),"⚠ not in catalog"))</f>
        <v/>
      </c>
      <c r="G1742" s="12" t="str">
        <f aca="false">IF(A1742="","",COUNTIFS('Weekly Log'!$A:$A,'Grocery List'!$B$3,'Weekly Log'!$C:$C,A1742,'Weekly Log'!$E:$E,"Yes"))</f>
        <v/>
      </c>
      <c r="H1742" s="12" t="str">
        <f aca="false">IF(OR(A1742="",D1742=""),"",D1742*G1742)</f>
        <v/>
      </c>
    </row>
    <row r="1743" customFormat="false" ht="15" hidden="false" customHeight="false" outlineLevel="0" collapsed="false">
      <c r="B1743" s="12" t="str">
        <f aca="false">IF(A1743="","",IFERROR(INDEX(Recipes!$B:$B,MATCH(A1743,Recipes!$A:$A,0)),"⚠ unknown recipe_id"))</f>
        <v/>
      </c>
      <c r="E1743" s="12" t="str">
        <f aca="false">IF(C1743="","",IFERROR(INDEX('Ingredient Catalog'!$C:$C,MATCH(C1743,'Ingredient Catalog'!$A:$A,0)),"⚠ not in catalog"))</f>
        <v/>
      </c>
      <c r="G1743" s="12" t="str">
        <f aca="false">IF(A1743="","",COUNTIFS('Weekly Log'!$A:$A,'Grocery List'!$B$3,'Weekly Log'!$C:$C,A1743,'Weekly Log'!$E:$E,"Yes"))</f>
        <v/>
      </c>
      <c r="H1743" s="12" t="str">
        <f aca="false">IF(OR(A1743="",D1743=""),"",D1743*G1743)</f>
        <v/>
      </c>
    </row>
    <row r="1744" customFormat="false" ht="15" hidden="false" customHeight="false" outlineLevel="0" collapsed="false">
      <c r="B1744" s="12" t="str">
        <f aca="false">IF(A1744="","",IFERROR(INDEX(Recipes!$B:$B,MATCH(A1744,Recipes!$A:$A,0)),"⚠ unknown recipe_id"))</f>
        <v/>
      </c>
      <c r="E1744" s="12" t="str">
        <f aca="false">IF(C1744="","",IFERROR(INDEX('Ingredient Catalog'!$C:$C,MATCH(C1744,'Ingredient Catalog'!$A:$A,0)),"⚠ not in catalog"))</f>
        <v/>
      </c>
      <c r="G1744" s="12" t="str">
        <f aca="false">IF(A1744="","",COUNTIFS('Weekly Log'!$A:$A,'Grocery List'!$B$3,'Weekly Log'!$C:$C,A1744,'Weekly Log'!$E:$E,"Yes"))</f>
        <v/>
      </c>
      <c r="H1744" s="12" t="str">
        <f aca="false">IF(OR(A1744="",D1744=""),"",D1744*G1744)</f>
        <v/>
      </c>
    </row>
    <row r="1745" customFormat="false" ht="15" hidden="false" customHeight="false" outlineLevel="0" collapsed="false">
      <c r="B1745" s="12" t="str">
        <f aca="false">IF(A1745="","",IFERROR(INDEX(Recipes!$B:$B,MATCH(A1745,Recipes!$A:$A,0)),"⚠ unknown recipe_id"))</f>
        <v/>
      </c>
      <c r="E1745" s="12" t="str">
        <f aca="false">IF(C1745="","",IFERROR(INDEX('Ingredient Catalog'!$C:$C,MATCH(C1745,'Ingredient Catalog'!$A:$A,0)),"⚠ not in catalog"))</f>
        <v/>
      </c>
      <c r="G1745" s="12" t="str">
        <f aca="false">IF(A1745="","",COUNTIFS('Weekly Log'!$A:$A,'Grocery List'!$B$3,'Weekly Log'!$C:$C,A1745,'Weekly Log'!$E:$E,"Yes"))</f>
        <v/>
      </c>
      <c r="H1745" s="12" t="str">
        <f aca="false">IF(OR(A1745="",D1745=""),"",D1745*G1745)</f>
        <v/>
      </c>
    </row>
    <row r="1746" customFormat="false" ht="15" hidden="false" customHeight="false" outlineLevel="0" collapsed="false">
      <c r="B1746" s="12" t="str">
        <f aca="false">IF(A1746="","",IFERROR(INDEX(Recipes!$B:$B,MATCH(A1746,Recipes!$A:$A,0)),"⚠ unknown recipe_id"))</f>
        <v/>
      </c>
      <c r="E1746" s="12" t="str">
        <f aca="false">IF(C1746="","",IFERROR(INDEX('Ingredient Catalog'!$C:$C,MATCH(C1746,'Ingredient Catalog'!$A:$A,0)),"⚠ not in catalog"))</f>
        <v/>
      </c>
      <c r="G1746" s="12" t="str">
        <f aca="false">IF(A1746="","",COUNTIFS('Weekly Log'!$A:$A,'Grocery List'!$B$3,'Weekly Log'!$C:$C,A1746,'Weekly Log'!$E:$E,"Yes"))</f>
        <v/>
      </c>
      <c r="H1746" s="12" t="str">
        <f aca="false">IF(OR(A1746="",D1746=""),"",D1746*G1746)</f>
        <v/>
      </c>
    </row>
    <row r="1747" customFormat="false" ht="15" hidden="false" customHeight="false" outlineLevel="0" collapsed="false">
      <c r="B1747" s="12" t="str">
        <f aca="false">IF(A1747="","",IFERROR(INDEX(Recipes!$B:$B,MATCH(A1747,Recipes!$A:$A,0)),"⚠ unknown recipe_id"))</f>
        <v/>
      </c>
      <c r="E1747" s="12" t="str">
        <f aca="false">IF(C1747="","",IFERROR(INDEX('Ingredient Catalog'!$C:$C,MATCH(C1747,'Ingredient Catalog'!$A:$A,0)),"⚠ not in catalog"))</f>
        <v/>
      </c>
      <c r="G1747" s="12" t="str">
        <f aca="false">IF(A1747="","",COUNTIFS('Weekly Log'!$A:$A,'Grocery List'!$B$3,'Weekly Log'!$C:$C,A1747,'Weekly Log'!$E:$E,"Yes"))</f>
        <v/>
      </c>
      <c r="H1747" s="12" t="str">
        <f aca="false">IF(OR(A1747="",D1747=""),"",D1747*G1747)</f>
        <v/>
      </c>
    </row>
    <row r="1748" customFormat="false" ht="15" hidden="false" customHeight="false" outlineLevel="0" collapsed="false">
      <c r="B1748" s="12" t="str">
        <f aca="false">IF(A1748="","",IFERROR(INDEX(Recipes!$B:$B,MATCH(A1748,Recipes!$A:$A,0)),"⚠ unknown recipe_id"))</f>
        <v/>
      </c>
      <c r="E1748" s="12" t="str">
        <f aca="false">IF(C1748="","",IFERROR(INDEX('Ingredient Catalog'!$C:$C,MATCH(C1748,'Ingredient Catalog'!$A:$A,0)),"⚠ not in catalog"))</f>
        <v/>
      </c>
      <c r="G1748" s="12" t="str">
        <f aca="false">IF(A1748="","",COUNTIFS('Weekly Log'!$A:$A,'Grocery List'!$B$3,'Weekly Log'!$C:$C,A1748,'Weekly Log'!$E:$E,"Yes"))</f>
        <v/>
      </c>
      <c r="H1748" s="12" t="str">
        <f aca="false">IF(OR(A1748="",D1748=""),"",D1748*G1748)</f>
        <v/>
      </c>
    </row>
    <row r="1749" customFormat="false" ht="15" hidden="false" customHeight="false" outlineLevel="0" collapsed="false">
      <c r="B1749" s="12" t="str">
        <f aca="false">IF(A1749="","",IFERROR(INDEX(Recipes!$B:$B,MATCH(A1749,Recipes!$A:$A,0)),"⚠ unknown recipe_id"))</f>
        <v/>
      </c>
      <c r="E1749" s="12" t="str">
        <f aca="false">IF(C1749="","",IFERROR(INDEX('Ingredient Catalog'!$C:$C,MATCH(C1749,'Ingredient Catalog'!$A:$A,0)),"⚠ not in catalog"))</f>
        <v/>
      </c>
      <c r="G1749" s="12" t="str">
        <f aca="false">IF(A1749="","",COUNTIFS('Weekly Log'!$A:$A,'Grocery List'!$B$3,'Weekly Log'!$C:$C,A1749,'Weekly Log'!$E:$E,"Yes"))</f>
        <v/>
      </c>
      <c r="H1749" s="12" t="str">
        <f aca="false">IF(OR(A1749="",D1749=""),"",D1749*G1749)</f>
        <v/>
      </c>
    </row>
    <row r="1750" customFormat="false" ht="15" hidden="false" customHeight="false" outlineLevel="0" collapsed="false">
      <c r="B1750" s="12" t="str">
        <f aca="false">IF(A1750="","",IFERROR(INDEX(Recipes!$B:$B,MATCH(A1750,Recipes!$A:$A,0)),"⚠ unknown recipe_id"))</f>
        <v/>
      </c>
      <c r="E1750" s="12" t="str">
        <f aca="false">IF(C1750="","",IFERROR(INDEX('Ingredient Catalog'!$C:$C,MATCH(C1750,'Ingredient Catalog'!$A:$A,0)),"⚠ not in catalog"))</f>
        <v/>
      </c>
      <c r="G1750" s="12" t="str">
        <f aca="false">IF(A1750="","",COUNTIFS('Weekly Log'!$A:$A,'Grocery List'!$B$3,'Weekly Log'!$C:$C,A1750,'Weekly Log'!$E:$E,"Yes"))</f>
        <v/>
      </c>
      <c r="H1750" s="12" t="str">
        <f aca="false">IF(OR(A1750="",D1750=""),"",D1750*G1750)</f>
        <v/>
      </c>
    </row>
    <row r="1751" customFormat="false" ht="15" hidden="false" customHeight="false" outlineLevel="0" collapsed="false">
      <c r="B1751" s="12" t="str">
        <f aca="false">IF(A1751="","",IFERROR(INDEX(Recipes!$B:$B,MATCH(A1751,Recipes!$A:$A,0)),"⚠ unknown recipe_id"))</f>
        <v/>
      </c>
      <c r="E1751" s="12" t="str">
        <f aca="false">IF(C1751="","",IFERROR(INDEX('Ingredient Catalog'!$C:$C,MATCH(C1751,'Ingredient Catalog'!$A:$A,0)),"⚠ not in catalog"))</f>
        <v/>
      </c>
      <c r="G1751" s="12" t="str">
        <f aca="false">IF(A1751="","",COUNTIFS('Weekly Log'!$A:$A,'Grocery List'!$B$3,'Weekly Log'!$C:$C,A1751,'Weekly Log'!$E:$E,"Yes"))</f>
        <v/>
      </c>
      <c r="H1751" s="12" t="str">
        <f aca="false">IF(OR(A1751="",D1751=""),"",D1751*G1751)</f>
        <v/>
      </c>
    </row>
    <row r="1752" customFormat="false" ht="15" hidden="false" customHeight="false" outlineLevel="0" collapsed="false">
      <c r="B1752" s="12" t="str">
        <f aca="false">IF(A1752="","",IFERROR(INDEX(Recipes!$B:$B,MATCH(A1752,Recipes!$A:$A,0)),"⚠ unknown recipe_id"))</f>
        <v/>
      </c>
      <c r="E1752" s="12" t="str">
        <f aca="false">IF(C1752="","",IFERROR(INDEX('Ingredient Catalog'!$C:$C,MATCH(C1752,'Ingredient Catalog'!$A:$A,0)),"⚠ not in catalog"))</f>
        <v/>
      </c>
      <c r="G1752" s="12" t="str">
        <f aca="false">IF(A1752="","",COUNTIFS('Weekly Log'!$A:$A,'Grocery List'!$B$3,'Weekly Log'!$C:$C,A1752,'Weekly Log'!$E:$E,"Yes"))</f>
        <v/>
      </c>
      <c r="H1752" s="12" t="str">
        <f aca="false">IF(OR(A1752="",D1752=""),"",D1752*G1752)</f>
        <v/>
      </c>
    </row>
    <row r="1753" customFormat="false" ht="15" hidden="false" customHeight="false" outlineLevel="0" collapsed="false">
      <c r="B1753" s="12" t="str">
        <f aca="false">IF(A1753="","",IFERROR(INDEX(Recipes!$B:$B,MATCH(A1753,Recipes!$A:$A,0)),"⚠ unknown recipe_id"))</f>
        <v/>
      </c>
      <c r="E1753" s="12" t="str">
        <f aca="false">IF(C1753="","",IFERROR(INDEX('Ingredient Catalog'!$C:$C,MATCH(C1753,'Ingredient Catalog'!$A:$A,0)),"⚠ not in catalog"))</f>
        <v/>
      </c>
      <c r="G1753" s="12" t="str">
        <f aca="false">IF(A1753="","",COUNTIFS('Weekly Log'!$A:$A,'Grocery List'!$B$3,'Weekly Log'!$C:$C,A1753,'Weekly Log'!$E:$E,"Yes"))</f>
        <v/>
      </c>
      <c r="H1753" s="12" t="str">
        <f aca="false">IF(OR(A1753="",D1753=""),"",D1753*G1753)</f>
        <v/>
      </c>
    </row>
    <row r="1754" customFormat="false" ht="15" hidden="false" customHeight="false" outlineLevel="0" collapsed="false">
      <c r="B1754" s="12" t="str">
        <f aca="false">IF(A1754="","",IFERROR(INDEX(Recipes!$B:$B,MATCH(A1754,Recipes!$A:$A,0)),"⚠ unknown recipe_id"))</f>
        <v/>
      </c>
      <c r="E1754" s="12" t="str">
        <f aca="false">IF(C1754="","",IFERROR(INDEX('Ingredient Catalog'!$C:$C,MATCH(C1754,'Ingredient Catalog'!$A:$A,0)),"⚠ not in catalog"))</f>
        <v/>
      </c>
      <c r="G1754" s="12" t="str">
        <f aca="false">IF(A1754="","",COUNTIFS('Weekly Log'!$A:$A,'Grocery List'!$B$3,'Weekly Log'!$C:$C,A1754,'Weekly Log'!$E:$E,"Yes"))</f>
        <v/>
      </c>
      <c r="H1754" s="12" t="str">
        <f aca="false">IF(OR(A1754="",D1754=""),"",D1754*G1754)</f>
        <v/>
      </c>
    </row>
    <row r="1755" customFormat="false" ht="15" hidden="false" customHeight="false" outlineLevel="0" collapsed="false">
      <c r="B1755" s="12" t="str">
        <f aca="false">IF(A1755="","",IFERROR(INDEX(Recipes!$B:$B,MATCH(A1755,Recipes!$A:$A,0)),"⚠ unknown recipe_id"))</f>
        <v/>
      </c>
      <c r="E1755" s="12" t="str">
        <f aca="false">IF(C1755="","",IFERROR(INDEX('Ingredient Catalog'!$C:$C,MATCH(C1755,'Ingredient Catalog'!$A:$A,0)),"⚠ not in catalog"))</f>
        <v/>
      </c>
      <c r="G1755" s="12" t="str">
        <f aca="false">IF(A1755="","",COUNTIFS('Weekly Log'!$A:$A,'Grocery List'!$B$3,'Weekly Log'!$C:$C,A1755,'Weekly Log'!$E:$E,"Yes"))</f>
        <v/>
      </c>
      <c r="H1755" s="12" t="str">
        <f aca="false">IF(OR(A1755="",D1755=""),"",D1755*G1755)</f>
        <v/>
      </c>
    </row>
    <row r="1756" customFormat="false" ht="15" hidden="false" customHeight="false" outlineLevel="0" collapsed="false">
      <c r="B1756" s="12" t="str">
        <f aca="false">IF(A1756="","",IFERROR(INDEX(Recipes!$B:$B,MATCH(A1756,Recipes!$A:$A,0)),"⚠ unknown recipe_id"))</f>
        <v/>
      </c>
      <c r="E1756" s="12" t="str">
        <f aca="false">IF(C1756="","",IFERROR(INDEX('Ingredient Catalog'!$C:$C,MATCH(C1756,'Ingredient Catalog'!$A:$A,0)),"⚠ not in catalog"))</f>
        <v/>
      </c>
      <c r="G1756" s="12" t="str">
        <f aca="false">IF(A1756="","",COUNTIFS('Weekly Log'!$A:$A,'Grocery List'!$B$3,'Weekly Log'!$C:$C,A1756,'Weekly Log'!$E:$E,"Yes"))</f>
        <v/>
      </c>
      <c r="H1756" s="12" t="str">
        <f aca="false">IF(OR(A1756="",D1756=""),"",D1756*G1756)</f>
        <v/>
      </c>
    </row>
    <row r="1757" customFormat="false" ht="15" hidden="false" customHeight="false" outlineLevel="0" collapsed="false">
      <c r="B1757" s="12" t="str">
        <f aca="false">IF(A1757="","",IFERROR(INDEX(Recipes!$B:$B,MATCH(A1757,Recipes!$A:$A,0)),"⚠ unknown recipe_id"))</f>
        <v/>
      </c>
      <c r="E1757" s="12" t="str">
        <f aca="false">IF(C1757="","",IFERROR(INDEX('Ingredient Catalog'!$C:$C,MATCH(C1757,'Ingredient Catalog'!$A:$A,0)),"⚠ not in catalog"))</f>
        <v/>
      </c>
      <c r="G1757" s="12" t="str">
        <f aca="false">IF(A1757="","",COUNTIFS('Weekly Log'!$A:$A,'Grocery List'!$B$3,'Weekly Log'!$C:$C,A1757,'Weekly Log'!$E:$E,"Yes"))</f>
        <v/>
      </c>
      <c r="H1757" s="12" t="str">
        <f aca="false">IF(OR(A1757="",D1757=""),"",D1757*G1757)</f>
        <v/>
      </c>
    </row>
    <row r="1758" customFormat="false" ht="15" hidden="false" customHeight="false" outlineLevel="0" collapsed="false">
      <c r="B1758" s="12" t="str">
        <f aca="false">IF(A1758="","",IFERROR(INDEX(Recipes!$B:$B,MATCH(A1758,Recipes!$A:$A,0)),"⚠ unknown recipe_id"))</f>
        <v/>
      </c>
      <c r="E1758" s="12" t="str">
        <f aca="false">IF(C1758="","",IFERROR(INDEX('Ingredient Catalog'!$C:$C,MATCH(C1758,'Ingredient Catalog'!$A:$A,0)),"⚠ not in catalog"))</f>
        <v/>
      </c>
      <c r="G1758" s="12" t="str">
        <f aca="false">IF(A1758="","",COUNTIFS('Weekly Log'!$A:$A,'Grocery List'!$B$3,'Weekly Log'!$C:$C,A1758,'Weekly Log'!$E:$E,"Yes"))</f>
        <v/>
      </c>
      <c r="H1758" s="12" t="str">
        <f aca="false">IF(OR(A1758="",D1758=""),"",D1758*G1758)</f>
        <v/>
      </c>
    </row>
    <row r="1759" customFormat="false" ht="15" hidden="false" customHeight="false" outlineLevel="0" collapsed="false">
      <c r="B1759" s="12" t="str">
        <f aca="false">IF(A1759="","",IFERROR(INDEX(Recipes!$B:$B,MATCH(A1759,Recipes!$A:$A,0)),"⚠ unknown recipe_id"))</f>
        <v/>
      </c>
      <c r="E1759" s="12" t="str">
        <f aca="false">IF(C1759="","",IFERROR(INDEX('Ingredient Catalog'!$C:$C,MATCH(C1759,'Ingredient Catalog'!$A:$A,0)),"⚠ not in catalog"))</f>
        <v/>
      </c>
      <c r="G1759" s="12" t="str">
        <f aca="false">IF(A1759="","",COUNTIFS('Weekly Log'!$A:$A,'Grocery List'!$B$3,'Weekly Log'!$C:$C,A1759,'Weekly Log'!$E:$E,"Yes"))</f>
        <v/>
      </c>
      <c r="H1759" s="12" t="str">
        <f aca="false">IF(OR(A1759="",D1759=""),"",D1759*G1759)</f>
        <v/>
      </c>
    </row>
    <row r="1760" customFormat="false" ht="15" hidden="false" customHeight="false" outlineLevel="0" collapsed="false">
      <c r="B1760" s="12" t="str">
        <f aca="false">IF(A1760="","",IFERROR(INDEX(Recipes!$B:$B,MATCH(A1760,Recipes!$A:$A,0)),"⚠ unknown recipe_id"))</f>
        <v/>
      </c>
      <c r="E1760" s="12" t="str">
        <f aca="false">IF(C1760="","",IFERROR(INDEX('Ingredient Catalog'!$C:$C,MATCH(C1760,'Ingredient Catalog'!$A:$A,0)),"⚠ not in catalog"))</f>
        <v/>
      </c>
      <c r="G1760" s="12" t="str">
        <f aca="false">IF(A1760="","",COUNTIFS('Weekly Log'!$A:$A,'Grocery List'!$B$3,'Weekly Log'!$C:$C,A1760,'Weekly Log'!$E:$E,"Yes"))</f>
        <v/>
      </c>
      <c r="H1760" s="12" t="str">
        <f aca="false">IF(OR(A1760="",D1760=""),"",D1760*G1760)</f>
        <v/>
      </c>
    </row>
    <row r="1761" customFormat="false" ht="15" hidden="false" customHeight="false" outlineLevel="0" collapsed="false">
      <c r="B1761" s="12" t="str">
        <f aca="false">IF(A1761="","",IFERROR(INDEX(Recipes!$B:$B,MATCH(A1761,Recipes!$A:$A,0)),"⚠ unknown recipe_id"))</f>
        <v/>
      </c>
      <c r="E1761" s="12" t="str">
        <f aca="false">IF(C1761="","",IFERROR(INDEX('Ingredient Catalog'!$C:$C,MATCH(C1761,'Ingredient Catalog'!$A:$A,0)),"⚠ not in catalog"))</f>
        <v/>
      </c>
      <c r="G1761" s="12" t="str">
        <f aca="false">IF(A1761="","",COUNTIFS('Weekly Log'!$A:$A,'Grocery List'!$B$3,'Weekly Log'!$C:$C,A1761,'Weekly Log'!$E:$E,"Yes"))</f>
        <v/>
      </c>
      <c r="H1761" s="12" t="str">
        <f aca="false">IF(OR(A1761="",D1761=""),"",D1761*G1761)</f>
        <v/>
      </c>
    </row>
    <row r="1762" customFormat="false" ht="15" hidden="false" customHeight="false" outlineLevel="0" collapsed="false">
      <c r="B1762" s="12" t="str">
        <f aca="false">IF(A1762="","",IFERROR(INDEX(Recipes!$B:$B,MATCH(A1762,Recipes!$A:$A,0)),"⚠ unknown recipe_id"))</f>
        <v/>
      </c>
      <c r="E1762" s="12" t="str">
        <f aca="false">IF(C1762="","",IFERROR(INDEX('Ingredient Catalog'!$C:$C,MATCH(C1762,'Ingredient Catalog'!$A:$A,0)),"⚠ not in catalog"))</f>
        <v/>
      </c>
      <c r="G1762" s="12" t="str">
        <f aca="false">IF(A1762="","",COUNTIFS('Weekly Log'!$A:$A,'Grocery List'!$B$3,'Weekly Log'!$C:$C,A1762,'Weekly Log'!$E:$E,"Yes"))</f>
        <v/>
      </c>
      <c r="H1762" s="12" t="str">
        <f aca="false">IF(OR(A1762="",D1762=""),"",D1762*G1762)</f>
        <v/>
      </c>
    </row>
    <row r="1763" customFormat="false" ht="15" hidden="false" customHeight="false" outlineLevel="0" collapsed="false">
      <c r="B1763" s="12" t="str">
        <f aca="false">IF(A1763="","",IFERROR(INDEX(Recipes!$B:$B,MATCH(A1763,Recipes!$A:$A,0)),"⚠ unknown recipe_id"))</f>
        <v/>
      </c>
      <c r="E1763" s="12" t="str">
        <f aca="false">IF(C1763="","",IFERROR(INDEX('Ingredient Catalog'!$C:$C,MATCH(C1763,'Ingredient Catalog'!$A:$A,0)),"⚠ not in catalog"))</f>
        <v/>
      </c>
      <c r="G1763" s="12" t="str">
        <f aca="false">IF(A1763="","",COUNTIFS('Weekly Log'!$A:$A,'Grocery List'!$B$3,'Weekly Log'!$C:$C,A1763,'Weekly Log'!$E:$E,"Yes"))</f>
        <v/>
      </c>
      <c r="H1763" s="12" t="str">
        <f aca="false">IF(OR(A1763="",D1763=""),"",D1763*G1763)</f>
        <v/>
      </c>
    </row>
    <row r="1764" customFormat="false" ht="15" hidden="false" customHeight="false" outlineLevel="0" collapsed="false">
      <c r="B1764" s="12" t="str">
        <f aca="false">IF(A1764="","",IFERROR(INDEX(Recipes!$B:$B,MATCH(A1764,Recipes!$A:$A,0)),"⚠ unknown recipe_id"))</f>
        <v/>
      </c>
      <c r="E1764" s="12" t="str">
        <f aca="false">IF(C1764="","",IFERROR(INDEX('Ingredient Catalog'!$C:$C,MATCH(C1764,'Ingredient Catalog'!$A:$A,0)),"⚠ not in catalog"))</f>
        <v/>
      </c>
      <c r="G1764" s="12" t="str">
        <f aca="false">IF(A1764="","",COUNTIFS('Weekly Log'!$A:$A,'Grocery List'!$B$3,'Weekly Log'!$C:$C,A1764,'Weekly Log'!$E:$E,"Yes"))</f>
        <v/>
      </c>
      <c r="H1764" s="12" t="str">
        <f aca="false">IF(OR(A1764="",D1764=""),"",D1764*G1764)</f>
        <v/>
      </c>
    </row>
    <row r="1765" customFormat="false" ht="15" hidden="false" customHeight="false" outlineLevel="0" collapsed="false">
      <c r="B1765" s="12" t="str">
        <f aca="false">IF(A1765="","",IFERROR(INDEX(Recipes!$B:$B,MATCH(A1765,Recipes!$A:$A,0)),"⚠ unknown recipe_id"))</f>
        <v/>
      </c>
      <c r="E1765" s="12" t="str">
        <f aca="false">IF(C1765="","",IFERROR(INDEX('Ingredient Catalog'!$C:$C,MATCH(C1765,'Ingredient Catalog'!$A:$A,0)),"⚠ not in catalog"))</f>
        <v/>
      </c>
      <c r="G1765" s="12" t="str">
        <f aca="false">IF(A1765="","",COUNTIFS('Weekly Log'!$A:$A,'Grocery List'!$B$3,'Weekly Log'!$C:$C,A1765,'Weekly Log'!$E:$E,"Yes"))</f>
        <v/>
      </c>
      <c r="H1765" s="12" t="str">
        <f aca="false">IF(OR(A1765="",D1765=""),"",D1765*G1765)</f>
        <v/>
      </c>
    </row>
    <row r="1766" customFormat="false" ht="15" hidden="false" customHeight="false" outlineLevel="0" collapsed="false">
      <c r="B1766" s="12" t="str">
        <f aca="false">IF(A1766="","",IFERROR(INDEX(Recipes!$B:$B,MATCH(A1766,Recipes!$A:$A,0)),"⚠ unknown recipe_id"))</f>
        <v/>
      </c>
      <c r="E1766" s="12" t="str">
        <f aca="false">IF(C1766="","",IFERROR(INDEX('Ingredient Catalog'!$C:$C,MATCH(C1766,'Ingredient Catalog'!$A:$A,0)),"⚠ not in catalog"))</f>
        <v/>
      </c>
      <c r="G1766" s="12" t="str">
        <f aca="false">IF(A1766="","",COUNTIFS('Weekly Log'!$A:$A,'Grocery List'!$B$3,'Weekly Log'!$C:$C,A1766,'Weekly Log'!$E:$E,"Yes"))</f>
        <v/>
      </c>
      <c r="H1766" s="12" t="str">
        <f aca="false">IF(OR(A1766="",D1766=""),"",D1766*G1766)</f>
        <v/>
      </c>
    </row>
    <row r="1767" customFormat="false" ht="15" hidden="false" customHeight="false" outlineLevel="0" collapsed="false">
      <c r="B1767" s="12" t="str">
        <f aca="false">IF(A1767="","",IFERROR(INDEX(Recipes!$B:$B,MATCH(A1767,Recipes!$A:$A,0)),"⚠ unknown recipe_id"))</f>
        <v/>
      </c>
      <c r="E1767" s="12" t="str">
        <f aca="false">IF(C1767="","",IFERROR(INDEX('Ingredient Catalog'!$C:$C,MATCH(C1767,'Ingredient Catalog'!$A:$A,0)),"⚠ not in catalog"))</f>
        <v/>
      </c>
      <c r="G1767" s="12" t="str">
        <f aca="false">IF(A1767="","",COUNTIFS('Weekly Log'!$A:$A,'Grocery List'!$B$3,'Weekly Log'!$C:$C,A1767,'Weekly Log'!$E:$E,"Yes"))</f>
        <v/>
      </c>
      <c r="H1767" s="12" t="str">
        <f aca="false">IF(OR(A1767="",D1767=""),"",D1767*G1767)</f>
        <v/>
      </c>
    </row>
    <row r="1768" customFormat="false" ht="15" hidden="false" customHeight="false" outlineLevel="0" collapsed="false">
      <c r="B1768" s="12" t="str">
        <f aca="false">IF(A1768="","",IFERROR(INDEX(Recipes!$B:$B,MATCH(A1768,Recipes!$A:$A,0)),"⚠ unknown recipe_id"))</f>
        <v/>
      </c>
      <c r="E1768" s="12" t="str">
        <f aca="false">IF(C1768="","",IFERROR(INDEX('Ingredient Catalog'!$C:$C,MATCH(C1768,'Ingredient Catalog'!$A:$A,0)),"⚠ not in catalog"))</f>
        <v/>
      </c>
      <c r="G1768" s="12" t="str">
        <f aca="false">IF(A1768="","",COUNTIFS('Weekly Log'!$A:$A,'Grocery List'!$B$3,'Weekly Log'!$C:$C,A1768,'Weekly Log'!$E:$E,"Yes"))</f>
        <v/>
      </c>
      <c r="H1768" s="12" t="str">
        <f aca="false">IF(OR(A1768="",D1768=""),"",D1768*G1768)</f>
        <v/>
      </c>
    </row>
    <row r="1769" customFormat="false" ht="15" hidden="false" customHeight="false" outlineLevel="0" collapsed="false">
      <c r="B1769" s="12" t="str">
        <f aca="false">IF(A1769="","",IFERROR(INDEX(Recipes!$B:$B,MATCH(A1769,Recipes!$A:$A,0)),"⚠ unknown recipe_id"))</f>
        <v/>
      </c>
      <c r="E1769" s="12" t="str">
        <f aca="false">IF(C1769="","",IFERROR(INDEX('Ingredient Catalog'!$C:$C,MATCH(C1769,'Ingredient Catalog'!$A:$A,0)),"⚠ not in catalog"))</f>
        <v/>
      </c>
      <c r="G1769" s="12" t="str">
        <f aca="false">IF(A1769="","",COUNTIFS('Weekly Log'!$A:$A,'Grocery List'!$B$3,'Weekly Log'!$C:$C,A1769,'Weekly Log'!$E:$E,"Yes"))</f>
        <v/>
      </c>
      <c r="H1769" s="12" t="str">
        <f aca="false">IF(OR(A1769="",D1769=""),"",D1769*G1769)</f>
        <v/>
      </c>
    </row>
    <row r="1770" customFormat="false" ht="15" hidden="false" customHeight="false" outlineLevel="0" collapsed="false">
      <c r="B1770" s="12" t="str">
        <f aca="false">IF(A1770="","",IFERROR(INDEX(Recipes!$B:$B,MATCH(A1770,Recipes!$A:$A,0)),"⚠ unknown recipe_id"))</f>
        <v/>
      </c>
      <c r="E1770" s="12" t="str">
        <f aca="false">IF(C1770="","",IFERROR(INDEX('Ingredient Catalog'!$C:$C,MATCH(C1770,'Ingredient Catalog'!$A:$A,0)),"⚠ not in catalog"))</f>
        <v/>
      </c>
      <c r="G1770" s="12" t="str">
        <f aca="false">IF(A1770="","",COUNTIFS('Weekly Log'!$A:$A,'Grocery List'!$B$3,'Weekly Log'!$C:$C,A1770,'Weekly Log'!$E:$E,"Yes"))</f>
        <v/>
      </c>
      <c r="H1770" s="12" t="str">
        <f aca="false">IF(OR(A1770="",D1770=""),"",D1770*G1770)</f>
        <v/>
      </c>
    </row>
    <row r="1771" customFormat="false" ht="15" hidden="false" customHeight="false" outlineLevel="0" collapsed="false">
      <c r="B1771" s="12" t="str">
        <f aca="false">IF(A1771="","",IFERROR(INDEX(Recipes!$B:$B,MATCH(A1771,Recipes!$A:$A,0)),"⚠ unknown recipe_id"))</f>
        <v/>
      </c>
      <c r="E1771" s="12" t="str">
        <f aca="false">IF(C1771="","",IFERROR(INDEX('Ingredient Catalog'!$C:$C,MATCH(C1771,'Ingredient Catalog'!$A:$A,0)),"⚠ not in catalog"))</f>
        <v/>
      </c>
      <c r="G1771" s="12" t="str">
        <f aca="false">IF(A1771="","",COUNTIFS('Weekly Log'!$A:$A,'Grocery List'!$B$3,'Weekly Log'!$C:$C,A1771,'Weekly Log'!$E:$E,"Yes"))</f>
        <v/>
      </c>
      <c r="H1771" s="12" t="str">
        <f aca="false">IF(OR(A1771="",D1771=""),"",D1771*G1771)</f>
        <v/>
      </c>
    </row>
    <row r="1772" customFormat="false" ht="15" hidden="false" customHeight="false" outlineLevel="0" collapsed="false">
      <c r="B1772" s="12" t="str">
        <f aca="false">IF(A1772="","",IFERROR(INDEX(Recipes!$B:$B,MATCH(A1772,Recipes!$A:$A,0)),"⚠ unknown recipe_id"))</f>
        <v/>
      </c>
      <c r="E1772" s="12" t="str">
        <f aca="false">IF(C1772="","",IFERROR(INDEX('Ingredient Catalog'!$C:$C,MATCH(C1772,'Ingredient Catalog'!$A:$A,0)),"⚠ not in catalog"))</f>
        <v/>
      </c>
      <c r="G1772" s="12" t="str">
        <f aca="false">IF(A1772="","",COUNTIFS('Weekly Log'!$A:$A,'Grocery List'!$B$3,'Weekly Log'!$C:$C,A1772,'Weekly Log'!$E:$E,"Yes"))</f>
        <v/>
      </c>
      <c r="H1772" s="12" t="str">
        <f aca="false">IF(OR(A1772="",D1772=""),"",D1772*G1772)</f>
        <v/>
      </c>
    </row>
    <row r="1773" customFormat="false" ht="15" hidden="false" customHeight="false" outlineLevel="0" collapsed="false">
      <c r="B1773" s="12" t="str">
        <f aca="false">IF(A1773="","",IFERROR(INDEX(Recipes!$B:$B,MATCH(A1773,Recipes!$A:$A,0)),"⚠ unknown recipe_id"))</f>
        <v/>
      </c>
      <c r="E1773" s="12" t="str">
        <f aca="false">IF(C1773="","",IFERROR(INDEX('Ingredient Catalog'!$C:$C,MATCH(C1773,'Ingredient Catalog'!$A:$A,0)),"⚠ not in catalog"))</f>
        <v/>
      </c>
      <c r="G1773" s="12" t="str">
        <f aca="false">IF(A1773="","",COUNTIFS('Weekly Log'!$A:$A,'Grocery List'!$B$3,'Weekly Log'!$C:$C,A1773,'Weekly Log'!$E:$E,"Yes"))</f>
        <v/>
      </c>
      <c r="H1773" s="12" t="str">
        <f aca="false">IF(OR(A1773="",D1773=""),"",D1773*G1773)</f>
        <v/>
      </c>
    </row>
    <row r="1774" customFormat="false" ht="15" hidden="false" customHeight="false" outlineLevel="0" collapsed="false">
      <c r="B1774" s="12" t="str">
        <f aca="false">IF(A1774="","",IFERROR(INDEX(Recipes!$B:$B,MATCH(A1774,Recipes!$A:$A,0)),"⚠ unknown recipe_id"))</f>
        <v/>
      </c>
      <c r="E1774" s="12" t="str">
        <f aca="false">IF(C1774="","",IFERROR(INDEX('Ingredient Catalog'!$C:$C,MATCH(C1774,'Ingredient Catalog'!$A:$A,0)),"⚠ not in catalog"))</f>
        <v/>
      </c>
      <c r="G1774" s="12" t="str">
        <f aca="false">IF(A1774="","",COUNTIFS('Weekly Log'!$A:$A,'Grocery List'!$B$3,'Weekly Log'!$C:$C,A1774,'Weekly Log'!$E:$E,"Yes"))</f>
        <v/>
      </c>
      <c r="H1774" s="12" t="str">
        <f aca="false">IF(OR(A1774="",D1774=""),"",D1774*G1774)</f>
        <v/>
      </c>
    </row>
    <row r="1775" customFormat="false" ht="15" hidden="false" customHeight="false" outlineLevel="0" collapsed="false">
      <c r="B1775" s="12" t="str">
        <f aca="false">IF(A1775="","",IFERROR(INDEX(Recipes!$B:$B,MATCH(A1775,Recipes!$A:$A,0)),"⚠ unknown recipe_id"))</f>
        <v/>
      </c>
      <c r="E1775" s="12" t="str">
        <f aca="false">IF(C1775="","",IFERROR(INDEX('Ingredient Catalog'!$C:$C,MATCH(C1775,'Ingredient Catalog'!$A:$A,0)),"⚠ not in catalog"))</f>
        <v/>
      </c>
      <c r="G1775" s="12" t="str">
        <f aca="false">IF(A1775="","",COUNTIFS('Weekly Log'!$A:$A,'Grocery List'!$B$3,'Weekly Log'!$C:$C,A1775,'Weekly Log'!$E:$E,"Yes"))</f>
        <v/>
      </c>
      <c r="H1775" s="12" t="str">
        <f aca="false">IF(OR(A1775="",D1775=""),"",D1775*G1775)</f>
        <v/>
      </c>
    </row>
    <row r="1776" customFormat="false" ht="15" hidden="false" customHeight="false" outlineLevel="0" collapsed="false">
      <c r="B1776" s="12" t="str">
        <f aca="false">IF(A1776="","",IFERROR(INDEX(Recipes!$B:$B,MATCH(A1776,Recipes!$A:$A,0)),"⚠ unknown recipe_id"))</f>
        <v/>
      </c>
      <c r="E1776" s="12" t="str">
        <f aca="false">IF(C1776="","",IFERROR(INDEX('Ingredient Catalog'!$C:$C,MATCH(C1776,'Ingredient Catalog'!$A:$A,0)),"⚠ not in catalog"))</f>
        <v/>
      </c>
      <c r="G1776" s="12" t="str">
        <f aca="false">IF(A1776="","",COUNTIFS('Weekly Log'!$A:$A,'Grocery List'!$B$3,'Weekly Log'!$C:$C,A1776,'Weekly Log'!$E:$E,"Yes"))</f>
        <v/>
      </c>
      <c r="H1776" s="12" t="str">
        <f aca="false">IF(OR(A1776="",D1776=""),"",D1776*G1776)</f>
        <v/>
      </c>
    </row>
    <row r="1777" customFormat="false" ht="15" hidden="false" customHeight="false" outlineLevel="0" collapsed="false">
      <c r="B1777" s="12" t="str">
        <f aca="false">IF(A1777="","",IFERROR(INDEX(Recipes!$B:$B,MATCH(A1777,Recipes!$A:$A,0)),"⚠ unknown recipe_id"))</f>
        <v/>
      </c>
      <c r="E1777" s="12" t="str">
        <f aca="false">IF(C1777="","",IFERROR(INDEX('Ingredient Catalog'!$C:$C,MATCH(C1777,'Ingredient Catalog'!$A:$A,0)),"⚠ not in catalog"))</f>
        <v/>
      </c>
      <c r="G1777" s="12" t="str">
        <f aca="false">IF(A1777="","",COUNTIFS('Weekly Log'!$A:$A,'Grocery List'!$B$3,'Weekly Log'!$C:$C,A1777,'Weekly Log'!$E:$E,"Yes"))</f>
        <v/>
      </c>
      <c r="H1777" s="12" t="str">
        <f aca="false">IF(OR(A1777="",D1777=""),"",D1777*G1777)</f>
        <v/>
      </c>
    </row>
    <row r="1778" customFormat="false" ht="15" hidden="false" customHeight="false" outlineLevel="0" collapsed="false">
      <c r="B1778" s="12" t="str">
        <f aca="false">IF(A1778="","",IFERROR(INDEX(Recipes!$B:$B,MATCH(A1778,Recipes!$A:$A,0)),"⚠ unknown recipe_id"))</f>
        <v/>
      </c>
      <c r="E1778" s="12" t="str">
        <f aca="false">IF(C1778="","",IFERROR(INDEX('Ingredient Catalog'!$C:$C,MATCH(C1778,'Ingredient Catalog'!$A:$A,0)),"⚠ not in catalog"))</f>
        <v/>
      </c>
      <c r="G1778" s="12" t="str">
        <f aca="false">IF(A1778="","",COUNTIFS('Weekly Log'!$A:$A,'Grocery List'!$B$3,'Weekly Log'!$C:$C,A1778,'Weekly Log'!$E:$E,"Yes"))</f>
        <v/>
      </c>
      <c r="H1778" s="12" t="str">
        <f aca="false">IF(OR(A1778="",D1778=""),"",D1778*G1778)</f>
        <v/>
      </c>
    </row>
    <row r="1779" customFormat="false" ht="15" hidden="false" customHeight="false" outlineLevel="0" collapsed="false">
      <c r="B1779" s="12" t="str">
        <f aca="false">IF(A1779="","",IFERROR(INDEX(Recipes!$B:$B,MATCH(A1779,Recipes!$A:$A,0)),"⚠ unknown recipe_id"))</f>
        <v/>
      </c>
      <c r="E1779" s="12" t="str">
        <f aca="false">IF(C1779="","",IFERROR(INDEX('Ingredient Catalog'!$C:$C,MATCH(C1779,'Ingredient Catalog'!$A:$A,0)),"⚠ not in catalog"))</f>
        <v/>
      </c>
      <c r="G1779" s="12" t="str">
        <f aca="false">IF(A1779="","",COUNTIFS('Weekly Log'!$A:$A,'Grocery List'!$B$3,'Weekly Log'!$C:$C,A1779,'Weekly Log'!$E:$E,"Yes"))</f>
        <v/>
      </c>
      <c r="H1779" s="12" t="str">
        <f aca="false">IF(OR(A1779="",D1779=""),"",D1779*G1779)</f>
        <v/>
      </c>
    </row>
    <row r="1780" customFormat="false" ht="15" hidden="false" customHeight="false" outlineLevel="0" collapsed="false">
      <c r="B1780" s="12" t="str">
        <f aca="false">IF(A1780="","",IFERROR(INDEX(Recipes!$B:$B,MATCH(A1780,Recipes!$A:$A,0)),"⚠ unknown recipe_id"))</f>
        <v/>
      </c>
      <c r="E1780" s="12" t="str">
        <f aca="false">IF(C1780="","",IFERROR(INDEX('Ingredient Catalog'!$C:$C,MATCH(C1780,'Ingredient Catalog'!$A:$A,0)),"⚠ not in catalog"))</f>
        <v/>
      </c>
      <c r="G1780" s="12" t="str">
        <f aca="false">IF(A1780="","",COUNTIFS('Weekly Log'!$A:$A,'Grocery List'!$B$3,'Weekly Log'!$C:$C,A1780,'Weekly Log'!$E:$E,"Yes"))</f>
        <v/>
      </c>
      <c r="H1780" s="12" t="str">
        <f aca="false">IF(OR(A1780="",D1780=""),"",D1780*G1780)</f>
        <v/>
      </c>
    </row>
    <row r="1781" customFormat="false" ht="15" hidden="false" customHeight="false" outlineLevel="0" collapsed="false">
      <c r="B1781" s="12" t="str">
        <f aca="false">IF(A1781="","",IFERROR(INDEX(Recipes!$B:$B,MATCH(A1781,Recipes!$A:$A,0)),"⚠ unknown recipe_id"))</f>
        <v/>
      </c>
      <c r="E1781" s="12" t="str">
        <f aca="false">IF(C1781="","",IFERROR(INDEX('Ingredient Catalog'!$C:$C,MATCH(C1781,'Ingredient Catalog'!$A:$A,0)),"⚠ not in catalog"))</f>
        <v/>
      </c>
      <c r="G1781" s="12" t="str">
        <f aca="false">IF(A1781="","",COUNTIFS('Weekly Log'!$A:$A,'Grocery List'!$B$3,'Weekly Log'!$C:$C,A1781,'Weekly Log'!$E:$E,"Yes"))</f>
        <v/>
      </c>
      <c r="H1781" s="12" t="str">
        <f aca="false">IF(OR(A1781="",D1781=""),"",D1781*G1781)</f>
        <v/>
      </c>
    </row>
    <row r="1782" customFormat="false" ht="15" hidden="false" customHeight="false" outlineLevel="0" collapsed="false">
      <c r="B1782" s="12" t="str">
        <f aca="false">IF(A1782="","",IFERROR(INDEX(Recipes!$B:$B,MATCH(A1782,Recipes!$A:$A,0)),"⚠ unknown recipe_id"))</f>
        <v/>
      </c>
      <c r="E1782" s="12" t="str">
        <f aca="false">IF(C1782="","",IFERROR(INDEX('Ingredient Catalog'!$C:$C,MATCH(C1782,'Ingredient Catalog'!$A:$A,0)),"⚠ not in catalog"))</f>
        <v/>
      </c>
      <c r="G1782" s="12" t="str">
        <f aca="false">IF(A1782="","",COUNTIFS('Weekly Log'!$A:$A,'Grocery List'!$B$3,'Weekly Log'!$C:$C,A1782,'Weekly Log'!$E:$E,"Yes"))</f>
        <v/>
      </c>
      <c r="H1782" s="12" t="str">
        <f aca="false">IF(OR(A1782="",D1782=""),"",D1782*G1782)</f>
        <v/>
      </c>
    </row>
    <row r="1783" customFormat="false" ht="15" hidden="false" customHeight="false" outlineLevel="0" collapsed="false">
      <c r="B1783" s="12" t="str">
        <f aca="false">IF(A1783="","",IFERROR(INDEX(Recipes!$B:$B,MATCH(A1783,Recipes!$A:$A,0)),"⚠ unknown recipe_id"))</f>
        <v/>
      </c>
      <c r="E1783" s="12" t="str">
        <f aca="false">IF(C1783="","",IFERROR(INDEX('Ingredient Catalog'!$C:$C,MATCH(C1783,'Ingredient Catalog'!$A:$A,0)),"⚠ not in catalog"))</f>
        <v/>
      </c>
      <c r="G1783" s="12" t="str">
        <f aca="false">IF(A1783="","",COUNTIFS('Weekly Log'!$A:$A,'Grocery List'!$B$3,'Weekly Log'!$C:$C,A1783,'Weekly Log'!$E:$E,"Yes"))</f>
        <v/>
      </c>
      <c r="H1783" s="12" t="str">
        <f aca="false">IF(OR(A1783="",D1783=""),"",D1783*G1783)</f>
        <v/>
      </c>
    </row>
    <row r="1784" customFormat="false" ht="15" hidden="false" customHeight="false" outlineLevel="0" collapsed="false">
      <c r="B1784" s="12" t="str">
        <f aca="false">IF(A1784="","",IFERROR(INDEX(Recipes!$B:$B,MATCH(A1784,Recipes!$A:$A,0)),"⚠ unknown recipe_id"))</f>
        <v/>
      </c>
      <c r="E1784" s="12" t="str">
        <f aca="false">IF(C1784="","",IFERROR(INDEX('Ingredient Catalog'!$C:$C,MATCH(C1784,'Ingredient Catalog'!$A:$A,0)),"⚠ not in catalog"))</f>
        <v/>
      </c>
      <c r="G1784" s="12" t="str">
        <f aca="false">IF(A1784="","",COUNTIFS('Weekly Log'!$A:$A,'Grocery List'!$B$3,'Weekly Log'!$C:$C,A1784,'Weekly Log'!$E:$E,"Yes"))</f>
        <v/>
      </c>
      <c r="H1784" s="12" t="str">
        <f aca="false">IF(OR(A1784="",D1784=""),"",D1784*G1784)</f>
        <v/>
      </c>
    </row>
    <row r="1785" customFormat="false" ht="15" hidden="false" customHeight="false" outlineLevel="0" collapsed="false">
      <c r="B1785" s="12" t="str">
        <f aca="false">IF(A1785="","",IFERROR(INDEX(Recipes!$B:$B,MATCH(A1785,Recipes!$A:$A,0)),"⚠ unknown recipe_id"))</f>
        <v/>
      </c>
      <c r="E1785" s="12" t="str">
        <f aca="false">IF(C1785="","",IFERROR(INDEX('Ingredient Catalog'!$C:$C,MATCH(C1785,'Ingredient Catalog'!$A:$A,0)),"⚠ not in catalog"))</f>
        <v/>
      </c>
      <c r="G1785" s="12" t="str">
        <f aca="false">IF(A1785="","",COUNTIFS('Weekly Log'!$A:$A,'Grocery List'!$B$3,'Weekly Log'!$C:$C,A1785,'Weekly Log'!$E:$E,"Yes"))</f>
        <v/>
      </c>
      <c r="H1785" s="12" t="str">
        <f aca="false">IF(OR(A1785="",D1785=""),"",D1785*G1785)</f>
        <v/>
      </c>
    </row>
    <row r="1786" customFormat="false" ht="15" hidden="false" customHeight="false" outlineLevel="0" collapsed="false">
      <c r="B1786" s="12" t="str">
        <f aca="false">IF(A1786="","",IFERROR(INDEX(Recipes!$B:$B,MATCH(A1786,Recipes!$A:$A,0)),"⚠ unknown recipe_id"))</f>
        <v/>
      </c>
      <c r="E1786" s="12" t="str">
        <f aca="false">IF(C1786="","",IFERROR(INDEX('Ingredient Catalog'!$C:$C,MATCH(C1786,'Ingredient Catalog'!$A:$A,0)),"⚠ not in catalog"))</f>
        <v/>
      </c>
      <c r="G1786" s="12" t="str">
        <f aca="false">IF(A1786="","",COUNTIFS('Weekly Log'!$A:$A,'Grocery List'!$B$3,'Weekly Log'!$C:$C,A1786,'Weekly Log'!$E:$E,"Yes"))</f>
        <v/>
      </c>
      <c r="H1786" s="12" t="str">
        <f aca="false">IF(OR(A1786="",D1786=""),"",D1786*G1786)</f>
        <v/>
      </c>
    </row>
    <row r="1787" customFormat="false" ht="15" hidden="false" customHeight="false" outlineLevel="0" collapsed="false">
      <c r="B1787" s="12" t="str">
        <f aca="false">IF(A1787="","",IFERROR(INDEX(Recipes!$B:$B,MATCH(A1787,Recipes!$A:$A,0)),"⚠ unknown recipe_id"))</f>
        <v/>
      </c>
      <c r="E1787" s="12" t="str">
        <f aca="false">IF(C1787="","",IFERROR(INDEX('Ingredient Catalog'!$C:$C,MATCH(C1787,'Ingredient Catalog'!$A:$A,0)),"⚠ not in catalog"))</f>
        <v/>
      </c>
      <c r="G1787" s="12" t="str">
        <f aca="false">IF(A1787="","",COUNTIFS('Weekly Log'!$A:$A,'Grocery List'!$B$3,'Weekly Log'!$C:$C,A1787,'Weekly Log'!$E:$E,"Yes"))</f>
        <v/>
      </c>
      <c r="H1787" s="12" t="str">
        <f aca="false">IF(OR(A1787="",D1787=""),"",D1787*G1787)</f>
        <v/>
      </c>
    </row>
    <row r="1788" customFormat="false" ht="15" hidden="false" customHeight="false" outlineLevel="0" collapsed="false">
      <c r="B1788" s="12" t="str">
        <f aca="false">IF(A1788="","",IFERROR(INDEX(Recipes!$B:$B,MATCH(A1788,Recipes!$A:$A,0)),"⚠ unknown recipe_id"))</f>
        <v/>
      </c>
      <c r="E1788" s="12" t="str">
        <f aca="false">IF(C1788="","",IFERROR(INDEX('Ingredient Catalog'!$C:$C,MATCH(C1788,'Ingredient Catalog'!$A:$A,0)),"⚠ not in catalog"))</f>
        <v/>
      </c>
      <c r="G1788" s="12" t="str">
        <f aca="false">IF(A1788="","",COUNTIFS('Weekly Log'!$A:$A,'Grocery List'!$B$3,'Weekly Log'!$C:$C,A1788,'Weekly Log'!$E:$E,"Yes"))</f>
        <v/>
      </c>
      <c r="H1788" s="12" t="str">
        <f aca="false">IF(OR(A1788="",D1788=""),"",D1788*G1788)</f>
        <v/>
      </c>
    </row>
    <row r="1789" customFormat="false" ht="15" hidden="false" customHeight="false" outlineLevel="0" collapsed="false">
      <c r="B1789" s="12" t="str">
        <f aca="false">IF(A1789="","",IFERROR(INDEX(Recipes!$B:$B,MATCH(A1789,Recipes!$A:$A,0)),"⚠ unknown recipe_id"))</f>
        <v/>
      </c>
      <c r="E1789" s="12" t="str">
        <f aca="false">IF(C1789="","",IFERROR(INDEX('Ingredient Catalog'!$C:$C,MATCH(C1789,'Ingredient Catalog'!$A:$A,0)),"⚠ not in catalog"))</f>
        <v/>
      </c>
      <c r="G1789" s="12" t="str">
        <f aca="false">IF(A1789="","",COUNTIFS('Weekly Log'!$A:$A,'Grocery List'!$B$3,'Weekly Log'!$C:$C,A1789,'Weekly Log'!$E:$E,"Yes"))</f>
        <v/>
      </c>
      <c r="H1789" s="12" t="str">
        <f aca="false">IF(OR(A1789="",D1789=""),"",D1789*G1789)</f>
        <v/>
      </c>
    </row>
    <row r="1790" customFormat="false" ht="15" hidden="false" customHeight="false" outlineLevel="0" collapsed="false">
      <c r="B1790" s="12" t="str">
        <f aca="false">IF(A1790="","",IFERROR(INDEX(Recipes!$B:$B,MATCH(A1790,Recipes!$A:$A,0)),"⚠ unknown recipe_id"))</f>
        <v/>
      </c>
      <c r="E1790" s="12" t="str">
        <f aca="false">IF(C1790="","",IFERROR(INDEX('Ingredient Catalog'!$C:$C,MATCH(C1790,'Ingredient Catalog'!$A:$A,0)),"⚠ not in catalog"))</f>
        <v/>
      </c>
      <c r="G1790" s="12" t="str">
        <f aca="false">IF(A1790="","",COUNTIFS('Weekly Log'!$A:$A,'Grocery List'!$B$3,'Weekly Log'!$C:$C,A1790,'Weekly Log'!$E:$E,"Yes"))</f>
        <v/>
      </c>
      <c r="H1790" s="12" t="str">
        <f aca="false">IF(OR(A1790="",D1790=""),"",D1790*G1790)</f>
        <v/>
      </c>
    </row>
    <row r="1791" customFormat="false" ht="15" hidden="false" customHeight="false" outlineLevel="0" collapsed="false">
      <c r="B1791" s="12" t="str">
        <f aca="false">IF(A1791="","",IFERROR(INDEX(Recipes!$B:$B,MATCH(A1791,Recipes!$A:$A,0)),"⚠ unknown recipe_id"))</f>
        <v/>
      </c>
      <c r="E1791" s="12" t="str">
        <f aca="false">IF(C1791="","",IFERROR(INDEX('Ingredient Catalog'!$C:$C,MATCH(C1791,'Ingredient Catalog'!$A:$A,0)),"⚠ not in catalog"))</f>
        <v/>
      </c>
      <c r="G1791" s="12" t="str">
        <f aca="false">IF(A1791="","",COUNTIFS('Weekly Log'!$A:$A,'Grocery List'!$B$3,'Weekly Log'!$C:$C,A1791,'Weekly Log'!$E:$E,"Yes"))</f>
        <v/>
      </c>
      <c r="H1791" s="12" t="str">
        <f aca="false">IF(OR(A1791="",D1791=""),"",D1791*G1791)</f>
        <v/>
      </c>
    </row>
    <row r="1792" customFormat="false" ht="15" hidden="false" customHeight="false" outlineLevel="0" collapsed="false">
      <c r="B1792" s="12" t="str">
        <f aca="false">IF(A1792="","",IFERROR(INDEX(Recipes!$B:$B,MATCH(A1792,Recipes!$A:$A,0)),"⚠ unknown recipe_id"))</f>
        <v/>
      </c>
      <c r="E1792" s="12" t="str">
        <f aca="false">IF(C1792="","",IFERROR(INDEX('Ingredient Catalog'!$C:$C,MATCH(C1792,'Ingredient Catalog'!$A:$A,0)),"⚠ not in catalog"))</f>
        <v/>
      </c>
      <c r="G1792" s="12" t="str">
        <f aca="false">IF(A1792="","",COUNTIFS('Weekly Log'!$A:$A,'Grocery List'!$B$3,'Weekly Log'!$C:$C,A1792,'Weekly Log'!$E:$E,"Yes"))</f>
        <v/>
      </c>
      <c r="H1792" s="12" t="str">
        <f aca="false">IF(OR(A1792="",D1792=""),"",D1792*G1792)</f>
        <v/>
      </c>
    </row>
    <row r="1793" customFormat="false" ht="15" hidden="false" customHeight="false" outlineLevel="0" collapsed="false">
      <c r="B1793" s="12" t="str">
        <f aca="false">IF(A1793="","",IFERROR(INDEX(Recipes!$B:$B,MATCH(A1793,Recipes!$A:$A,0)),"⚠ unknown recipe_id"))</f>
        <v/>
      </c>
      <c r="E1793" s="12" t="str">
        <f aca="false">IF(C1793="","",IFERROR(INDEX('Ingredient Catalog'!$C:$C,MATCH(C1793,'Ingredient Catalog'!$A:$A,0)),"⚠ not in catalog"))</f>
        <v/>
      </c>
      <c r="G1793" s="12" t="str">
        <f aca="false">IF(A1793="","",COUNTIFS('Weekly Log'!$A:$A,'Grocery List'!$B$3,'Weekly Log'!$C:$C,A1793,'Weekly Log'!$E:$E,"Yes"))</f>
        <v/>
      </c>
      <c r="H1793" s="12" t="str">
        <f aca="false">IF(OR(A1793="",D1793=""),"",D1793*G1793)</f>
        <v/>
      </c>
    </row>
    <row r="1794" customFormat="false" ht="15" hidden="false" customHeight="false" outlineLevel="0" collapsed="false">
      <c r="B1794" s="12" t="str">
        <f aca="false">IF(A1794="","",IFERROR(INDEX(Recipes!$B:$B,MATCH(A1794,Recipes!$A:$A,0)),"⚠ unknown recipe_id"))</f>
        <v/>
      </c>
      <c r="E1794" s="12" t="str">
        <f aca="false">IF(C1794="","",IFERROR(INDEX('Ingredient Catalog'!$C:$C,MATCH(C1794,'Ingredient Catalog'!$A:$A,0)),"⚠ not in catalog"))</f>
        <v/>
      </c>
      <c r="G1794" s="12" t="str">
        <f aca="false">IF(A1794="","",COUNTIFS('Weekly Log'!$A:$A,'Grocery List'!$B$3,'Weekly Log'!$C:$C,A1794,'Weekly Log'!$E:$E,"Yes"))</f>
        <v/>
      </c>
      <c r="H1794" s="12" t="str">
        <f aca="false">IF(OR(A1794="",D1794=""),"",D1794*G1794)</f>
        <v/>
      </c>
    </row>
    <row r="1795" customFormat="false" ht="15" hidden="false" customHeight="false" outlineLevel="0" collapsed="false">
      <c r="B1795" s="12" t="str">
        <f aca="false">IF(A1795="","",IFERROR(INDEX(Recipes!$B:$B,MATCH(A1795,Recipes!$A:$A,0)),"⚠ unknown recipe_id"))</f>
        <v/>
      </c>
      <c r="E1795" s="12" t="str">
        <f aca="false">IF(C1795="","",IFERROR(INDEX('Ingredient Catalog'!$C:$C,MATCH(C1795,'Ingredient Catalog'!$A:$A,0)),"⚠ not in catalog"))</f>
        <v/>
      </c>
      <c r="G1795" s="12" t="str">
        <f aca="false">IF(A1795="","",COUNTIFS('Weekly Log'!$A:$A,'Grocery List'!$B$3,'Weekly Log'!$C:$C,A1795,'Weekly Log'!$E:$E,"Yes"))</f>
        <v/>
      </c>
      <c r="H1795" s="12" t="str">
        <f aca="false">IF(OR(A1795="",D1795=""),"",D1795*G1795)</f>
        <v/>
      </c>
    </row>
    <row r="1796" customFormat="false" ht="15" hidden="false" customHeight="false" outlineLevel="0" collapsed="false">
      <c r="B1796" s="12" t="str">
        <f aca="false">IF(A1796="","",IFERROR(INDEX(Recipes!$B:$B,MATCH(A1796,Recipes!$A:$A,0)),"⚠ unknown recipe_id"))</f>
        <v/>
      </c>
      <c r="E1796" s="12" t="str">
        <f aca="false">IF(C1796="","",IFERROR(INDEX('Ingredient Catalog'!$C:$C,MATCH(C1796,'Ingredient Catalog'!$A:$A,0)),"⚠ not in catalog"))</f>
        <v/>
      </c>
      <c r="G1796" s="12" t="str">
        <f aca="false">IF(A1796="","",COUNTIFS('Weekly Log'!$A:$A,'Grocery List'!$B$3,'Weekly Log'!$C:$C,A1796,'Weekly Log'!$E:$E,"Yes"))</f>
        <v/>
      </c>
      <c r="H1796" s="12" t="str">
        <f aca="false">IF(OR(A1796="",D1796=""),"",D1796*G1796)</f>
        <v/>
      </c>
    </row>
    <row r="1797" customFormat="false" ht="15" hidden="false" customHeight="false" outlineLevel="0" collapsed="false">
      <c r="B1797" s="12" t="str">
        <f aca="false">IF(A1797="","",IFERROR(INDEX(Recipes!$B:$B,MATCH(A1797,Recipes!$A:$A,0)),"⚠ unknown recipe_id"))</f>
        <v/>
      </c>
      <c r="E1797" s="12" t="str">
        <f aca="false">IF(C1797="","",IFERROR(INDEX('Ingredient Catalog'!$C:$C,MATCH(C1797,'Ingredient Catalog'!$A:$A,0)),"⚠ not in catalog"))</f>
        <v/>
      </c>
      <c r="G1797" s="12" t="str">
        <f aca="false">IF(A1797="","",COUNTIFS('Weekly Log'!$A:$A,'Grocery List'!$B$3,'Weekly Log'!$C:$C,A1797,'Weekly Log'!$E:$E,"Yes"))</f>
        <v/>
      </c>
      <c r="H1797" s="12" t="str">
        <f aca="false">IF(OR(A1797="",D1797=""),"",D1797*G1797)</f>
        <v/>
      </c>
    </row>
    <row r="1798" customFormat="false" ht="15" hidden="false" customHeight="false" outlineLevel="0" collapsed="false">
      <c r="B1798" s="12" t="str">
        <f aca="false">IF(A1798="","",IFERROR(INDEX(Recipes!$B:$B,MATCH(A1798,Recipes!$A:$A,0)),"⚠ unknown recipe_id"))</f>
        <v/>
      </c>
      <c r="E1798" s="12" t="str">
        <f aca="false">IF(C1798="","",IFERROR(INDEX('Ingredient Catalog'!$C:$C,MATCH(C1798,'Ingredient Catalog'!$A:$A,0)),"⚠ not in catalog"))</f>
        <v/>
      </c>
      <c r="G1798" s="12" t="str">
        <f aca="false">IF(A1798="","",COUNTIFS('Weekly Log'!$A:$A,'Grocery List'!$B$3,'Weekly Log'!$C:$C,A1798,'Weekly Log'!$E:$E,"Yes"))</f>
        <v/>
      </c>
      <c r="H1798" s="12" t="str">
        <f aca="false">IF(OR(A1798="",D1798=""),"",D1798*G1798)</f>
        <v/>
      </c>
    </row>
    <row r="1799" customFormat="false" ht="15" hidden="false" customHeight="false" outlineLevel="0" collapsed="false">
      <c r="B1799" s="12" t="str">
        <f aca="false">IF(A1799="","",IFERROR(INDEX(Recipes!$B:$B,MATCH(A1799,Recipes!$A:$A,0)),"⚠ unknown recipe_id"))</f>
        <v/>
      </c>
      <c r="E1799" s="12" t="str">
        <f aca="false">IF(C1799="","",IFERROR(INDEX('Ingredient Catalog'!$C:$C,MATCH(C1799,'Ingredient Catalog'!$A:$A,0)),"⚠ not in catalog"))</f>
        <v/>
      </c>
      <c r="G1799" s="12" t="str">
        <f aca="false">IF(A1799="","",COUNTIFS('Weekly Log'!$A:$A,'Grocery List'!$B$3,'Weekly Log'!$C:$C,A1799,'Weekly Log'!$E:$E,"Yes"))</f>
        <v/>
      </c>
      <c r="H1799" s="12" t="str">
        <f aca="false">IF(OR(A1799="",D1799=""),"",D1799*G1799)</f>
        <v/>
      </c>
    </row>
    <row r="1800" customFormat="false" ht="15" hidden="false" customHeight="false" outlineLevel="0" collapsed="false">
      <c r="B1800" s="12" t="str">
        <f aca="false">IF(A1800="","",IFERROR(INDEX(Recipes!$B:$B,MATCH(A1800,Recipes!$A:$A,0)),"⚠ unknown recipe_id"))</f>
        <v/>
      </c>
      <c r="E1800" s="12" t="str">
        <f aca="false">IF(C1800="","",IFERROR(INDEX('Ingredient Catalog'!$C:$C,MATCH(C1800,'Ingredient Catalog'!$A:$A,0)),"⚠ not in catalog"))</f>
        <v/>
      </c>
      <c r="G1800" s="12" t="str">
        <f aca="false">IF(A1800="","",COUNTIFS('Weekly Log'!$A:$A,'Grocery List'!$B$3,'Weekly Log'!$C:$C,A1800,'Weekly Log'!$E:$E,"Yes"))</f>
        <v/>
      </c>
      <c r="H1800" s="12" t="str">
        <f aca="false">IF(OR(A1800="",D1800=""),"",D1800*G1800)</f>
        <v/>
      </c>
    </row>
    <row r="1801" customFormat="false" ht="15" hidden="false" customHeight="false" outlineLevel="0" collapsed="false">
      <c r="B1801" s="12" t="str">
        <f aca="false">IF(A1801="","",IFERROR(INDEX(Recipes!$B:$B,MATCH(A1801,Recipes!$A:$A,0)),"⚠ unknown recipe_id"))</f>
        <v/>
      </c>
      <c r="E1801" s="12" t="str">
        <f aca="false">IF(C1801="","",IFERROR(INDEX('Ingredient Catalog'!$C:$C,MATCH(C1801,'Ingredient Catalog'!$A:$A,0)),"⚠ not in catalog"))</f>
        <v/>
      </c>
      <c r="G1801" s="12" t="str">
        <f aca="false">IF(A1801="","",COUNTIFS('Weekly Log'!$A:$A,'Grocery List'!$B$3,'Weekly Log'!$C:$C,A1801,'Weekly Log'!$E:$E,"Yes"))</f>
        <v/>
      </c>
      <c r="H1801" s="12" t="str">
        <f aca="false">IF(OR(A1801="",D1801=""),"",D1801*G1801)</f>
        <v/>
      </c>
    </row>
    <row r="1802" customFormat="false" ht="15" hidden="false" customHeight="false" outlineLevel="0" collapsed="false">
      <c r="B1802" s="12" t="str">
        <f aca="false">IF(A1802="","",IFERROR(INDEX(Recipes!$B:$B,MATCH(A1802,Recipes!$A:$A,0)),"⚠ unknown recipe_id"))</f>
        <v/>
      </c>
      <c r="E1802" s="12" t="str">
        <f aca="false">IF(C1802="","",IFERROR(INDEX('Ingredient Catalog'!$C:$C,MATCH(C1802,'Ingredient Catalog'!$A:$A,0)),"⚠ not in catalog"))</f>
        <v/>
      </c>
      <c r="G1802" s="12" t="str">
        <f aca="false">IF(A1802="","",COUNTIFS('Weekly Log'!$A:$A,'Grocery List'!$B$3,'Weekly Log'!$C:$C,A1802,'Weekly Log'!$E:$E,"Yes"))</f>
        <v/>
      </c>
      <c r="H1802" s="12" t="str">
        <f aca="false">IF(OR(A1802="",D1802=""),"",D1802*G1802)</f>
        <v/>
      </c>
    </row>
    <row r="1803" customFormat="false" ht="15" hidden="false" customHeight="false" outlineLevel="0" collapsed="false">
      <c r="B1803" s="12" t="str">
        <f aca="false">IF(A1803="","",IFERROR(INDEX(Recipes!$B:$B,MATCH(A1803,Recipes!$A:$A,0)),"⚠ unknown recipe_id"))</f>
        <v/>
      </c>
      <c r="E1803" s="12" t="str">
        <f aca="false">IF(C1803="","",IFERROR(INDEX('Ingredient Catalog'!$C:$C,MATCH(C1803,'Ingredient Catalog'!$A:$A,0)),"⚠ not in catalog"))</f>
        <v/>
      </c>
      <c r="G1803" s="12" t="str">
        <f aca="false">IF(A1803="","",COUNTIFS('Weekly Log'!$A:$A,'Grocery List'!$B$3,'Weekly Log'!$C:$C,A1803,'Weekly Log'!$E:$E,"Yes"))</f>
        <v/>
      </c>
      <c r="H1803" s="12" t="str">
        <f aca="false">IF(OR(A1803="",D1803=""),"",D1803*G1803)</f>
        <v/>
      </c>
    </row>
    <row r="1804" customFormat="false" ht="15" hidden="false" customHeight="false" outlineLevel="0" collapsed="false">
      <c r="B1804" s="12" t="str">
        <f aca="false">IF(A1804="","",IFERROR(INDEX(Recipes!$B:$B,MATCH(A1804,Recipes!$A:$A,0)),"⚠ unknown recipe_id"))</f>
        <v/>
      </c>
      <c r="E1804" s="12" t="str">
        <f aca="false">IF(C1804="","",IFERROR(INDEX('Ingredient Catalog'!$C:$C,MATCH(C1804,'Ingredient Catalog'!$A:$A,0)),"⚠ not in catalog"))</f>
        <v/>
      </c>
      <c r="G1804" s="12" t="str">
        <f aca="false">IF(A1804="","",COUNTIFS('Weekly Log'!$A:$A,'Grocery List'!$B$3,'Weekly Log'!$C:$C,A1804,'Weekly Log'!$E:$E,"Yes"))</f>
        <v/>
      </c>
      <c r="H1804" s="12" t="str">
        <f aca="false">IF(OR(A1804="",D1804=""),"",D1804*G1804)</f>
        <v/>
      </c>
    </row>
    <row r="1805" customFormat="false" ht="15" hidden="false" customHeight="false" outlineLevel="0" collapsed="false">
      <c r="B1805" s="12" t="str">
        <f aca="false">IF(A1805="","",IFERROR(INDEX(Recipes!$B:$B,MATCH(A1805,Recipes!$A:$A,0)),"⚠ unknown recipe_id"))</f>
        <v/>
      </c>
      <c r="E1805" s="12" t="str">
        <f aca="false">IF(C1805="","",IFERROR(INDEX('Ingredient Catalog'!$C:$C,MATCH(C1805,'Ingredient Catalog'!$A:$A,0)),"⚠ not in catalog"))</f>
        <v/>
      </c>
      <c r="G1805" s="12" t="str">
        <f aca="false">IF(A1805="","",COUNTIFS('Weekly Log'!$A:$A,'Grocery List'!$B$3,'Weekly Log'!$C:$C,A1805,'Weekly Log'!$E:$E,"Yes"))</f>
        <v/>
      </c>
      <c r="H1805" s="12" t="str">
        <f aca="false">IF(OR(A1805="",D1805=""),"",D1805*G1805)</f>
        <v/>
      </c>
    </row>
    <row r="1806" customFormat="false" ht="15" hidden="false" customHeight="false" outlineLevel="0" collapsed="false">
      <c r="B1806" s="12" t="str">
        <f aca="false">IF(A1806="","",IFERROR(INDEX(Recipes!$B:$B,MATCH(A1806,Recipes!$A:$A,0)),"⚠ unknown recipe_id"))</f>
        <v/>
      </c>
      <c r="E1806" s="12" t="str">
        <f aca="false">IF(C1806="","",IFERROR(INDEX('Ingredient Catalog'!$C:$C,MATCH(C1806,'Ingredient Catalog'!$A:$A,0)),"⚠ not in catalog"))</f>
        <v/>
      </c>
      <c r="G1806" s="12" t="str">
        <f aca="false">IF(A1806="","",COUNTIFS('Weekly Log'!$A:$A,'Grocery List'!$B$3,'Weekly Log'!$C:$C,A1806,'Weekly Log'!$E:$E,"Yes"))</f>
        <v/>
      </c>
      <c r="H1806" s="12" t="str">
        <f aca="false">IF(OR(A1806="",D1806=""),"",D1806*G1806)</f>
        <v/>
      </c>
    </row>
    <row r="1807" customFormat="false" ht="15" hidden="false" customHeight="false" outlineLevel="0" collapsed="false">
      <c r="B1807" s="12" t="str">
        <f aca="false">IF(A1807="","",IFERROR(INDEX(Recipes!$B:$B,MATCH(A1807,Recipes!$A:$A,0)),"⚠ unknown recipe_id"))</f>
        <v/>
      </c>
      <c r="E1807" s="12" t="str">
        <f aca="false">IF(C1807="","",IFERROR(INDEX('Ingredient Catalog'!$C:$C,MATCH(C1807,'Ingredient Catalog'!$A:$A,0)),"⚠ not in catalog"))</f>
        <v/>
      </c>
      <c r="G1807" s="12" t="str">
        <f aca="false">IF(A1807="","",COUNTIFS('Weekly Log'!$A:$A,'Grocery List'!$B$3,'Weekly Log'!$C:$C,A1807,'Weekly Log'!$E:$E,"Yes"))</f>
        <v/>
      </c>
      <c r="H1807" s="12" t="str">
        <f aca="false">IF(OR(A1807="",D1807=""),"",D1807*G1807)</f>
        <v/>
      </c>
    </row>
    <row r="1808" customFormat="false" ht="15" hidden="false" customHeight="false" outlineLevel="0" collapsed="false">
      <c r="B1808" s="12" t="str">
        <f aca="false">IF(A1808="","",IFERROR(INDEX(Recipes!$B:$B,MATCH(A1808,Recipes!$A:$A,0)),"⚠ unknown recipe_id"))</f>
        <v/>
      </c>
      <c r="E1808" s="12" t="str">
        <f aca="false">IF(C1808="","",IFERROR(INDEX('Ingredient Catalog'!$C:$C,MATCH(C1808,'Ingredient Catalog'!$A:$A,0)),"⚠ not in catalog"))</f>
        <v/>
      </c>
      <c r="G1808" s="12" t="str">
        <f aca="false">IF(A1808="","",COUNTIFS('Weekly Log'!$A:$A,'Grocery List'!$B$3,'Weekly Log'!$C:$C,A1808,'Weekly Log'!$E:$E,"Yes"))</f>
        <v/>
      </c>
      <c r="H1808" s="12" t="str">
        <f aca="false">IF(OR(A1808="",D1808=""),"",D1808*G1808)</f>
        <v/>
      </c>
    </row>
    <row r="1809" customFormat="false" ht="15" hidden="false" customHeight="false" outlineLevel="0" collapsed="false">
      <c r="B1809" s="12" t="str">
        <f aca="false">IF(A1809="","",IFERROR(INDEX(Recipes!$B:$B,MATCH(A1809,Recipes!$A:$A,0)),"⚠ unknown recipe_id"))</f>
        <v/>
      </c>
      <c r="E1809" s="12" t="str">
        <f aca="false">IF(C1809="","",IFERROR(INDEX('Ingredient Catalog'!$C:$C,MATCH(C1809,'Ingredient Catalog'!$A:$A,0)),"⚠ not in catalog"))</f>
        <v/>
      </c>
      <c r="G1809" s="12" t="str">
        <f aca="false">IF(A1809="","",COUNTIFS('Weekly Log'!$A:$A,'Grocery List'!$B$3,'Weekly Log'!$C:$C,A1809,'Weekly Log'!$E:$E,"Yes"))</f>
        <v/>
      </c>
      <c r="H1809" s="12" t="str">
        <f aca="false">IF(OR(A1809="",D1809=""),"",D1809*G1809)</f>
        <v/>
      </c>
    </row>
    <row r="1810" customFormat="false" ht="15" hidden="false" customHeight="false" outlineLevel="0" collapsed="false">
      <c r="B1810" s="12" t="str">
        <f aca="false">IF(A1810="","",IFERROR(INDEX(Recipes!$B:$B,MATCH(A1810,Recipes!$A:$A,0)),"⚠ unknown recipe_id"))</f>
        <v/>
      </c>
      <c r="E1810" s="12" t="str">
        <f aca="false">IF(C1810="","",IFERROR(INDEX('Ingredient Catalog'!$C:$C,MATCH(C1810,'Ingredient Catalog'!$A:$A,0)),"⚠ not in catalog"))</f>
        <v/>
      </c>
      <c r="G1810" s="12" t="str">
        <f aca="false">IF(A1810="","",COUNTIFS('Weekly Log'!$A:$A,'Grocery List'!$B$3,'Weekly Log'!$C:$C,A1810,'Weekly Log'!$E:$E,"Yes"))</f>
        <v/>
      </c>
      <c r="H1810" s="12" t="str">
        <f aca="false">IF(OR(A1810="",D1810=""),"",D1810*G1810)</f>
        <v/>
      </c>
    </row>
    <row r="1811" customFormat="false" ht="15" hidden="false" customHeight="false" outlineLevel="0" collapsed="false">
      <c r="B1811" s="12" t="str">
        <f aca="false">IF(A1811="","",IFERROR(INDEX(Recipes!$B:$B,MATCH(A1811,Recipes!$A:$A,0)),"⚠ unknown recipe_id"))</f>
        <v/>
      </c>
      <c r="E1811" s="12" t="str">
        <f aca="false">IF(C1811="","",IFERROR(INDEX('Ingredient Catalog'!$C:$C,MATCH(C1811,'Ingredient Catalog'!$A:$A,0)),"⚠ not in catalog"))</f>
        <v/>
      </c>
      <c r="G1811" s="12" t="str">
        <f aca="false">IF(A1811="","",COUNTIFS('Weekly Log'!$A:$A,'Grocery List'!$B$3,'Weekly Log'!$C:$C,A1811,'Weekly Log'!$E:$E,"Yes"))</f>
        <v/>
      </c>
      <c r="H1811" s="12" t="str">
        <f aca="false">IF(OR(A1811="",D1811=""),"",D1811*G1811)</f>
        <v/>
      </c>
    </row>
    <row r="1812" customFormat="false" ht="15" hidden="false" customHeight="false" outlineLevel="0" collapsed="false">
      <c r="B1812" s="12" t="str">
        <f aca="false">IF(A1812="","",IFERROR(INDEX(Recipes!$B:$B,MATCH(A1812,Recipes!$A:$A,0)),"⚠ unknown recipe_id"))</f>
        <v/>
      </c>
      <c r="E1812" s="12" t="str">
        <f aca="false">IF(C1812="","",IFERROR(INDEX('Ingredient Catalog'!$C:$C,MATCH(C1812,'Ingredient Catalog'!$A:$A,0)),"⚠ not in catalog"))</f>
        <v/>
      </c>
      <c r="G1812" s="12" t="str">
        <f aca="false">IF(A1812="","",COUNTIFS('Weekly Log'!$A:$A,'Grocery List'!$B$3,'Weekly Log'!$C:$C,A1812,'Weekly Log'!$E:$E,"Yes"))</f>
        <v/>
      </c>
      <c r="H1812" s="12" t="str">
        <f aca="false">IF(OR(A1812="",D1812=""),"",D1812*G1812)</f>
        <v/>
      </c>
    </row>
    <row r="1813" customFormat="false" ht="15" hidden="false" customHeight="false" outlineLevel="0" collapsed="false">
      <c r="B1813" s="12" t="str">
        <f aca="false">IF(A1813="","",IFERROR(INDEX(Recipes!$B:$B,MATCH(A1813,Recipes!$A:$A,0)),"⚠ unknown recipe_id"))</f>
        <v/>
      </c>
      <c r="E1813" s="12" t="str">
        <f aca="false">IF(C1813="","",IFERROR(INDEX('Ingredient Catalog'!$C:$C,MATCH(C1813,'Ingredient Catalog'!$A:$A,0)),"⚠ not in catalog"))</f>
        <v/>
      </c>
      <c r="G1813" s="12" t="str">
        <f aca="false">IF(A1813="","",COUNTIFS('Weekly Log'!$A:$A,'Grocery List'!$B$3,'Weekly Log'!$C:$C,A1813,'Weekly Log'!$E:$E,"Yes"))</f>
        <v/>
      </c>
      <c r="H1813" s="12" t="str">
        <f aca="false">IF(OR(A1813="",D1813=""),"",D1813*G1813)</f>
        <v/>
      </c>
    </row>
    <row r="1814" customFormat="false" ht="15" hidden="false" customHeight="false" outlineLevel="0" collapsed="false">
      <c r="B1814" s="12" t="str">
        <f aca="false">IF(A1814="","",IFERROR(INDEX(Recipes!$B:$B,MATCH(A1814,Recipes!$A:$A,0)),"⚠ unknown recipe_id"))</f>
        <v/>
      </c>
      <c r="E1814" s="12" t="str">
        <f aca="false">IF(C1814="","",IFERROR(INDEX('Ingredient Catalog'!$C:$C,MATCH(C1814,'Ingredient Catalog'!$A:$A,0)),"⚠ not in catalog"))</f>
        <v/>
      </c>
      <c r="G1814" s="12" t="str">
        <f aca="false">IF(A1814="","",COUNTIFS('Weekly Log'!$A:$A,'Grocery List'!$B$3,'Weekly Log'!$C:$C,A1814,'Weekly Log'!$E:$E,"Yes"))</f>
        <v/>
      </c>
      <c r="H1814" s="12" t="str">
        <f aca="false">IF(OR(A1814="",D1814=""),"",D1814*G1814)</f>
        <v/>
      </c>
    </row>
    <row r="1815" customFormat="false" ht="15" hidden="false" customHeight="false" outlineLevel="0" collapsed="false">
      <c r="B1815" s="12" t="str">
        <f aca="false">IF(A1815="","",IFERROR(INDEX(Recipes!$B:$B,MATCH(A1815,Recipes!$A:$A,0)),"⚠ unknown recipe_id"))</f>
        <v/>
      </c>
      <c r="E1815" s="12" t="str">
        <f aca="false">IF(C1815="","",IFERROR(INDEX('Ingredient Catalog'!$C:$C,MATCH(C1815,'Ingredient Catalog'!$A:$A,0)),"⚠ not in catalog"))</f>
        <v/>
      </c>
      <c r="G1815" s="12" t="str">
        <f aca="false">IF(A1815="","",COUNTIFS('Weekly Log'!$A:$A,'Grocery List'!$B$3,'Weekly Log'!$C:$C,A1815,'Weekly Log'!$E:$E,"Yes"))</f>
        <v/>
      </c>
      <c r="H1815" s="12" t="str">
        <f aca="false">IF(OR(A1815="",D1815=""),"",D1815*G1815)</f>
        <v/>
      </c>
    </row>
    <row r="1816" customFormat="false" ht="15" hidden="false" customHeight="false" outlineLevel="0" collapsed="false">
      <c r="B1816" s="12" t="str">
        <f aca="false">IF(A1816="","",IFERROR(INDEX(Recipes!$B:$B,MATCH(A1816,Recipes!$A:$A,0)),"⚠ unknown recipe_id"))</f>
        <v/>
      </c>
      <c r="E1816" s="12" t="str">
        <f aca="false">IF(C1816="","",IFERROR(INDEX('Ingredient Catalog'!$C:$C,MATCH(C1816,'Ingredient Catalog'!$A:$A,0)),"⚠ not in catalog"))</f>
        <v/>
      </c>
      <c r="G1816" s="12" t="str">
        <f aca="false">IF(A1816="","",COUNTIFS('Weekly Log'!$A:$A,'Grocery List'!$B$3,'Weekly Log'!$C:$C,A1816,'Weekly Log'!$E:$E,"Yes"))</f>
        <v/>
      </c>
      <c r="H1816" s="12" t="str">
        <f aca="false">IF(OR(A1816="",D1816=""),"",D1816*G1816)</f>
        <v/>
      </c>
    </row>
    <row r="1817" customFormat="false" ht="15" hidden="false" customHeight="false" outlineLevel="0" collapsed="false">
      <c r="B1817" s="12" t="str">
        <f aca="false">IF(A1817="","",IFERROR(INDEX(Recipes!$B:$B,MATCH(A1817,Recipes!$A:$A,0)),"⚠ unknown recipe_id"))</f>
        <v/>
      </c>
      <c r="E1817" s="12" t="str">
        <f aca="false">IF(C1817="","",IFERROR(INDEX('Ingredient Catalog'!$C:$C,MATCH(C1817,'Ingredient Catalog'!$A:$A,0)),"⚠ not in catalog"))</f>
        <v/>
      </c>
      <c r="G1817" s="12" t="str">
        <f aca="false">IF(A1817="","",COUNTIFS('Weekly Log'!$A:$A,'Grocery List'!$B$3,'Weekly Log'!$C:$C,A1817,'Weekly Log'!$E:$E,"Yes"))</f>
        <v/>
      </c>
      <c r="H1817" s="12" t="str">
        <f aca="false">IF(OR(A1817="",D1817=""),"",D1817*G1817)</f>
        <v/>
      </c>
    </row>
    <row r="1818" customFormat="false" ht="15" hidden="false" customHeight="false" outlineLevel="0" collapsed="false">
      <c r="B1818" s="12" t="str">
        <f aca="false">IF(A1818="","",IFERROR(INDEX(Recipes!$B:$B,MATCH(A1818,Recipes!$A:$A,0)),"⚠ unknown recipe_id"))</f>
        <v/>
      </c>
      <c r="E1818" s="12" t="str">
        <f aca="false">IF(C1818="","",IFERROR(INDEX('Ingredient Catalog'!$C:$C,MATCH(C1818,'Ingredient Catalog'!$A:$A,0)),"⚠ not in catalog"))</f>
        <v/>
      </c>
      <c r="G1818" s="12" t="str">
        <f aca="false">IF(A1818="","",COUNTIFS('Weekly Log'!$A:$A,'Grocery List'!$B$3,'Weekly Log'!$C:$C,A1818,'Weekly Log'!$E:$E,"Yes"))</f>
        <v/>
      </c>
      <c r="H1818" s="12" t="str">
        <f aca="false">IF(OR(A1818="",D1818=""),"",D1818*G1818)</f>
        <v/>
      </c>
    </row>
    <row r="1819" customFormat="false" ht="15" hidden="false" customHeight="false" outlineLevel="0" collapsed="false">
      <c r="B1819" s="12" t="str">
        <f aca="false">IF(A1819="","",IFERROR(INDEX(Recipes!$B:$B,MATCH(A1819,Recipes!$A:$A,0)),"⚠ unknown recipe_id"))</f>
        <v/>
      </c>
      <c r="E1819" s="12" t="str">
        <f aca="false">IF(C1819="","",IFERROR(INDEX('Ingredient Catalog'!$C:$C,MATCH(C1819,'Ingredient Catalog'!$A:$A,0)),"⚠ not in catalog"))</f>
        <v/>
      </c>
      <c r="G1819" s="12" t="str">
        <f aca="false">IF(A1819="","",COUNTIFS('Weekly Log'!$A:$A,'Grocery List'!$B$3,'Weekly Log'!$C:$C,A1819,'Weekly Log'!$E:$E,"Yes"))</f>
        <v/>
      </c>
      <c r="H1819" s="12" t="str">
        <f aca="false">IF(OR(A1819="",D1819=""),"",D1819*G1819)</f>
        <v/>
      </c>
    </row>
    <row r="1820" customFormat="false" ht="15" hidden="false" customHeight="false" outlineLevel="0" collapsed="false">
      <c r="B1820" s="12" t="str">
        <f aca="false">IF(A1820="","",IFERROR(INDEX(Recipes!$B:$B,MATCH(A1820,Recipes!$A:$A,0)),"⚠ unknown recipe_id"))</f>
        <v/>
      </c>
      <c r="E1820" s="12" t="str">
        <f aca="false">IF(C1820="","",IFERROR(INDEX('Ingredient Catalog'!$C:$C,MATCH(C1820,'Ingredient Catalog'!$A:$A,0)),"⚠ not in catalog"))</f>
        <v/>
      </c>
      <c r="G1820" s="12" t="str">
        <f aca="false">IF(A1820="","",COUNTIFS('Weekly Log'!$A:$A,'Grocery List'!$B$3,'Weekly Log'!$C:$C,A1820,'Weekly Log'!$E:$E,"Yes"))</f>
        <v/>
      </c>
      <c r="H1820" s="12" t="str">
        <f aca="false">IF(OR(A1820="",D1820=""),"",D1820*G1820)</f>
        <v/>
      </c>
    </row>
    <row r="1821" customFormat="false" ht="15" hidden="false" customHeight="false" outlineLevel="0" collapsed="false">
      <c r="B1821" s="12" t="str">
        <f aca="false">IF(A1821="","",IFERROR(INDEX(Recipes!$B:$B,MATCH(A1821,Recipes!$A:$A,0)),"⚠ unknown recipe_id"))</f>
        <v/>
      </c>
      <c r="E1821" s="12" t="str">
        <f aca="false">IF(C1821="","",IFERROR(INDEX('Ingredient Catalog'!$C:$C,MATCH(C1821,'Ingredient Catalog'!$A:$A,0)),"⚠ not in catalog"))</f>
        <v/>
      </c>
      <c r="G1821" s="12" t="str">
        <f aca="false">IF(A1821="","",COUNTIFS('Weekly Log'!$A:$A,'Grocery List'!$B$3,'Weekly Log'!$C:$C,A1821,'Weekly Log'!$E:$E,"Yes"))</f>
        <v/>
      </c>
      <c r="H1821" s="12" t="str">
        <f aca="false">IF(OR(A1821="",D1821=""),"",D1821*G1821)</f>
        <v/>
      </c>
    </row>
    <row r="1822" customFormat="false" ht="15" hidden="false" customHeight="false" outlineLevel="0" collapsed="false">
      <c r="B1822" s="12" t="str">
        <f aca="false">IF(A1822="","",IFERROR(INDEX(Recipes!$B:$B,MATCH(A1822,Recipes!$A:$A,0)),"⚠ unknown recipe_id"))</f>
        <v/>
      </c>
      <c r="E1822" s="12" t="str">
        <f aca="false">IF(C1822="","",IFERROR(INDEX('Ingredient Catalog'!$C:$C,MATCH(C1822,'Ingredient Catalog'!$A:$A,0)),"⚠ not in catalog"))</f>
        <v/>
      </c>
      <c r="G1822" s="12" t="str">
        <f aca="false">IF(A1822="","",COUNTIFS('Weekly Log'!$A:$A,'Grocery List'!$B$3,'Weekly Log'!$C:$C,A1822,'Weekly Log'!$E:$E,"Yes"))</f>
        <v/>
      </c>
      <c r="H1822" s="12" t="str">
        <f aca="false">IF(OR(A1822="",D1822=""),"",D1822*G1822)</f>
        <v/>
      </c>
    </row>
    <row r="1823" customFormat="false" ht="15" hidden="false" customHeight="false" outlineLevel="0" collapsed="false">
      <c r="B1823" s="12" t="str">
        <f aca="false">IF(A1823="","",IFERROR(INDEX(Recipes!$B:$B,MATCH(A1823,Recipes!$A:$A,0)),"⚠ unknown recipe_id"))</f>
        <v/>
      </c>
      <c r="E1823" s="12" t="str">
        <f aca="false">IF(C1823="","",IFERROR(INDEX('Ingredient Catalog'!$C:$C,MATCH(C1823,'Ingredient Catalog'!$A:$A,0)),"⚠ not in catalog"))</f>
        <v/>
      </c>
      <c r="G1823" s="12" t="str">
        <f aca="false">IF(A1823="","",COUNTIFS('Weekly Log'!$A:$A,'Grocery List'!$B$3,'Weekly Log'!$C:$C,A1823,'Weekly Log'!$E:$E,"Yes"))</f>
        <v/>
      </c>
      <c r="H1823" s="12" t="str">
        <f aca="false">IF(OR(A1823="",D1823=""),"",D1823*G1823)</f>
        <v/>
      </c>
    </row>
    <row r="1824" customFormat="false" ht="15" hidden="false" customHeight="false" outlineLevel="0" collapsed="false">
      <c r="B1824" s="12" t="str">
        <f aca="false">IF(A1824="","",IFERROR(INDEX(Recipes!$B:$B,MATCH(A1824,Recipes!$A:$A,0)),"⚠ unknown recipe_id"))</f>
        <v/>
      </c>
      <c r="E1824" s="12" t="str">
        <f aca="false">IF(C1824="","",IFERROR(INDEX('Ingredient Catalog'!$C:$C,MATCH(C1824,'Ingredient Catalog'!$A:$A,0)),"⚠ not in catalog"))</f>
        <v/>
      </c>
      <c r="G1824" s="12" t="str">
        <f aca="false">IF(A1824="","",COUNTIFS('Weekly Log'!$A:$A,'Grocery List'!$B$3,'Weekly Log'!$C:$C,A1824,'Weekly Log'!$E:$E,"Yes"))</f>
        <v/>
      </c>
      <c r="H1824" s="12" t="str">
        <f aca="false">IF(OR(A1824="",D1824=""),"",D1824*G1824)</f>
        <v/>
      </c>
    </row>
    <row r="1825" customFormat="false" ht="15" hidden="false" customHeight="false" outlineLevel="0" collapsed="false">
      <c r="B1825" s="12" t="str">
        <f aca="false">IF(A1825="","",IFERROR(INDEX(Recipes!$B:$B,MATCH(A1825,Recipes!$A:$A,0)),"⚠ unknown recipe_id"))</f>
        <v/>
      </c>
      <c r="E1825" s="12" t="str">
        <f aca="false">IF(C1825="","",IFERROR(INDEX('Ingredient Catalog'!$C:$C,MATCH(C1825,'Ingredient Catalog'!$A:$A,0)),"⚠ not in catalog"))</f>
        <v/>
      </c>
      <c r="G1825" s="12" t="str">
        <f aca="false">IF(A1825="","",COUNTIFS('Weekly Log'!$A:$A,'Grocery List'!$B$3,'Weekly Log'!$C:$C,A1825,'Weekly Log'!$E:$E,"Yes"))</f>
        <v/>
      </c>
      <c r="H1825" s="12" t="str">
        <f aca="false">IF(OR(A1825="",D1825=""),"",D1825*G1825)</f>
        <v/>
      </c>
    </row>
    <row r="1826" customFormat="false" ht="15" hidden="false" customHeight="false" outlineLevel="0" collapsed="false">
      <c r="B1826" s="12" t="str">
        <f aca="false">IF(A1826="","",IFERROR(INDEX(Recipes!$B:$B,MATCH(A1826,Recipes!$A:$A,0)),"⚠ unknown recipe_id"))</f>
        <v/>
      </c>
      <c r="E1826" s="12" t="str">
        <f aca="false">IF(C1826="","",IFERROR(INDEX('Ingredient Catalog'!$C:$C,MATCH(C1826,'Ingredient Catalog'!$A:$A,0)),"⚠ not in catalog"))</f>
        <v/>
      </c>
      <c r="G1826" s="12" t="str">
        <f aca="false">IF(A1826="","",COUNTIFS('Weekly Log'!$A:$A,'Grocery List'!$B$3,'Weekly Log'!$C:$C,A1826,'Weekly Log'!$E:$E,"Yes"))</f>
        <v/>
      </c>
      <c r="H1826" s="12" t="str">
        <f aca="false">IF(OR(A1826="",D1826=""),"",D1826*G1826)</f>
        <v/>
      </c>
    </row>
    <row r="1827" customFormat="false" ht="15" hidden="false" customHeight="false" outlineLevel="0" collapsed="false">
      <c r="B1827" s="12" t="str">
        <f aca="false">IF(A1827="","",IFERROR(INDEX(Recipes!$B:$B,MATCH(A1827,Recipes!$A:$A,0)),"⚠ unknown recipe_id"))</f>
        <v/>
      </c>
      <c r="E1827" s="12" t="str">
        <f aca="false">IF(C1827="","",IFERROR(INDEX('Ingredient Catalog'!$C:$C,MATCH(C1827,'Ingredient Catalog'!$A:$A,0)),"⚠ not in catalog"))</f>
        <v/>
      </c>
      <c r="G1827" s="12" t="str">
        <f aca="false">IF(A1827="","",COUNTIFS('Weekly Log'!$A:$A,'Grocery List'!$B$3,'Weekly Log'!$C:$C,A1827,'Weekly Log'!$E:$E,"Yes"))</f>
        <v/>
      </c>
      <c r="H1827" s="12" t="str">
        <f aca="false">IF(OR(A1827="",D1827=""),"",D1827*G1827)</f>
        <v/>
      </c>
    </row>
    <row r="1828" customFormat="false" ht="15" hidden="false" customHeight="false" outlineLevel="0" collapsed="false">
      <c r="B1828" s="12" t="str">
        <f aca="false">IF(A1828="","",IFERROR(INDEX(Recipes!$B:$B,MATCH(A1828,Recipes!$A:$A,0)),"⚠ unknown recipe_id"))</f>
        <v/>
      </c>
      <c r="E1828" s="12" t="str">
        <f aca="false">IF(C1828="","",IFERROR(INDEX('Ingredient Catalog'!$C:$C,MATCH(C1828,'Ingredient Catalog'!$A:$A,0)),"⚠ not in catalog"))</f>
        <v/>
      </c>
      <c r="G1828" s="12" t="str">
        <f aca="false">IF(A1828="","",COUNTIFS('Weekly Log'!$A:$A,'Grocery List'!$B$3,'Weekly Log'!$C:$C,A1828,'Weekly Log'!$E:$E,"Yes"))</f>
        <v/>
      </c>
      <c r="H1828" s="12" t="str">
        <f aca="false">IF(OR(A1828="",D1828=""),"",D1828*G1828)</f>
        <v/>
      </c>
    </row>
    <row r="1829" customFormat="false" ht="15" hidden="false" customHeight="false" outlineLevel="0" collapsed="false">
      <c r="B1829" s="12" t="str">
        <f aca="false">IF(A1829="","",IFERROR(INDEX(Recipes!$B:$B,MATCH(A1829,Recipes!$A:$A,0)),"⚠ unknown recipe_id"))</f>
        <v/>
      </c>
      <c r="E1829" s="12" t="str">
        <f aca="false">IF(C1829="","",IFERROR(INDEX('Ingredient Catalog'!$C:$C,MATCH(C1829,'Ingredient Catalog'!$A:$A,0)),"⚠ not in catalog"))</f>
        <v/>
      </c>
      <c r="G1829" s="12" t="str">
        <f aca="false">IF(A1829="","",COUNTIFS('Weekly Log'!$A:$A,'Grocery List'!$B$3,'Weekly Log'!$C:$C,A1829,'Weekly Log'!$E:$E,"Yes"))</f>
        <v/>
      </c>
      <c r="H1829" s="12" t="str">
        <f aca="false">IF(OR(A1829="",D1829=""),"",D1829*G1829)</f>
        <v/>
      </c>
    </row>
    <row r="1830" customFormat="false" ht="15" hidden="false" customHeight="false" outlineLevel="0" collapsed="false">
      <c r="B1830" s="12" t="str">
        <f aca="false">IF(A1830="","",IFERROR(INDEX(Recipes!$B:$B,MATCH(A1830,Recipes!$A:$A,0)),"⚠ unknown recipe_id"))</f>
        <v/>
      </c>
      <c r="E1830" s="12" t="str">
        <f aca="false">IF(C1830="","",IFERROR(INDEX('Ingredient Catalog'!$C:$C,MATCH(C1830,'Ingredient Catalog'!$A:$A,0)),"⚠ not in catalog"))</f>
        <v/>
      </c>
      <c r="G1830" s="12" t="str">
        <f aca="false">IF(A1830="","",COUNTIFS('Weekly Log'!$A:$A,'Grocery List'!$B$3,'Weekly Log'!$C:$C,A1830,'Weekly Log'!$E:$E,"Yes"))</f>
        <v/>
      </c>
      <c r="H1830" s="12" t="str">
        <f aca="false">IF(OR(A1830="",D1830=""),"",D1830*G1830)</f>
        <v/>
      </c>
    </row>
    <row r="1831" customFormat="false" ht="15" hidden="false" customHeight="false" outlineLevel="0" collapsed="false">
      <c r="B1831" s="12" t="str">
        <f aca="false">IF(A1831="","",IFERROR(INDEX(Recipes!$B:$B,MATCH(A1831,Recipes!$A:$A,0)),"⚠ unknown recipe_id"))</f>
        <v/>
      </c>
      <c r="E1831" s="12" t="str">
        <f aca="false">IF(C1831="","",IFERROR(INDEX('Ingredient Catalog'!$C:$C,MATCH(C1831,'Ingredient Catalog'!$A:$A,0)),"⚠ not in catalog"))</f>
        <v/>
      </c>
      <c r="G1831" s="12" t="str">
        <f aca="false">IF(A1831="","",COUNTIFS('Weekly Log'!$A:$A,'Grocery List'!$B$3,'Weekly Log'!$C:$C,A1831,'Weekly Log'!$E:$E,"Yes"))</f>
        <v/>
      </c>
      <c r="H1831" s="12" t="str">
        <f aca="false">IF(OR(A1831="",D1831=""),"",D1831*G1831)</f>
        <v/>
      </c>
    </row>
    <row r="1832" customFormat="false" ht="15" hidden="false" customHeight="false" outlineLevel="0" collapsed="false">
      <c r="B1832" s="12" t="str">
        <f aca="false">IF(A1832="","",IFERROR(INDEX(Recipes!$B:$B,MATCH(A1832,Recipes!$A:$A,0)),"⚠ unknown recipe_id"))</f>
        <v/>
      </c>
      <c r="E1832" s="12" t="str">
        <f aca="false">IF(C1832="","",IFERROR(INDEX('Ingredient Catalog'!$C:$C,MATCH(C1832,'Ingredient Catalog'!$A:$A,0)),"⚠ not in catalog"))</f>
        <v/>
      </c>
      <c r="G1832" s="12" t="str">
        <f aca="false">IF(A1832="","",COUNTIFS('Weekly Log'!$A:$A,'Grocery List'!$B$3,'Weekly Log'!$C:$C,A1832,'Weekly Log'!$E:$E,"Yes"))</f>
        <v/>
      </c>
      <c r="H1832" s="12" t="str">
        <f aca="false">IF(OR(A1832="",D1832=""),"",D1832*G1832)</f>
        <v/>
      </c>
    </row>
    <row r="1833" customFormat="false" ht="15" hidden="false" customHeight="false" outlineLevel="0" collapsed="false">
      <c r="B1833" s="12" t="str">
        <f aca="false">IF(A1833="","",IFERROR(INDEX(Recipes!$B:$B,MATCH(A1833,Recipes!$A:$A,0)),"⚠ unknown recipe_id"))</f>
        <v/>
      </c>
      <c r="E1833" s="12" t="str">
        <f aca="false">IF(C1833="","",IFERROR(INDEX('Ingredient Catalog'!$C:$C,MATCH(C1833,'Ingredient Catalog'!$A:$A,0)),"⚠ not in catalog"))</f>
        <v/>
      </c>
      <c r="G1833" s="12" t="str">
        <f aca="false">IF(A1833="","",COUNTIFS('Weekly Log'!$A:$A,'Grocery List'!$B$3,'Weekly Log'!$C:$C,A1833,'Weekly Log'!$E:$E,"Yes"))</f>
        <v/>
      </c>
      <c r="H1833" s="12" t="str">
        <f aca="false">IF(OR(A1833="",D1833=""),"",D1833*G1833)</f>
        <v/>
      </c>
    </row>
    <row r="1834" customFormat="false" ht="15" hidden="false" customHeight="false" outlineLevel="0" collapsed="false">
      <c r="B1834" s="12" t="str">
        <f aca="false">IF(A1834="","",IFERROR(INDEX(Recipes!$B:$B,MATCH(A1834,Recipes!$A:$A,0)),"⚠ unknown recipe_id"))</f>
        <v/>
      </c>
      <c r="E1834" s="12" t="str">
        <f aca="false">IF(C1834="","",IFERROR(INDEX('Ingredient Catalog'!$C:$C,MATCH(C1834,'Ingredient Catalog'!$A:$A,0)),"⚠ not in catalog"))</f>
        <v/>
      </c>
      <c r="G1834" s="12" t="str">
        <f aca="false">IF(A1834="","",COUNTIFS('Weekly Log'!$A:$A,'Grocery List'!$B$3,'Weekly Log'!$C:$C,A1834,'Weekly Log'!$E:$E,"Yes"))</f>
        <v/>
      </c>
      <c r="H1834" s="12" t="str">
        <f aca="false">IF(OR(A1834="",D1834=""),"",D1834*G1834)</f>
        <v/>
      </c>
    </row>
    <row r="1835" customFormat="false" ht="15" hidden="false" customHeight="false" outlineLevel="0" collapsed="false">
      <c r="B1835" s="12" t="str">
        <f aca="false">IF(A1835="","",IFERROR(INDEX(Recipes!$B:$B,MATCH(A1835,Recipes!$A:$A,0)),"⚠ unknown recipe_id"))</f>
        <v/>
      </c>
      <c r="E1835" s="12" t="str">
        <f aca="false">IF(C1835="","",IFERROR(INDEX('Ingredient Catalog'!$C:$C,MATCH(C1835,'Ingredient Catalog'!$A:$A,0)),"⚠ not in catalog"))</f>
        <v/>
      </c>
      <c r="G1835" s="12" t="str">
        <f aca="false">IF(A1835="","",COUNTIFS('Weekly Log'!$A:$A,'Grocery List'!$B$3,'Weekly Log'!$C:$C,A1835,'Weekly Log'!$E:$E,"Yes"))</f>
        <v/>
      </c>
      <c r="H1835" s="12" t="str">
        <f aca="false">IF(OR(A1835="",D1835=""),"",D1835*G1835)</f>
        <v/>
      </c>
    </row>
    <row r="1836" customFormat="false" ht="15" hidden="false" customHeight="false" outlineLevel="0" collapsed="false">
      <c r="B1836" s="12" t="str">
        <f aca="false">IF(A1836="","",IFERROR(INDEX(Recipes!$B:$B,MATCH(A1836,Recipes!$A:$A,0)),"⚠ unknown recipe_id"))</f>
        <v/>
      </c>
      <c r="E1836" s="12" t="str">
        <f aca="false">IF(C1836="","",IFERROR(INDEX('Ingredient Catalog'!$C:$C,MATCH(C1836,'Ingredient Catalog'!$A:$A,0)),"⚠ not in catalog"))</f>
        <v/>
      </c>
      <c r="G1836" s="12" t="str">
        <f aca="false">IF(A1836="","",COUNTIFS('Weekly Log'!$A:$A,'Grocery List'!$B$3,'Weekly Log'!$C:$C,A1836,'Weekly Log'!$E:$E,"Yes"))</f>
        <v/>
      </c>
      <c r="H1836" s="12" t="str">
        <f aca="false">IF(OR(A1836="",D1836=""),"",D1836*G1836)</f>
        <v/>
      </c>
    </row>
    <row r="1837" customFormat="false" ht="15" hidden="false" customHeight="false" outlineLevel="0" collapsed="false">
      <c r="B1837" s="12" t="str">
        <f aca="false">IF(A1837="","",IFERROR(INDEX(Recipes!$B:$B,MATCH(A1837,Recipes!$A:$A,0)),"⚠ unknown recipe_id"))</f>
        <v/>
      </c>
      <c r="E1837" s="12" t="str">
        <f aca="false">IF(C1837="","",IFERROR(INDEX('Ingredient Catalog'!$C:$C,MATCH(C1837,'Ingredient Catalog'!$A:$A,0)),"⚠ not in catalog"))</f>
        <v/>
      </c>
      <c r="G1837" s="12" t="str">
        <f aca="false">IF(A1837="","",COUNTIFS('Weekly Log'!$A:$A,'Grocery List'!$B$3,'Weekly Log'!$C:$C,A1837,'Weekly Log'!$E:$E,"Yes"))</f>
        <v/>
      </c>
      <c r="H1837" s="12" t="str">
        <f aca="false">IF(OR(A1837="",D1837=""),"",D1837*G1837)</f>
        <v/>
      </c>
    </row>
    <row r="1838" customFormat="false" ht="15" hidden="false" customHeight="false" outlineLevel="0" collapsed="false">
      <c r="B1838" s="12" t="str">
        <f aca="false">IF(A1838="","",IFERROR(INDEX(Recipes!$B:$B,MATCH(A1838,Recipes!$A:$A,0)),"⚠ unknown recipe_id"))</f>
        <v/>
      </c>
      <c r="E1838" s="12" t="str">
        <f aca="false">IF(C1838="","",IFERROR(INDEX('Ingredient Catalog'!$C:$C,MATCH(C1838,'Ingredient Catalog'!$A:$A,0)),"⚠ not in catalog"))</f>
        <v/>
      </c>
      <c r="G1838" s="12" t="str">
        <f aca="false">IF(A1838="","",COUNTIFS('Weekly Log'!$A:$A,'Grocery List'!$B$3,'Weekly Log'!$C:$C,A1838,'Weekly Log'!$E:$E,"Yes"))</f>
        <v/>
      </c>
      <c r="H1838" s="12" t="str">
        <f aca="false">IF(OR(A1838="",D1838=""),"",D1838*G1838)</f>
        <v/>
      </c>
    </row>
    <row r="1839" customFormat="false" ht="15" hidden="false" customHeight="false" outlineLevel="0" collapsed="false">
      <c r="B1839" s="12" t="str">
        <f aca="false">IF(A1839="","",IFERROR(INDEX(Recipes!$B:$B,MATCH(A1839,Recipes!$A:$A,0)),"⚠ unknown recipe_id"))</f>
        <v/>
      </c>
      <c r="E1839" s="12" t="str">
        <f aca="false">IF(C1839="","",IFERROR(INDEX('Ingredient Catalog'!$C:$C,MATCH(C1839,'Ingredient Catalog'!$A:$A,0)),"⚠ not in catalog"))</f>
        <v/>
      </c>
      <c r="G1839" s="12" t="str">
        <f aca="false">IF(A1839="","",COUNTIFS('Weekly Log'!$A:$A,'Grocery List'!$B$3,'Weekly Log'!$C:$C,A1839,'Weekly Log'!$E:$E,"Yes"))</f>
        <v/>
      </c>
      <c r="H1839" s="12" t="str">
        <f aca="false">IF(OR(A1839="",D1839=""),"",D1839*G1839)</f>
        <v/>
      </c>
    </row>
    <row r="1840" customFormat="false" ht="15" hidden="false" customHeight="false" outlineLevel="0" collapsed="false">
      <c r="B1840" s="12" t="str">
        <f aca="false">IF(A1840="","",IFERROR(INDEX(Recipes!$B:$B,MATCH(A1840,Recipes!$A:$A,0)),"⚠ unknown recipe_id"))</f>
        <v/>
      </c>
      <c r="E1840" s="12" t="str">
        <f aca="false">IF(C1840="","",IFERROR(INDEX('Ingredient Catalog'!$C:$C,MATCH(C1840,'Ingredient Catalog'!$A:$A,0)),"⚠ not in catalog"))</f>
        <v/>
      </c>
      <c r="G1840" s="12" t="str">
        <f aca="false">IF(A1840="","",COUNTIFS('Weekly Log'!$A:$A,'Grocery List'!$B$3,'Weekly Log'!$C:$C,A1840,'Weekly Log'!$E:$E,"Yes"))</f>
        <v/>
      </c>
      <c r="H1840" s="12" t="str">
        <f aca="false">IF(OR(A1840="",D1840=""),"",D1840*G1840)</f>
        <v/>
      </c>
    </row>
    <row r="1841" customFormat="false" ht="15" hidden="false" customHeight="false" outlineLevel="0" collapsed="false">
      <c r="B1841" s="12" t="str">
        <f aca="false">IF(A1841="","",IFERROR(INDEX(Recipes!$B:$B,MATCH(A1841,Recipes!$A:$A,0)),"⚠ unknown recipe_id"))</f>
        <v/>
      </c>
      <c r="E1841" s="12" t="str">
        <f aca="false">IF(C1841="","",IFERROR(INDEX('Ingredient Catalog'!$C:$C,MATCH(C1841,'Ingredient Catalog'!$A:$A,0)),"⚠ not in catalog"))</f>
        <v/>
      </c>
      <c r="G1841" s="12" t="str">
        <f aca="false">IF(A1841="","",COUNTIFS('Weekly Log'!$A:$A,'Grocery List'!$B$3,'Weekly Log'!$C:$C,A1841,'Weekly Log'!$E:$E,"Yes"))</f>
        <v/>
      </c>
      <c r="H1841" s="12" t="str">
        <f aca="false">IF(OR(A1841="",D1841=""),"",D1841*G1841)</f>
        <v/>
      </c>
    </row>
    <row r="1842" customFormat="false" ht="15" hidden="false" customHeight="false" outlineLevel="0" collapsed="false">
      <c r="B1842" s="12" t="str">
        <f aca="false">IF(A1842="","",IFERROR(INDEX(Recipes!$B:$B,MATCH(A1842,Recipes!$A:$A,0)),"⚠ unknown recipe_id"))</f>
        <v/>
      </c>
      <c r="E1842" s="12" t="str">
        <f aca="false">IF(C1842="","",IFERROR(INDEX('Ingredient Catalog'!$C:$C,MATCH(C1842,'Ingredient Catalog'!$A:$A,0)),"⚠ not in catalog"))</f>
        <v/>
      </c>
      <c r="G1842" s="12" t="str">
        <f aca="false">IF(A1842="","",COUNTIFS('Weekly Log'!$A:$A,'Grocery List'!$B$3,'Weekly Log'!$C:$C,A1842,'Weekly Log'!$E:$E,"Yes"))</f>
        <v/>
      </c>
      <c r="H1842" s="12" t="str">
        <f aca="false">IF(OR(A1842="",D1842=""),"",D1842*G1842)</f>
        <v/>
      </c>
    </row>
    <row r="1843" customFormat="false" ht="15" hidden="false" customHeight="false" outlineLevel="0" collapsed="false">
      <c r="B1843" s="12" t="str">
        <f aca="false">IF(A1843="","",IFERROR(INDEX(Recipes!$B:$B,MATCH(A1843,Recipes!$A:$A,0)),"⚠ unknown recipe_id"))</f>
        <v/>
      </c>
      <c r="E1843" s="12" t="str">
        <f aca="false">IF(C1843="","",IFERROR(INDEX('Ingredient Catalog'!$C:$C,MATCH(C1843,'Ingredient Catalog'!$A:$A,0)),"⚠ not in catalog"))</f>
        <v/>
      </c>
      <c r="G1843" s="12" t="str">
        <f aca="false">IF(A1843="","",COUNTIFS('Weekly Log'!$A:$A,'Grocery List'!$B$3,'Weekly Log'!$C:$C,A1843,'Weekly Log'!$E:$E,"Yes"))</f>
        <v/>
      </c>
      <c r="H1843" s="12" t="str">
        <f aca="false">IF(OR(A1843="",D1843=""),"",D1843*G1843)</f>
        <v/>
      </c>
    </row>
    <row r="1844" customFormat="false" ht="15" hidden="false" customHeight="false" outlineLevel="0" collapsed="false">
      <c r="B1844" s="12" t="str">
        <f aca="false">IF(A1844="","",IFERROR(INDEX(Recipes!$B:$B,MATCH(A1844,Recipes!$A:$A,0)),"⚠ unknown recipe_id"))</f>
        <v/>
      </c>
      <c r="E1844" s="12" t="str">
        <f aca="false">IF(C1844="","",IFERROR(INDEX('Ingredient Catalog'!$C:$C,MATCH(C1844,'Ingredient Catalog'!$A:$A,0)),"⚠ not in catalog"))</f>
        <v/>
      </c>
      <c r="G1844" s="12" t="str">
        <f aca="false">IF(A1844="","",COUNTIFS('Weekly Log'!$A:$A,'Grocery List'!$B$3,'Weekly Log'!$C:$C,A1844,'Weekly Log'!$E:$E,"Yes"))</f>
        <v/>
      </c>
      <c r="H1844" s="12" t="str">
        <f aca="false">IF(OR(A1844="",D1844=""),"",D1844*G1844)</f>
        <v/>
      </c>
    </row>
    <row r="1845" customFormat="false" ht="15" hidden="false" customHeight="false" outlineLevel="0" collapsed="false">
      <c r="B1845" s="12" t="str">
        <f aca="false">IF(A1845="","",IFERROR(INDEX(Recipes!$B:$B,MATCH(A1845,Recipes!$A:$A,0)),"⚠ unknown recipe_id"))</f>
        <v/>
      </c>
      <c r="E1845" s="12" t="str">
        <f aca="false">IF(C1845="","",IFERROR(INDEX('Ingredient Catalog'!$C:$C,MATCH(C1845,'Ingredient Catalog'!$A:$A,0)),"⚠ not in catalog"))</f>
        <v/>
      </c>
      <c r="G1845" s="12" t="str">
        <f aca="false">IF(A1845="","",COUNTIFS('Weekly Log'!$A:$A,'Grocery List'!$B$3,'Weekly Log'!$C:$C,A1845,'Weekly Log'!$E:$E,"Yes"))</f>
        <v/>
      </c>
      <c r="H1845" s="12" t="str">
        <f aca="false">IF(OR(A1845="",D1845=""),"",D1845*G1845)</f>
        <v/>
      </c>
    </row>
    <row r="1846" customFormat="false" ht="15" hidden="false" customHeight="false" outlineLevel="0" collapsed="false">
      <c r="B1846" s="12" t="str">
        <f aca="false">IF(A1846="","",IFERROR(INDEX(Recipes!$B:$B,MATCH(A1846,Recipes!$A:$A,0)),"⚠ unknown recipe_id"))</f>
        <v/>
      </c>
      <c r="E1846" s="12" t="str">
        <f aca="false">IF(C1846="","",IFERROR(INDEX('Ingredient Catalog'!$C:$C,MATCH(C1846,'Ingredient Catalog'!$A:$A,0)),"⚠ not in catalog"))</f>
        <v/>
      </c>
      <c r="G1846" s="12" t="str">
        <f aca="false">IF(A1846="","",COUNTIFS('Weekly Log'!$A:$A,'Grocery List'!$B$3,'Weekly Log'!$C:$C,A1846,'Weekly Log'!$E:$E,"Yes"))</f>
        <v/>
      </c>
      <c r="H1846" s="12" t="str">
        <f aca="false">IF(OR(A1846="",D1846=""),"",D1846*G1846)</f>
        <v/>
      </c>
    </row>
    <row r="1847" customFormat="false" ht="15" hidden="false" customHeight="false" outlineLevel="0" collapsed="false">
      <c r="B1847" s="12" t="str">
        <f aca="false">IF(A1847="","",IFERROR(INDEX(Recipes!$B:$B,MATCH(A1847,Recipes!$A:$A,0)),"⚠ unknown recipe_id"))</f>
        <v/>
      </c>
      <c r="E1847" s="12" t="str">
        <f aca="false">IF(C1847="","",IFERROR(INDEX('Ingredient Catalog'!$C:$C,MATCH(C1847,'Ingredient Catalog'!$A:$A,0)),"⚠ not in catalog"))</f>
        <v/>
      </c>
      <c r="G1847" s="12" t="str">
        <f aca="false">IF(A1847="","",COUNTIFS('Weekly Log'!$A:$A,'Grocery List'!$B$3,'Weekly Log'!$C:$C,A1847,'Weekly Log'!$E:$E,"Yes"))</f>
        <v/>
      </c>
      <c r="H1847" s="12" t="str">
        <f aca="false">IF(OR(A1847="",D1847=""),"",D1847*G1847)</f>
        <v/>
      </c>
    </row>
    <row r="1848" customFormat="false" ht="15" hidden="false" customHeight="false" outlineLevel="0" collapsed="false">
      <c r="B1848" s="12" t="str">
        <f aca="false">IF(A1848="","",IFERROR(INDEX(Recipes!$B:$B,MATCH(A1848,Recipes!$A:$A,0)),"⚠ unknown recipe_id"))</f>
        <v/>
      </c>
      <c r="E1848" s="12" t="str">
        <f aca="false">IF(C1848="","",IFERROR(INDEX('Ingredient Catalog'!$C:$C,MATCH(C1848,'Ingredient Catalog'!$A:$A,0)),"⚠ not in catalog"))</f>
        <v/>
      </c>
      <c r="G1848" s="12" t="str">
        <f aca="false">IF(A1848="","",COUNTIFS('Weekly Log'!$A:$A,'Grocery List'!$B$3,'Weekly Log'!$C:$C,A1848,'Weekly Log'!$E:$E,"Yes"))</f>
        <v/>
      </c>
      <c r="H1848" s="12" t="str">
        <f aca="false">IF(OR(A1848="",D1848=""),"",D1848*G1848)</f>
        <v/>
      </c>
    </row>
    <row r="1849" customFormat="false" ht="15" hidden="false" customHeight="false" outlineLevel="0" collapsed="false">
      <c r="B1849" s="12" t="str">
        <f aca="false">IF(A1849="","",IFERROR(INDEX(Recipes!$B:$B,MATCH(A1849,Recipes!$A:$A,0)),"⚠ unknown recipe_id"))</f>
        <v/>
      </c>
      <c r="E1849" s="12" t="str">
        <f aca="false">IF(C1849="","",IFERROR(INDEX('Ingredient Catalog'!$C:$C,MATCH(C1849,'Ingredient Catalog'!$A:$A,0)),"⚠ not in catalog"))</f>
        <v/>
      </c>
      <c r="G1849" s="12" t="str">
        <f aca="false">IF(A1849="","",COUNTIFS('Weekly Log'!$A:$A,'Grocery List'!$B$3,'Weekly Log'!$C:$C,A1849,'Weekly Log'!$E:$E,"Yes"))</f>
        <v/>
      </c>
      <c r="H1849" s="12" t="str">
        <f aca="false">IF(OR(A1849="",D1849=""),"",D1849*G1849)</f>
        <v/>
      </c>
    </row>
    <row r="1850" customFormat="false" ht="15" hidden="false" customHeight="false" outlineLevel="0" collapsed="false">
      <c r="B1850" s="12" t="str">
        <f aca="false">IF(A1850="","",IFERROR(INDEX(Recipes!$B:$B,MATCH(A1850,Recipes!$A:$A,0)),"⚠ unknown recipe_id"))</f>
        <v/>
      </c>
      <c r="E1850" s="12" t="str">
        <f aca="false">IF(C1850="","",IFERROR(INDEX('Ingredient Catalog'!$C:$C,MATCH(C1850,'Ingredient Catalog'!$A:$A,0)),"⚠ not in catalog"))</f>
        <v/>
      </c>
      <c r="G1850" s="12" t="str">
        <f aca="false">IF(A1850="","",COUNTIFS('Weekly Log'!$A:$A,'Grocery List'!$B$3,'Weekly Log'!$C:$C,A1850,'Weekly Log'!$E:$E,"Yes"))</f>
        <v/>
      </c>
      <c r="H1850" s="12" t="str">
        <f aca="false">IF(OR(A1850="",D1850=""),"",D1850*G1850)</f>
        <v/>
      </c>
    </row>
    <row r="1851" customFormat="false" ht="15" hidden="false" customHeight="false" outlineLevel="0" collapsed="false">
      <c r="B1851" s="12" t="str">
        <f aca="false">IF(A1851="","",IFERROR(INDEX(Recipes!$B:$B,MATCH(A1851,Recipes!$A:$A,0)),"⚠ unknown recipe_id"))</f>
        <v/>
      </c>
      <c r="E1851" s="12" t="str">
        <f aca="false">IF(C1851="","",IFERROR(INDEX('Ingredient Catalog'!$C:$C,MATCH(C1851,'Ingredient Catalog'!$A:$A,0)),"⚠ not in catalog"))</f>
        <v/>
      </c>
      <c r="G1851" s="12" t="str">
        <f aca="false">IF(A1851="","",COUNTIFS('Weekly Log'!$A:$A,'Grocery List'!$B$3,'Weekly Log'!$C:$C,A1851,'Weekly Log'!$E:$E,"Yes"))</f>
        <v/>
      </c>
      <c r="H1851" s="12" t="str">
        <f aca="false">IF(OR(A1851="",D1851=""),"",D1851*G1851)</f>
        <v/>
      </c>
    </row>
    <row r="1852" customFormat="false" ht="15" hidden="false" customHeight="false" outlineLevel="0" collapsed="false">
      <c r="B1852" s="12" t="str">
        <f aca="false">IF(A1852="","",IFERROR(INDEX(Recipes!$B:$B,MATCH(A1852,Recipes!$A:$A,0)),"⚠ unknown recipe_id"))</f>
        <v/>
      </c>
      <c r="E1852" s="12" t="str">
        <f aca="false">IF(C1852="","",IFERROR(INDEX('Ingredient Catalog'!$C:$C,MATCH(C1852,'Ingredient Catalog'!$A:$A,0)),"⚠ not in catalog"))</f>
        <v/>
      </c>
      <c r="G1852" s="12" t="str">
        <f aca="false">IF(A1852="","",COUNTIFS('Weekly Log'!$A:$A,'Grocery List'!$B$3,'Weekly Log'!$C:$C,A1852,'Weekly Log'!$E:$E,"Yes"))</f>
        <v/>
      </c>
      <c r="H1852" s="12" t="str">
        <f aca="false">IF(OR(A1852="",D1852=""),"",D1852*G1852)</f>
        <v/>
      </c>
    </row>
    <row r="1853" customFormat="false" ht="15" hidden="false" customHeight="false" outlineLevel="0" collapsed="false">
      <c r="B1853" s="12" t="str">
        <f aca="false">IF(A1853="","",IFERROR(INDEX(Recipes!$B:$B,MATCH(A1853,Recipes!$A:$A,0)),"⚠ unknown recipe_id"))</f>
        <v/>
      </c>
      <c r="E1853" s="12" t="str">
        <f aca="false">IF(C1853="","",IFERROR(INDEX('Ingredient Catalog'!$C:$C,MATCH(C1853,'Ingredient Catalog'!$A:$A,0)),"⚠ not in catalog"))</f>
        <v/>
      </c>
      <c r="G1853" s="12" t="str">
        <f aca="false">IF(A1853="","",COUNTIFS('Weekly Log'!$A:$A,'Grocery List'!$B$3,'Weekly Log'!$C:$C,A1853,'Weekly Log'!$E:$E,"Yes"))</f>
        <v/>
      </c>
      <c r="H1853" s="12" t="str">
        <f aca="false">IF(OR(A1853="",D1853=""),"",D1853*G1853)</f>
        <v/>
      </c>
    </row>
    <row r="1854" customFormat="false" ht="15" hidden="false" customHeight="false" outlineLevel="0" collapsed="false">
      <c r="B1854" s="12" t="str">
        <f aca="false">IF(A1854="","",IFERROR(INDEX(Recipes!$B:$B,MATCH(A1854,Recipes!$A:$A,0)),"⚠ unknown recipe_id"))</f>
        <v/>
      </c>
      <c r="E1854" s="12" t="str">
        <f aca="false">IF(C1854="","",IFERROR(INDEX('Ingredient Catalog'!$C:$C,MATCH(C1854,'Ingredient Catalog'!$A:$A,0)),"⚠ not in catalog"))</f>
        <v/>
      </c>
      <c r="G1854" s="12" t="str">
        <f aca="false">IF(A1854="","",COUNTIFS('Weekly Log'!$A:$A,'Grocery List'!$B$3,'Weekly Log'!$C:$C,A1854,'Weekly Log'!$E:$E,"Yes"))</f>
        <v/>
      </c>
      <c r="H1854" s="12" t="str">
        <f aca="false">IF(OR(A1854="",D1854=""),"",D1854*G1854)</f>
        <v/>
      </c>
    </row>
    <row r="1855" customFormat="false" ht="15" hidden="false" customHeight="false" outlineLevel="0" collapsed="false">
      <c r="B1855" s="12" t="str">
        <f aca="false">IF(A1855="","",IFERROR(INDEX(Recipes!$B:$B,MATCH(A1855,Recipes!$A:$A,0)),"⚠ unknown recipe_id"))</f>
        <v/>
      </c>
      <c r="E1855" s="12" t="str">
        <f aca="false">IF(C1855="","",IFERROR(INDEX('Ingredient Catalog'!$C:$C,MATCH(C1855,'Ingredient Catalog'!$A:$A,0)),"⚠ not in catalog"))</f>
        <v/>
      </c>
      <c r="G1855" s="12" t="str">
        <f aca="false">IF(A1855="","",COUNTIFS('Weekly Log'!$A:$A,'Grocery List'!$B$3,'Weekly Log'!$C:$C,A1855,'Weekly Log'!$E:$E,"Yes"))</f>
        <v/>
      </c>
      <c r="H1855" s="12" t="str">
        <f aca="false">IF(OR(A1855="",D1855=""),"",D1855*G1855)</f>
        <v/>
      </c>
    </row>
    <row r="1856" customFormat="false" ht="15" hidden="false" customHeight="false" outlineLevel="0" collapsed="false">
      <c r="B1856" s="12" t="str">
        <f aca="false">IF(A1856="","",IFERROR(INDEX(Recipes!$B:$B,MATCH(A1856,Recipes!$A:$A,0)),"⚠ unknown recipe_id"))</f>
        <v/>
      </c>
      <c r="E1856" s="12" t="str">
        <f aca="false">IF(C1856="","",IFERROR(INDEX('Ingredient Catalog'!$C:$C,MATCH(C1856,'Ingredient Catalog'!$A:$A,0)),"⚠ not in catalog"))</f>
        <v/>
      </c>
      <c r="G1856" s="12" t="str">
        <f aca="false">IF(A1856="","",COUNTIFS('Weekly Log'!$A:$A,'Grocery List'!$B$3,'Weekly Log'!$C:$C,A1856,'Weekly Log'!$E:$E,"Yes"))</f>
        <v/>
      </c>
      <c r="H1856" s="12" t="str">
        <f aca="false">IF(OR(A1856="",D1856=""),"",D1856*G1856)</f>
        <v/>
      </c>
    </row>
    <row r="1857" customFormat="false" ht="15" hidden="false" customHeight="false" outlineLevel="0" collapsed="false">
      <c r="B1857" s="12" t="str">
        <f aca="false">IF(A1857="","",IFERROR(INDEX(Recipes!$B:$B,MATCH(A1857,Recipes!$A:$A,0)),"⚠ unknown recipe_id"))</f>
        <v/>
      </c>
      <c r="E1857" s="12" t="str">
        <f aca="false">IF(C1857="","",IFERROR(INDEX('Ingredient Catalog'!$C:$C,MATCH(C1857,'Ingredient Catalog'!$A:$A,0)),"⚠ not in catalog"))</f>
        <v/>
      </c>
      <c r="G1857" s="12" t="str">
        <f aca="false">IF(A1857="","",COUNTIFS('Weekly Log'!$A:$A,'Grocery List'!$B$3,'Weekly Log'!$C:$C,A1857,'Weekly Log'!$E:$E,"Yes"))</f>
        <v/>
      </c>
      <c r="H1857" s="12" t="str">
        <f aca="false">IF(OR(A1857="",D1857=""),"",D1857*G1857)</f>
        <v/>
      </c>
    </row>
    <row r="1858" customFormat="false" ht="15" hidden="false" customHeight="false" outlineLevel="0" collapsed="false">
      <c r="B1858" s="12" t="str">
        <f aca="false">IF(A1858="","",IFERROR(INDEX(Recipes!$B:$B,MATCH(A1858,Recipes!$A:$A,0)),"⚠ unknown recipe_id"))</f>
        <v/>
      </c>
      <c r="E1858" s="12" t="str">
        <f aca="false">IF(C1858="","",IFERROR(INDEX('Ingredient Catalog'!$C:$C,MATCH(C1858,'Ingredient Catalog'!$A:$A,0)),"⚠ not in catalog"))</f>
        <v/>
      </c>
      <c r="G1858" s="12" t="str">
        <f aca="false">IF(A1858="","",COUNTIFS('Weekly Log'!$A:$A,'Grocery List'!$B$3,'Weekly Log'!$C:$C,A1858,'Weekly Log'!$E:$E,"Yes"))</f>
        <v/>
      </c>
      <c r="H1858" s="12" t="str">
        <f aca="false">IF(OR(A1858="",D1858=""),"",D1858*G1858)</f>
        <v/>
      </c>
    </row>
    <row r="1859" customFormat="false" ht="15" hidden="false" customHeight="false" outlineLevel="0" collapsed="false">
      <c r="B1859" s="12" t="str">
        <f aca="false">IF(A1859="","",IFERROR(INDEX(Recipes!$B:$B,MATCH(A1859,Recipes!$A:$A,0)),"⚠ unknown recipe_id"))</f>
        <v/>
      </c>
      <c r="E1859" s="12" t="str">
        <f aca="false">IF(C1859="","",IFERROR(INDEX('Ingredient Catalog'!$C:$C,MATCH(C1859,'Ingredient Catalog'!$A:$A,0)),"⚠ not in catalog"))</f>
        <v/>
      </c>
      <c r="G1859" s="12" t="str">
        <f aca="false">IF(A1859="","",COUNTIFS('Weekly Log'!$A:$A,'Grocery List'!$B$3,'Weekly Log'!$C:$C,A1859,'Weekly Log'!$E:$E,"Yes"))</f>
        <v/>
      </c>
      <c r="H1859" s="12" t="str">
        <f aca="false">IF(OR(A1859="",D1859=""),"",D1859*G1859)</f>
        <v/>
      </c>
    </row>
    <row r="1860" customFormat="false" ht="15" hidden="false" customHeight="false" outlineLevel="0" collapsed="false">
      <c r="B1860" s="12" t="str">
        <f aca="false">IF(A1860="","",IFERROR(INDEX(Recipes!$B:$B,MATCH(A1860,Recipes!$A:$A,0)),"⚠ unknown recipe_id"))</f>
        <v/>
      </c>
      <c r="E1860" s="12" t="str">
        <f aca="false">IF(C1860="","",IFERROR(INDEX('Ingredient Catalog'!$C:$C,MATCH(C1860,'Ingredient Catalog'!$A:$A,0)),"⚠ not in catalog"))</f>
        <v/>
      </c>
      <c r="G1860" s="12" t="str">
        <f aca="false">IF(A1860="","",COUNTIFS('Weekly Log'!$A:$A,'Grocery List'!$B$3,'Weekly Log'!$C:$C,A1860,'Weekly Log'!$E:$E,"Yes"))</f>
        <v/>
      </c>
      <c r="H1860" s="12" t="str">
        <f aca="false">IF(OR(A1860="",D1860=""),"",D1860*G1860)</f>
        <v/>
      </c>
    </row>
    <row r="1861" customFormat="false" ht="15" hidden="false" customHeight="false" outlineLevel="0" collapsed="false">
      <c r="B1861" s="12" t="str">
        <f aca="false">IF(A1861="","",IFERROR(INDEX(Recipes!$B:$B,MATCH(A1861,Recipes!$A:$A,0)),"⚠ unknown recipe_id"))</f>
        <v/>
      </c>
      <c r="E1861" s="12" t="str">
        <f aca="false">IF(C1861="","",IFERROR(INDEX('Ingredient Catalog'!$C:$C,MATCH(C1861,'Ingredient Catalog'!$A:$A,0)),"⚠ not in catalog"))</f>
        <v/>
      </c>
      <c r="G1861" s="12" t="str">
        <f aca="false">IF(A1861="","",COUNTIFS('Weekly Log'!$A:$A,'Grocery List'!$B$3,'Weekly Log'!$C:$C,A1861,'Weekly Log'!$E:$E,"Yes"))</f>
        <v/>
      </c>
      <c r="H1861" s="12" t="str">
        <f aca="false">IF(OR(A1861="",D1861=""),"",D1861*G1861)</f>
        <v/>
      </c>
    </row>
    <row r="1862" customFormat="false" ht="15" hidden="false" customHeight="false" outlineLevel="0" collapsed="false">
      <c r="B1862" s="12" t="str">
        <f aca="false">IF(A1862="","",IFERROR(INDEX(Recipes!$B:$B,MATCH(A1862,Recipes!$A:$A,0)),"⚠ unknown recipe_id"))</f>
        <v/>
      </c>
      <c r="E1862" s="12" t="str">
        <f aca="false">IF(C1862="","",IFERROR(INDEX('Ingredient Catalog'!$C:$C,MATCH(C1862,'Ingredient Catalog'!$A:$A,0)),"⚠ not in catalog"))</f>
        <v/>
      </c>
      <c r="G1862" s="12" t="str">
        <f aca="false">IF(A1862="","",COUNTIFS('Weekly Log'!$A:$A,'Grocery List'!$B$3,'Weekly Log'!$C:$C,A1862,'Weekly Log'!$E:$E,"Yes"))</f>
        <v/>
      </c>
      <c r="H1862" s="12" t="str">
        <f aca="false">IF(OR(A1862="",D1862=""),"",D1862*G1862)</f>
        <v/>
      </c>
    </row>
    <row r="1863" customFormat="false" ht="15" hidden="false" customHeight="false" outlineLevel="0" collapsed="false">
      <c r="B1863" s="12" t="str">
        <f aca="false">IF(A1863="","",IFERROR(INDEX(Recipes!$B:$B,MATCH(A1863,Recipes!$A:$A,0)),"⚠ unknown recipe_id"))</f>
        <v/>
      </c>
      <c r="E1863" s="12" t="str">
        <f aca="false">IF(C1863="","",IFERROR(INDEX('Ingredient Catalog'!$C:$C,MATCH(C1863,'Ingredient Catalog'!$A:$A,0)),"⚠ not in catalog"))</f>
        <v/>
      </c>
      <c r="G1863" s="12" t="str">
        <f aca="false">IF(A1863="","",COUNTIFS('Weekly Log'!$A:$A,'Grocery List'!$B$3,'Weekly Log'!$C:$C,A1863,'Weekly Log'!$E:$E,"Yes"))</f>
        <v/>
      </c>
      <c r="H1863" s="12" t="str">
        <f aca="false">IF(OR(A1863="",D1863=""),"",D1863*G1863)</f>
        <v/>
      </c>
    </row>
    <row r="1864" customFormat="false" ht="15" hidden="false" customHeight="false" outlineLevel="0" collapsed="false">
      <c r="B1864" s="12" t="str">
        <f aca="false">IF(A1864="","",IFERROR(INDEX(Recipes!$B:$B,MATCH(A1864,Recipes!$A:$A,0)),"⚠ unknown recipe_id"))</f>
        <v/>
      </c>
      <c r="E1864" s="12" t="str">
        <f aca="false">IF(C1864="","",IFERROR(INDEX('Ingredient Catalog'!$C:$C,MATCH(C1864,'Ingredient Catalog'!$A:$A,0)),"⚠ not in catalog"))</f>
        <v/>
      </c>
      <c r="G1864" s="12" t="str">
        <f aca="false">IF(A1864="","",COUNTIFS('Weekly Log'!$A:$A,'Grocery List'!$B$3,'Weekly Log'!$C:$C,A1864,'Weekly Log'!$E:$E,"Yes"))</f>
        <v/>
      </c>
      <c r="H1864" s="12" t="str">
        <f aca="false">IF(OR(A1864="",D1864=""),"",D1864*G1864)</f>
        <v/>
      </c>
    </row>
    <row r="1865" customFormat="false" ht="15" hidden="false" customHeight="false" outlineLevel="0" collapsed="false">
      <c r="B1865" s="12" t="str">
        <f aca="false">IF(A1865="","",IFERROR(INDEX(Recipes!$B:$B,MATCH(A1865,Recipes!$A:$A,0)),"⚠ unknown recipe_id"))</f>
        <v/>
      </c>
      <c r="E1865" s="12" t="str">
        <f aca="false">IF(C1865="","",IFERROR(INDEX('Ingredient Catalog'!$C:$C,MATCH(C1865,'Ingredient Catalog'!$A:$A,0)),"⚠ not in catalog"))</f>
        <v/>
      </c>
      <c r="G1865" s="12" t="str">
        <f aca="false">IF(A1865="","",COUNTIFS('Weekly Log'!$A:$A,'Grocery List'!$B$3,'Weekly Log'!$C:$C,A1865,'Weekly Log'!$E:$E,"Yes"))</f>
        <v/>
      </c>
      <c r="H1865" s="12" t="str">
        <f aca="false">IF(OR(A1865="",D1865=""),"",D1865*G1865)</f>
        <v/>
      </c>
    </row>
    <row r="1866" customFormat="false" ht="15" hidden="false" customHeight="false" outlineLevel="0" collapsed="false">
      <c r="B1866" s="12" t="str">
        <f aca="false">IF(A1866="","",IFERROR(INDEX(Recipes!$B:$B,MATCH(A1866,Recipes!$A:$A,0)),"⚠ unknown recipe_id"))</f>
        <v/>
      </c>
      <c r="E1866" s="12" t="str">
        <f aca="false">IF(C1866="","",IFERROR(INDEX('Ingredient Catalog'!$C:$C,MATCH(C1866,'Ingredient Catalog'!$A:$A,0)),"⚠ not in catalog"))</f>
        <v/>
      </c>
      <c r="G1866" s="12" t="str">
        <f aca="false">IF(A1866="","",COUNTIFS('Weekly Log'!$A:$A,'Grocery List'!$B$3,'Weekly Log'!$C:$C,A1866,'Weekly Log'!$E:$E,"Yes"))</f>
        <v/>
      </c>
      <c r="H1866" s="12" t="str">
        <f aca="false">IF(OR(A1866="",D1866=""),"",D1866*G1866)</f>
        <v/>
      </c>
    </row>
    <row r="1867" customFormat="false" ht="15" hidden="false" customHeight="false" outlineLevel="0" collapsed="false">
      <c r="B1867" s="12" t="str">
        <f aca="false">IF(A1867="","",IFERROR(INDEX(Recipes!$B:$B,MATCH(A1867,Recipes!$A:$A,0)),"⚠ unknown recipe_id"))</f>
        <v/>
      </c>
      <c r="E1867" s="12" t="str">
        <f aca="false">IF(C1867="","",IFERROR(INDEX('Ingredient Catalog'!$C:$C,MATCH(C1867,'Ingredient Catalog'!$A:$A,0)),"⚠ not in catalog"))</f>
        <v/>
      </c>
      <c r="G1867" s="12" t="str">
        <f aca="false">IF(A1867="","",COUNTIFS('Weekly Log'!$A:$A,'Grocery List'!$B$3,'Weekly Log'!$C:$C,A1867,'Weekly Log'!$E:$E,"Yes"))</f>
        <v/>
      </c>
      <c r="H1867" s="12" t="str">
        <f aca="false">IF(OR(A1867="",D1867=""),"",D1867*G1867)</f>
        <v/>
      </c>
    </row>
    <row r="1868" customFormat="false" ht="15" hidden="false" customHeight="false" outlineLevel="0" collapsed="false">
      <c r="B1868" s="12" t="str">
        <f aca="false">IF(A1868="","",IFERROR(INDEX(Recipes!$B:$B,MATCH(A1868,Recipes!$A:$A,0)),"⚠ unknown recipe_id"))</f>
        <v/>
      </c>
      <c r="E1868" s="12" t="str">
        <f aca="false">IF(C1868="","",IFERROR(INDEX('Ingredient Catalog'!$C:$C,MATCH(C1868,'Ingredient Catalog'!$A:$A,0)),"⚠ not in catalog"))</f>
        <v/>
      </c>
      <c r="G1868" s="12" t="str">
        <f aca="false">IF(A1868="","",COUNTIFS('Weekly Log'!$A:$A,'Grocery List'!$B$3,'Weekly Log'!$C:$C,A1868,'Weekly Log'!$E:$E,"Yes"))</f>
        <v/>
      </c>
      <c r="H1868" s="12" t="str">
        <f aca="false">IF(OR(A1868="",D1868=""),"",D1868*G1868)</f>
        <v/>
      </c>
    </row>
    <row r="1869" customFormat="false" ht="15" hidden="false" customHeight="false" outlineLevel="0" collapsed="false">
      <c r="B1869" s="12" t="str">
        <f aca="false">IF(A1869="","",IFERROR(INDEX(Recipes!$B:$B,MATCH(A1869,Recipes!$A:$A,0)),"⚠ unknown recipe_id"))</f>
        <v/>
      </c>
      <c r="E1869" s="12" t="str">
        <f aca="false">IF(C1869="","",IFERROR(INDEX('Ingredient Catalog'!$C:$C,MATCH(C1869,'Ingredient Catalog'!$A:$A,0)),"⚠ not in catalog"))</f>
        <v/>
      </c>
      <c r="G1869" s="12" t="str">
        <f aca="false">IF(A1869="","",COUNTIFS('Weekly Log'!$A:$A,'Grocery List'!$B$3,'Weekly Log'!$C:$C,A1869,'Weekly Log'!$E:$E,"Yes"))</f>
        <v/>
      </c>
      <c r="H1869" s="12" t="str">
        <f aca="false">IF(OR(A1869="",D1869=""),"",D1869*G1869)</f>
        <v/>
      </c>
    </row>
    <row r="1870" customFormat="false" ht="15" hidden="false" customHeight="false" outlineLevel="0" collapsed="false">
      <c r="B1870" s="12" t="str">
        <f aca="false">IF(A1870="","",IFERROR(INDEX(Recipes!$B:$B,MATCH(A1870,Recipes!$A:$A,0)),"⚠ unknown recipe_id"))</f>
        <v/>
      </c>
      <c r="E1870" s="12" t="str">
        <f aca="false">IF(C1870="","",IFERROR(INDEX('Ingredient Catalog'!$C:$C,MATCH(C1870,'Ingredient Catalog'!$A:$A,0)),"⚠ not in catalog"))</f>
        <v/>
      </c>
      <c r="G1870" s="12" t="str">
        <f aca="false">IF(A1870="","",COUNTIFS('Weekly Log'!$A:$A,'Grocery List'!$B$3,'Weekly Log'!$C:$C,A1870,'Weekly Log'!$E:$E,"Yes"))</f>
        <v/>
      </c>
      <c r="H1870" s="12" t="str">
        <f aca="false">IF(OR(A1870="",D1870=""),"",D1870*G1870)</f>
        <v/>
      </c>
    </row>
    <row r="1871" customFormat="false" ht="15" hidden="false" customHeight="false" outlineLevel="0" collapsed="false">
      <c r="B1871" s="12" t="str">
        <f aca="false">IF(A1871="","",IFERROR(INDEX(Recipes!$B:$B,MATCH(A1871,Recipes!$A:$A,0)),"⚠ unknown recipe_id"))</f>
        <v/>
      </c>
      <c r="E1871" s="12" t="str">
        <f aca="false">IF(C1871="","",IFERROR(INDEX('Ingredient Catalog'!$C:$C,MATCH(C1871,'Ingredient Catalog'!$A:$A,0)),"⚠ not in catalog"))</f>
        <v/>
      </c>
      <c r="G1871" s="12" t="str">
        <f aca="false">IF(A1871="","",COUNTIFS('Weekly Log'!$A:$A,'Grocery List'!$B$3,'Weekly Log'!$C:$C,A1871,'Weekly Log'!$E:$E,"Yes"))</f>
        <v/>
      </c>
      <c r="H1871" s="12" t="str">
        <f aca="false">IF(OR(A1871="",D1871=""),"",D1871*G1871)</f>
        <v/>
      </c>
    </row>
    <row r="1872" customFormat="false" ht="15" hidden="false" customHeight="false" outlineLevel="0" collapsed="false">
      <c r="B1872" s="12" t="str">
        <f aca="false">IF(A1872="","",IFERROR(INDEX(Recipes!$B:$B,MATCH(A1872,Recipes!$A:$A,0)),"⚠ unknown recipe_id"))</f>
        <v/>
      </c>
      <c r="E1872" s="12" t="str">
        <f aca="false">IF(C1872="","",IFERROR(INDEX('Ingredient Catalog'!$C:$C,MATCH(C1872,'Ingredient Catalog'!$A:$A,0)),"⚠ not in catalog"))</f>
        <v/>
      </c>
      <c r="G1872" s="12" t="str">
        <f aca="false">IF(A1872="","",COUNTIFS('Weekly Log'!$A:$A,'Grocery List'!$B$3,'Weekly Log'!$C:$C,A1872,'Weekly Log'!$E:$E,"Yes"))</f>
        <v/>
      </c>
      <c r="H1872" s="12" t="str">
        <f aca="false">IF(OR(A1872="",D1872=""),"",D1872*G1872)</f>
        <v/>
      </c>
    </row>
    <row r="1873" customFormat="false" ht="15" hidden="false" customHeight="false" outlineLevel="0" collapsed="false">
      <c r="B1873" s="12" t="str">
        <f aca="false">IF(A1873="","",IFERROR(INDEX(Recipes!$B:$B,MATCH(A1873,Recipes!$A:$A,0)),"⚠ unknown recipe_id"))</f>
        <v/>
      </c>
      <c r="E1873" s="12" t="str">
        <f aca="false">IF(C1873="","",IFERROR(INDEX('Ingredient Catalog'!$C:$C,MATCH(C1873,'Ingredient Catalog'!$A:$A,0)),"⚠ not in catalog"))</f>
        <v/>
      </c>
      <c r="G1873" s="12" t="str">
        <f aca="false">IF(A1873="","",COUNTIFS('Weekly Log'!$A:$A,'Grocery List'!$B$3,'Weekly Log'!$C:$C,A1873,'Weekly Log'!$E:$E,"Yes"))</f>
        <v/>
      </c>
      <c r="H1873" s="12" t="str">
        <f aca="false">IF(OR(A1873="",D1873=""),"",D1873*G1873)</f>
        <v/>
      </c>
    </row>
    <row r="1874" customFormat="false" ht="15" hidden="false" customHeight="false" outlineLevel="0" collapsed="false">
      <c r="B1874" s="12" t="str">
        <f aca="false">IF(A1874="","",IFERROR(INDEX(Recipes!$B:$B,MATCH(A1874,Recipes!$A:$A,0)),"⚠ unknown recipe_id"))</f>
        <v/>
      </c>
      <c r="E1874" s="12" t="str">
        <f aca="false">IF(C1874="","",IFERROR(INDEX('Ingredient Catalog'!$C:$C,MATCH(C1874,'Ingredient Catalog'!$A:$A,0)),"⚠ not in catalog"))</f>
        <v/>
      </c>
      <c r="G1874" s="12" t="str">
        <f aca="false">IF(A1874="","",COUNTIFS('Weekly Log'!$A:$A,'Grocery List'!$B$3,'Weekly Log'!$C:$C,A1874,'Weekly Log'!$E:$E,"Yes"))</f>
        <v/>
      </c>
      <c r="H1874" s="12" t="str">
        <f aca="false">IF(OR(A1874="",D1874=""),"",D1874*G1874)</f>
        <v/>
      </c>
    </row>
    <row r="1875" customFormat="false" ht="15" hidden="false" customHeight="false" outlineLevel="0" collapsed="false">
      <c r="B1875" s="12" t="str">
        <f aca="false">IF(A1875="","",IFERROR(INDEX(Recipes!$B:$B,MATCH(A1875,Recipes!$A:$A,0)),"⚠ unknown recipe_id"))</f>
        <v/>
      </c>
      <c r="E1875" s="12" t="str">
        <f aca="false">IF(C1875="","",IFERROR(INDEX('Ingredient Catalog'!$C:$C,MATCH(C1875,'Ingredient Catalog'!$A:$A,0)),"⚠ not in catalog"))</f>
        <v/>
      </c>
      <c r="G1875" s="12" t="str">
        <f aca="false">IF(A1875="","",COUNTIFS('Weekly Log'!$A:$A,'Grocery List'!$B$3,'Weekly Log'!$C:$C,A1875,'Weekly Log'!$E:$E,"Yes"))</f>
        <v/>
      </c>
      <c r="H1875" s="12" t="str">
        <f aca="false">IF(OR(A1875="",D1875=""),"",D1875*G1875)</f>
        <v/>
      </c>
    </row>
    <row r="1876" customFormat="false" ht="15" hidden="false" customHeight="false" outlineLevel="0" collapsed="false">
      <c r="B1876" s="12" t="str">
        <f aca="false">IF(A1876="","",IFERROR(INDEX(Recipes!$B:$B,MATCH(A1876,Recipes!$A:$A,0)),"⚠ unknown recipe_id"))</f>
        <v/>
      </c>
      <c r="E1876" s="12" t="str">
        <f aca="false">IF(C1876="","",IFERROR(INDEX('Ingredient Catalog'!$C:$C,MATCH(C1876,'Ingredient Catalog'!$A:$A,0)),"⚠ not in catalog"))</f>
        <v/>
      </c>
      <c r="G1876" s="12" t="str">
        <f aca="false">IF(A1876="","",COUNTIFS('Weekly Log'!$A:$A,'Grocery List'!$B$3,'Weekly Log'!$C:$C,A1876,'Weekly Log'!$E:$E,"Yes"))</f>
        <v/>
      </c>
      <c r="H1876" s="12" t="str">
        <f aca="false">IF(OR(A1876="",D1876=""),"",D1876*G1876)</f>
        <v/>
      </c>
    </row>
    <row r="1877" customFormat="false" ht="15" hidden="false" customHeight="false" outlineLevel="0" collapsed="false">
      <c r="B1877" s="12" t="str">
        <f aca="false">IF(A1877="","",IFERROR(INDEX(Recipes!$B:$B,MATCH(A1877,Recipes!$A:$A,0)),"⚠ unknown recipe_id"))</f>
        <v/>
      </c>
      <c r="E1877" s="12" t="str">
        <f aca="false">IF(C1877="","",IFERROR(INDEX('Ingredient Catalog'!$C:$C,MATCH(C1877,'Ingredient Catalog'!$A:$A,0)),"⚠ not in catalog"))</f>
        <v/>
      </c>
      <c r="G1877" s="12" t="str">
        <f aca="false">IF(A1877="","",COUNTIFS('Weekly Log'!$A:$A,'Grocery List'!$B$3,'Weekly Log'!$C:$C,A1877,'Weekly Log'!$E:$E,"Yes"))</f>
        <v/>
      </c>
      <c r="H1877" s="12" t="str">
        <f aca="false">IF(OR(A1877="",D1877=""),"",D1877*G1877)</f>
        <v/>
      </c>
    </row>
    <row r="1878" customFormat="false" ht="15" hidden="false" customHeight="false" outlineLevel="0" collapsed="false">
      <c r="B1878" s="12" t="str">
        <f aca="false">IF(A1878="","",IFERROR(INDEX(Recipes!$B:$B,MATCH(A1878,Recipes!$A:$A,0)),"⚠ unknown recipe_id"))</f>
        <v/>
      </c>
      <c r="E1878" s="12" t="str">
        <f aca="false">IF(C1878="","",IFERROR(INDEX('Ingredient Catalog'!$C:$C,MATCH(C1878,'Ingredient Catalog'!$A:$A,0)),"⚠ not in catalog"))</f>
        <v/>
      </c>
      <c r="G1878" s="12" t="str">
        <f aca="false">IF(A1878="","",COUNTIFS('Weekly Log'!$A:$A,'Grocery List'!$B$3,'Weekly Log'!$C:$C,A1878,'Weekly Log'!$E:$E,"Yes"))</f>
        <v/>
      </c>
      <c r="H1878" s="12" t="str">
        <f aca="false">IF(OR(A1878="",D1878=""),"",D1878*G1878)</f>
        <v/>
      </c>
    </row>
    <row r="1879" customFormat="false" ht="15" hidden="false" customHeight="false" outlineLevel="0" collapsed="false">
      <c r="B1879" s="12" t="str">
        <f aca="false">IF(A1879="","",IFERROR(INDEX(Recipes!$B:$B,MATCH(A1879,Recipes!$A:$A,0)),"⚠ unknown recipe_id"))</f>
        <v/>
      </c>
      <c r="E1879" s="12" t="str">
        <f aca="false">IF(C1879="","",IFERROR(INDEX('Ingredient Catalog'!$C:$C,MATCH(C1879,'Ingredient Catalog'!$A:$A,0)),"⚠ not in catalog"))</f>
        <v/>
      </c>
      <c r="G1879" s="12" t="str">
        <f aca="false">IF(A1879="","",COUNTIFS('Weekly Log'!$A:$A,'Grocery List'!$B$3,'Weekly Log'!$C:$C,A1879,'Weekly Log'!$E:$E,"Yes"))</f>
        <v/>
      </c>
      <c r="H1879" s="12" t="str">
        <f aca="false">IF(OR(A1879="",D1879=""),"",D1879*G1879)</f>
        <v/>
      </c>
    </row>
    <row r="1880" customFormat="false" ht="15" hidden="false" customHeight="false" outlineLevel="0" collapsed="false">
      <c r="B1880" s="12" t="str">
        <f aca="false">IF(A1880="","",IFERROR(INDEX(Recipes!$B:$B,MATCH(A1880,Recipes!$A:$A,0)),"⚠ unknown recipe_id"))</f>
        <v/>
      </c>
      <c r="E1880" s="12" t="str">
        <f aca="false">IF(C1880="","",IFERROR(INDEX('Ingredient Catalog'!$C:$C,MATCH(C1880,'Ingredient Catalog'!$A:$A,0)),"⚠ not in catalog"))</f>
        <v/>
      </c>
      <c r="G1880" s="12" t="str">
        <f aca="false">IF(A1880="","",COUNTIFS('Weekly Log'!$A:$A,'Grocery List'!$B$3,'Weekly Log'!$C:$C,A1880,'Weekly Log'!$E:$E,"Yes"))</f>
        <v/>
      </c>
      <c r="H1880" s="12" t="str">
        <f aca="false">IF(OR(A1880="",D1880=""),"",D1880*G1880)</f>
        <v/>
      </c>
    </row>
    <row r="1881" customFormat="false" ht="15" hidden="false" customHeight="false" outlineLevel="0" collapsed="false">
      <c r="B1881" s="12" t="str">
        <f aca="false">IF(A1881="","",IFERROR(INDEX(Recipes!$B:$B,MATCH(A1881,Recipes!$A:$A,0)),"⚠ unknown recipe_id"))</f>
        <v/>
      </c>
      <c r="E1881" s="12" t="str">
        <f aca="false">IF(C1881="","",IFERROR(INDEX('Ingredient Catalog'!$C:$C,MATCH(C1881,'Ingredient Catalog'!$A:$A,0)),"⚠ not in catalog"))</f>
        <v/>
      </c>
      <c r="G1881" s="12" t="str">
        <f aca="false">IF(A1881="","",COUNTIFS('Weekly Log'!$A:$A,'Grocery List'!$B$3,'Weekly Log'!$C:$C,A1881,'Weekly Log'!$E:$E,"Yes"))</f>
        <v/>
      </c>
      <c r="H1881" s="12" t="str">
        <f aca="false">IF(OR(A1881="",D1881=""),"",D1881*G1881)</f>
        <v/>
      </c>
    </row>
    <row r="1882" customFormat="false" ht="15" hidden="false" customHeight="false" outlineLevel="0" collapsed="false">
      <c r="B1882" s="12" t="str">
        <f aca="false">IF(A1882="","",IFERROR(INDEX(Recipes!$B:$B,MATCH(A1882,Recipes!$A:$A,0)),"⚠ unknown recipe_id"))</f>
        <v/>
      </c>
      <c r="E1882" s="12" t="str">
        <f aca="false">IF(C1882="","",IFERROR(INDEX('Ingredient Catalog'!$C:$C,MATCH(C1882,'Ingredient Catalog'!$A:$A,0)),"⚠ not in catalog"))</f>
        <v/>
      </c>
      <c r="G1882" s="12" t="str">
        <f aca="false">IF(A1882="","",COUNTIFS('Weekly Log'!$A:$A,'Grocery List'!$B$3,'Weekly Log'!$C:$C,A1882,'Weekly Log'!$E:$E,"Yes"))</f>
        <v/>
      </c>
      <c r="H1882" s="12" t="str">
        <f aca="false">IF(OR(A1882="",D1882=""),"",D1882*G1882)</f>
        <v/>
      </c>
    </row>
    <row r="1883" customFormat="false" ht="15" hidden="false" customHeight="false" outlineLevel="0" collapsed="false">
      <c r="B1883" s="12" t="str">
        <f aca="false">IF(A1883="","",IFERROR(INDEX(Recipes!$B:$B,MATCH(A1883,Recipes!$A:$A,0)),"⚠ unknown recipe_id"))</f>
        <v/>
      </c>
      <c r="E1883" s="12" t="str">
        <f aca="false">IF(C1883="","",IFERROR(INDEX('Ingredient Catalog'!$C:$C,MATCH(C1883,'Ingredient Catalog'!$A:$A,0)),"⚠ not in catalog"))</f>
        <v/>
      </c>
      <c r="G1883" s="12" t="str">
        <f aca="false">IF(A1883="","",COUNTIFS('Weekly Log'!$A:$A,'Grocery List'!$B$3,'Weekly Log'!$C:$C,A1883,'Weekly Log'!$E:$E,"Yes"))</f>
        <v/>
      </c>
      <c r="H1883" s="12" t="str">
        <f aca="false">IF(OR(A1883="",D1883=""),"",D1883*G1883)</f>
        <v/>
      </c>
    </row>
    <row r="1884" customFormat="false" ht="15" hidden="false" customHeight="false" outlineLevel="0" collapsed="false">
      <c r="B1884" s="12" t="str">
        <f aca="false">IF(A1884="","",IFERROR(INDEX(Recipes!$B:$B,MATCH(A1884,Recipes!$A:$A,0)),"⚠ unknown recipe_id"))</f>
        <v/>
      </c>
      <c r="E1884" s="12" t="str">
        <f aca="false">IF(C1884="","",IFERROR(INDEX('Ingredient Catalog'!$C:$C,MATCH(C1884,'Ingredient Catalog'!$A:$A,0)),"⚠ not in catalog"))</f>
        <v/>
      </c>
      <c r="G1884" s="12" t="str">
        <f aca="false">IF(A1884="","",COUNTIFS('Weekly Log'!$A:$A,'Grocery List'!$B$3,'Weekly Log'!$C:$C,A1884,'Weekly Log'!$E:$E,"Yes"))</f>
        <v/>
      </c>
      <c r="H1884" s="12" t="str">
        <f aca="false">IF(OR(A1884="",D1884=""),"",D1884*G1884)</f>
        <v/>
      </c>
    </row>
    <row r="1885" customFormat="false" ht="15" hidden="false" customHeight="false" outlineLevel="0" collapsed="false">
      <c r="B1885" s="12" t="str">
        <f aca="false">IF(A1885="","",IFERROR(INDEX(Recipes!$B:$B,MATCH(A1885,Recipes!$A:$A,0)),"⚠ unknown recipe_id"))</f>
        <v/>
      </c>
      <c r="E1885" s="12" t="str">
        <f aca="false">IF(C1885="","",IFERROR(INDEX('Ingredient Catalog'!$C:$C,MATCH(C1885,'Ingredient Catalog'!$A:$A,0)),"⚠ not in catalog"))</f>
        <v/>
      </c>
      <c r="G1885" s="12" t="str">
        <f aca="false">IF(A1885="","",COUNTIFS('Weekly Log'!$A:$A,'Grocery List'!$B$3,'Weekly Log'!$C:$C,A1885,'Weekly Log'!$E:$E,"Yes"))</f>
        <v/>
      </c>
      <c r="H1885" s="12" t="str">
        <f aca="false">IF(OR(A1885="",D1885=""),"",D1885*G1885)</f>
        <v/>
      </c>
    </row>
    <row r="1886" customFormat="false" ht="15" hidden="false" customHeight="false" outlineLevel="0" collapsed="false">
      <c r="B1886" s="12" t="str">
        <f aca="false">IF(A1886="","",IFERROR(INDEX(Recipes!$B:$B,MATCH(A1886,Recipes!$A:$A,0)),"⚠ unknown recipe_id"))</f>
        <v/>
      </c>
      <c r="E1886" s="12" t="str">
        <f aca="false">IF(C1886="","",IFERROR(INDEX('Ingredient Catalog'!$C:$C,MATCH(C1886,'Ingredient Catalog'!$A:$A,0)),"⚠ not in catalog"))</f>
        <v/>
      </c>
      <c r="G1886" s="12" t="str">
        <f aca="false">IF(A1886="","",COUNTIFS('Weekly Log'!$A:$A,'Grocery List'!$B$3,'Weekly Log'!$C:$C,A1886,'Weekly Log'!$E:$E,"Yes"))</f>
        <v/>
      </c>
      <c r="H1886" s="12" t="str">
        <f aca="false">IF(OR(A1886="",D1886=""),"",D1886*G1886)</f>
        <v/>
      </c>
    </row>
    <row r="1887" customFormat="false" ht="15" hidden="false" customHeight="false" outlineLevel="0" collapsed="false">
      <c r="B1887" s="12" t="str">
        <f aca="false">IF(A1887="","",IFERROR(INDEX(Recipes!$B:$B,MATCH(A1887,Recipes!$A:$A,0)),"⚠ unknown recipe_id"))</f>
        <v/>
      </c>
      <c r="E1887" s="12" t="str">
        <f aca="false">IF(C1887="","",IFERROR(INDEX('Ingredient Catalog'!$C:$C,MATCH(C1887,'Ingredient Catalog'!$A:$A,0)),"⚠ not in catalog"))</f>
        <v/>
      </c>
      <c r="G1887" s="12" t="str">
        <f aca="false">IF(A1887="","",COUNTIFS('Weekly Log'!$A:$A,'Grocery List'!$B$3,'Weekly Log'!$C:$C,A1887,'Weekly Log'!$E:$E,"Yes"))</f>
        <v/>
      </c>
      <c r="H1887" s="12" t="str">
        <f aca="false">IF(OR(A1887="",D1887=""),"",D1887*G1887)</f>
        <v/>
      </c>
    </row>
    <row r="1888" customFormat="false" ht="15" hidden="false" customHeight="false" outlineLevel="0" collapsed="false">
      <c r="B1888" s="12" t="str">
        <f aca="false">IF(A1888="","",IFERROR(INDEX(Recipes!$B:$B,MATCH(A1888,Recipes!$A:$A,0)),"⚠ unknown recipe_id"))</f>
        <v/>
      </c>
      <c r="E1888" s="12" t="str">
        <f aca="false">IF(C1888="","",IFERROR(INDEX('Ingredient Catalog'!$C:$C,MATCH(C1888,'Ingredient Catalog'!$A:$A,0)),"⚠ not in catalog"))</f>
        <v/>
      </c>
      <c r="G1888" s="12" t="str">
        <f aca="false">IF(A1888="","",COUNTIFS('Weekly Log'!$A:$A,'Grocery List'!$B$3,'Weekly Log'!$C:$C,A1888,'Weekly Log'!$E:$E,"Yes"))</f>
        <v/>
      </c>
      <c r="H1888" s="12" t="str">
        <f aca="false">IF(OR(A1888="",D1888=""),"",D1888*G1888)</f>
        <v/>
      </c>
    </row>
    <row r="1889" customFormat="false" ht="15" hidden="false" customHeight="false" outlineLevel="0" collapsed="false">
      <c r="B1889" s="12" t="str">
        <f aca="false">IF(A1889="","",IFERROR(INDEX(Recipes!$B:$B,MATCH(A1889,Recipes!$A:$A,0)),"⚠ unknown recipe_id"))</f>
        <v/>
      </c>
      <c r="E1889" s="12" t="str">
        <f aca="false">IF(C1889="","",IFERROR(INDEX('Ingredient Catalog'!$C:$C,MATCH(C1889,'Ingredient Catalog'!$A:$A,0)),"⚠ not in catalog"))</f>
        <v/>
      </c>
      <c r="G1889" s="12" t="str">
        <f aca="false">IF(A1889="","",COUNTIFS('Weekly Log'!$A:$A,'Grocery List'!$B$3,'Weekly Log'!$C:$C,A1889,'Weekly Log'!$E:$E,"Yes"))</f>
        <v/>
      </c>
      <c r="H1889" s="12" t="str">
        <f aca="false">IF(OR(A1889="",D1889=""),"",D1889*G1889)</f>
        <v/>
      </c>
    </row>
    <row r="1890" customFormat="false" ht="15" hidden="false" customHeight="false" outlineLevel="0" collapsed="false">
      <c r="B1890" s="12" t="str">
        <f aca="false">IF(A1890="","",IFERROR(INDEX(Recipes!$B:$B,MATCH(A1890,Recipes!$A:$A,0)),"⚠ unknown recipe_id"))</f>
        <v/>
      </c>
      <c r="E1890" s="12" t="str">
        <f aca="false">IF(C1890="","",IFERROR(INDEX('Ingredient Catalog'!$C:$C,MATCH(C1890,'Ingredient Catalog'!$A:$A,0)),"⚠ not in catalog"))</f>
        <v/>
      </c>
      <c r="G1890" s="12" t="str">
        <f aca="false">IF(A1890="","",COUNTIFS('Weekly Log'!$A:$A,'Grocery List'!$B$3,'Weekly Log'!$C:$C,A1890,'Weekly Log'!$E:$E,"Yes"))</f>
        <v/>
      </c>
      <c r="H1890" s="12" t="str">
        <f aca="false">IF(OR(A1890="",D1890=""),"",D1890*G1890)</f>
        <v/>
      </c>
    </row>
    <row r="1891" customFormat="false" ht="15" hidden="false" customHeight="false" outlineLevel="0" collapsed="false">
      <c r="B1891" s="12" t="str">
        <f aca="false">IF(A1891="","",IFERROR(INDEX(Recipes!$B:$B,MATCH(A1891,Recipes!$A:$A,0)),"⚠ unknown recipe_id"))</f>
        <v/>
      </c>
      <c r="E1891" s="12" t="str">
        <f aca="false">IF(C1891="","",IFERROR(INDEX('Ingredient Catalog'!$C:$C,MATCH(C1891,'Ingredient Catalog'!$A:$A,0)),"⚠ not in catalog"))</f>
        <v/>
      </c>
      <c r="G1891" s="12" t="str">
        <f aca="false">IF(A1891="","",COUNTIFS('Weekly Log'!$A:$A,'Grocery List'!$B$3,'Weekly Log'!$C:$C,A1891,'Weekly Log'!$E:$E,"Yes"))</f>
        <v/>
      </c>
      <c r="H1891" s="12" t="str">
        <f aca="false">IF(OR(A1891="",D1891=""),"",D1891*G1891)</f>
        <v/>
      </c>
    </row>
    <row r="1892" customFormat="false" ht="15" hidden="false" customHeight="false" outlineLevel="0" collapsed="false">
      <c r="B1892" s="12" t="str">
        <f aca="false">IF(A1892="","",IFERROR(INDEX(Recipes!$B:$B,MATCH(A1892,Recipes!$A:$A,0)),"⚠ unknown recipe_id"))</f>
        <v/>
      </c>
      <c r="E1892" s="12" t="str">
        <f aca="false">IF(C1892="","",IFERROR(INDEX('Ingredient Catalog'!$C:$C,MATCH(C1892,'Ingredient Catalog'!$A:$A,0)),"⚠ not in catalog"))</f>
        <v/>
      </c>
      <c r="G1892" s="12" t="str">
        <f aca="false">IF(A1892="","",COUNTIFS('Weekly Log'!$A:$A,'Grocery List'!$B$3,'Weekly Log'!$C:$C,A1892,'Weekly Log'!$E:$E,"Yes"))</f>
        <v/>
      </c>
      <c r="H1892" s="12" t="str">
        <f aca="false">IF(OR(A1892="",D1892=""),"",D1892*G1892)</f>
        <v/>
      </c>
    </row>
    <row r="1893" customFormat="false" ht="15" hidden="false" customHeight="false" outlineLevel="0" collapsed="false">
      <c r="B1893" s="12" t="str">
        <f aca="false">IF(A1893="","",IFERROR(INDEX(Recipes!$B:$B,MATCH(A1893,Recipes!$A:$A,0)),"⚠ unknown recipe_id"))</f>
        <v/>
      </c>
      <c r="E1893" s="12" t="str">
        <f aca="false">IF(C1893="","",IFERROR(INDEX('Ingredient Catalog'!$C:$C,MATCH(C1893,'Ingredient Catalog'!$A:$A,0)),"⚠ not in catalog"))</f>
        <v/>
      </c>
      <c r="G1893" s="12" t="str">
        <f aca="false">IF(A1893="","",COUNTIFS('Weekly Log'!$A:$A,'Grocery List'!$B$3,'Weekly Log'!$C:$C,A1893,'Weekly Log'!$E:$E,"Yes"))</f>
        <v/>
      </c>
      <c r="H1893" s="12" t="str">
        <f aca="false">IF(OR(A1893="",D1893=""),"",D1893*G1893)</f>
        <v/>
      </c>
    </row>
    <row r="1894" customFormat="false" ht="15" hidden="false" customHeight="false" outlineLevel="0" collapsed="false">
      <c r="B1894" s="12" t="str">
        <f aca="false">IF(A1894="","",IFERROR(INDEX(Recipes!$B:$B,MATCH(A1894,Recipes!$A:$A,0)),"⚠ unknown recipe_id"))</f>
        <v/>
      </c>
      <c r="E1894" s="12" t="str">
        <f aca="false">IF(C1894="","",IFERROR(INDEX('Ingredient Catalog'!$C:$C,MATCH(C1894,'Ingredient Catalog'!$A:$A,0)),"⚠ not in catalog"))</f>
        <v/>
      </c>
      <c r="G1894" s="12" t="str">
        <f aca="false">IF(A1894="","",COUNTIFS('Weekly Log'!$A:$A,'Grocery List'!$B$3,'Weekly Log'!$C:$C,A1894,'Weekly Log'!$E:$E,"Yes"))</f>
        <v/>
      </c>
      <c r="H1894" s="12" t="str">
        <f aca="false">IF(OR(A1894="",D1894=""),"",D1894*G1894)</f>
        <v/>
      </c>
    </row>
    <row r="1895" customFormat="false" ht="15" hidden="false" customHeight="false" outlineLevel="0" collapsed="false">
      <c r="B1895" s="12" t="str">
        <f aca="false">IF(A1895="","",IFERROR(INDEX(Recipes!$B:$B,MATCH(A1895,Recipes!$A:$A,0)),"⚠ unknown recipe_id"))</f>
        <v/>
      </c>
      <c r="E1895" s="12" t="str">
        <f aca="false">IF(C1895="","",IFERROR(INDEX('Ingredient Catalog'!$C:$C,MATCH(C1895,'Ingredient Catalog'!$A:$A,0)),"⚠ not in catalog"))</f>
        <v/>
      </c>
      <c r="G1895" s="12" t="str">
        <f aca="false">IF(A1895="","",COUNTIFS('Weekly Log'!$A:$A,'Grocery List'!$B$3,'Weekly Log'!$C:$C,A1895,'Weekly Log'!$E:$E,"Yes"))</f>
        <v/>
      </c>
      <c r="H1895" s="12" t="str">
        <f aca="false">IF(OR(A1895="",D1895=""),"",D1895*G1895)</f>
        <v/>
      </c>
    </row>
    <row r="1896" customFormat="false" ht="15" hidden="false" customHeight="false" outlineLevel="0" collapsed="false">
      <c r="B1896" s="12" t="str">
        <f aca="false">IF(A1896="","",IFERROR(INDEX(Recipes!$B:$B,MATCH(A1896,Recipes!$A:$A,0)),"⚠ unknown recipe_id"))</f>
        <v/>
      </c>
      <c r="E1896" s="12" t="str">
        <f aca="false">IF(C1896="","",IFERROR(INDEX('Ingredient Catalog'!$C:$C,MATCH(C1896,'Ingredient Catalog'!$A:$A,0)),"⚠ not in catalog"))</f>
        <v/>
      </c>
      <c r="G1896" s="12" t="str">
        <f aca="false">IF(A1896="","",COUNTIFS('Weekly Log'!$A:$A,'Grocery List'!$B$3,'Weekly Log'!$C:$C,A1896,'Weekly Log'!$E:$E,"Yes"))</f>
        <v/>
      </c>
      <c r="H1896" s="12" t="str">
        <f aca="false">IF(OR(A1896="",D1896=""),"",D1896*G1896)</f>
        <v/>
      </c>
    </row>
    <row r="1897" customFormat="false" ht="15" hidden="false" customHeight="false" outlineLevel="0" collapsed="false">
      <c r="B1897" s="12" t="str">
        <f aca="false">IF(A1897="","",IFERROR(INDEX(Recipes!$B:$B,MATCH(A1897,Recipes!$A:$A,0)),"⚠ unknown recipe_id"))</f>
        <v/>
      </c>
      <c r="E1897" s="12" t="str">
        <f aca="false">IF(C1897="","",IFERROR(INDEX('Ingredient Catalog'!$C:$C,MATCH(C1897,'Ingredient Catalog'!$A:$A,0)),"⚠ not in catalog"))</f>
        <v/>
      </c>
      <c r="G1897" s="12" t="str">
        <f aca="false">IF(A1897="","",COUNTIFS('Weekly Log'!$A:$A,'Grocery List'!$B$3,'Weekly Log'!$C:$C,A1897,'Weekly Log'!$E:$E,"Yes"))</f>
        <v/>
      </c>
      <c r="H1897" s="12" t="str">
        <f aca="false">IF(OR(A1897="",D1897=""),"",D1897*G1897)</f>
        <v/>
      </c>
    </row>
    <row r="1898" customFormat="false" ht="15" hidden="false" customHeight="false" outlineLevel="0" collapsed="false">
      <c r="B1898" s="12" t="str">
        <f aca="false">IF(A1898="","",IFERROR(INDEX(Recipes!$B:$B,MATCH(A1898,Recipes!$A:$A,0)),"⚠ unknown recipe_id"))</f>
        <v/>
      </c>
      <c r="E1898" s="12" t="str">
        <f aca="false">IF(C1898="","",IFERROR(INDEX('Ingredient Catalog'!$C:$C,MATCH(C1898,'Ingredient Catalog'!$A:$A,0)),"⚠ not in catalog"))</f>
        <v/>
      </c>
      <c r="G1898" s="12" t="str">
        <f aca="false">IF(A1898="","",COUNTIFS('Weekly Log'!$A:$A,'Grocery List'!$B$3,'Weekly Log'!$C:$C,A1898,'Weekly Log'!$E:$E,"Yes"))</f>
        <v/>
      </c>
      <c r="H1898" s="12" t="str">
        <f aca="false">IF(OR(A1898="",D1898=""),"",D1898*G1898)</f>
        <v/>
      </c>
    </row>
    <row r="1899" customFormat="false" ht="15" hidden="false" customHeight="false" outlineLevel="0" collapsed="false">
      <c r="B1899" s="12" t="str">
        <f aca="false">IF(A1899="","",IFERROR(INDEX(Recipes!$B:$B,MATCH(A1899,Recipes!$A:$A,0)),"⚠ unknown recipe_id"))</f>
        <v/>
      </c>
      <c r="E1899" s="12" t="str">
        <f aca="false">IF(C1899="","",IFERROR(INDEX('Ingredient Catalog'!$C:$C,MATCH(C1899,'Ingredient Catalog'!$A:$A,0)),"⚠ not in catalog"))</f>
        <v/>
      </c>
      <c r="G1899" s="12" t="str">
        <f aca="false">IF(A1899="","",COUNTIFS('Weekly Log'!$A:$A,'Grocery List'!$B$3,'Weekly Log'!$C:$C,A1899,'Weekly Log'!$E:$E,"Yes"))</f>
        <v/>
      </c>
      <c r="H1899" s="12" t="str">
        <f aca="false">IF(OR(A1899="",D1899=""),"",D1899*G1899)</f>
        <v/>
      </c>
    </row>
    <row r="1900" customFormat="false" ht="15" hidden="false" customHeight="false" outlineLevel="0" collapsed="false">
      <c r="B1900" s="12" t="str">
        <f aca="false">IF(A1900="","",IFERROR(INDEX(Recipes!$B:$B,MATCH(A1900,Recipes!$A:$A,0)),"⚠ unknown recipe_id"))</f>
        <v/>
      </c>
      <c r="E1900" s="12" t="str">
        <f aca="false">IF(C1900="","",IFERROR(INDEX('Ingredient Catalog'!$C:$C,MATCH(C1900,'Ingredient Catalog'!$A:$A,0)),"⚠ not in catalog"))</f>
        <v/>
      </c>
      <c r="G1900" s="12" t="str">
        <f aca="false">IF(A1900="","",COUNTIFS('Weekly Log'!$A:$A,'Grocery List'!$B$3,'Weekly Log'!$C:$C,A1900,'Weekly Log'!$E:$E,"Yes"))</f>
        <v/>
      </c>
      <c r="H1900" s="12" t="str">
        <f aca="false">IF(OR(A1900="",D1900=""),"",D1900*G1900)</f>
        <v/>
      </c>
    </row>
    <row r="1901" customFormat="false" ht="15" hidden="false" customHeight="false" outlineLevel="0" collapsed="false">
      <c r="B1901" s="12" t="str">
        <f aca="false">IF(A1901="","",IFERROR(INDEX(Recipes!$B:$B,MATCH(A1901,Recipes!$A:$A,0)),"⚠ unknown recipe_id"))</f>
        <v/>
      </c>
      <c r="E1901" s="12" t="str">
        <f aca="false">IF(C1901="","",IFERROR(INDEX('Ingredient Catalog'!$C:$C,MATCH(C1901,'Ingredient Catalog'!$A:$A,0)),"⚠ not in catalog"))</f>
        <v/>
      </c>
      <c r="G1901" s="12" t="str">
        <f aca="false">IF(A1901="","",COUNTIFS('Weekly Log'!$A:$A,'Grocery List'!$B$3,'Weekly Log'!$C:$C,A1901,'Weekly Log'!$E:$E,"Yes"))</f>
        <v/>
      </c>
      <c r="H1901" s="12" t="str">
        <f aca="false">IF(OR(A1901="",D1901=""),"",D1901*G1901)</f>
        <v/>
      </c>
    </row>
    <row r="1902" customFormat="false" ht="15" hidden="false" customHeight="false" outlineLevel="0" collapsed="false">
      <c r="B1902" s="12" t="str">
        <f aca="false">IF(A1902="","",IFERROR(INDEX(Recipes!$B:$B,MATCH(A1902,Recipes!$A:$A,0)),"⚠ unknown recipe_id"))</f>
        <v/>
      </c>
      <c r="E1902" s="12" t="str">
        <f aca="false">IF(C1902="","",IFERROR(INDEX('Ingredient Catalog'!$C:$C,MATCH(C1902,'Ingredient Catalog'!$A:$A,0)),"⚠ not in catalog"))</f>
        <v/>
      </c>
      <c r="G1902" s="12" t="str">
        <f aca="false">IF(A1902="","",COUNTIFS('Weekly Log'!$A:$A,'Grocery List'!$B$3,'Weekly Log'!$C:$C,A1902,'Weekly Log'!$E:$E,"Yes"))</f>
        <v/>
      </c>
      <c r="H1902" s="12" t="str">
        <f aca="false">IF(OR(A1902="",D1902=""),"",D1902*G1902)</f>
        <v/>
      </c>
    </row>
    <row r="1903" customFormat="false" ht="15" hidden="false" customHeight="false" outlineLevel="0" collapsed="false">
      <c r="B1903" s="12" t="str">
        <f aca="false">IF(A1903="","",IFERROR(INDEX(Recipes!$B:$B,MATCH(A1903,Recipes!$A:$A,0)),"⚠ unknown recipe_id"))</f>
        <v/>
      </c>
      <c r="E1903" s="12" t="str">
        <f aca="false">IF(C1903="","",IFERROR(INDEX('Ingredient Catalog'!$C:$C,MATCH(C1903,'Ingredient Catalog'!$A:$A,0)),"⚠ not in catalog"))</f>
        <v/>
      </c>
      <c r="G1903" s="12" t="str">
        <f aca="false">IF(A1903="","",COUNTIFS('Weekly Log'!$A:$A,'Grocery List'!$B$3,'Weekly Log'!$C:$C,A1903,'Weekly Log'!$E:$E,"Yes"))</f>
        <v/>
      </c>
      <c r="H1903" s="12" t="str">
        <f aca="false">IF(OR(A1903="",D1903=""),"",D1903*G1903)</f>
        <v/>
      </c>
    </row>
    <row r="1904" customFormat="false" ht="15" hidden="false" customHeight="false" outlineLevel="0" collapsed="false">
      <c r="B1904" s="12" t="str">
        <f aca="false">IF(A1904="","",IFERROR(INDEX(Recipes!$B:$B,MATCH(A1904,Recipes!$A:$A,0)),"⚠ unknown recipe_id"))</f>
        <v/>
      </c>
      <c r="E1904" s="12" t="str">
        <f aca="false">IF(C1904="","",IFERROR(INDEX('Ingredient Catalog'!$C:$C,MATCH(C1904,'Ingredient Catalog'!$A:$A,0)),"⚠ not in catalog"))</f>
        <v/>
      </c>
      <c r="G1904" s="12" t="str">
        <f aca="false">IF(A1904="","",COUNTIFS('Weekly Log'!$A:$A,'Grocery List'!$B$3,'Weekly Log'!$C:$C,A1904,'Weekly Log'!$E:$E,"Yes"))</f>
        <v/>
      </c>
      <c r="H1904" s="12" t="str">
        <f aca="false">IF(OR(A1904="",D1904=""),"",D1904*G1904)</f>
        <v/>
      </c>
    </row>
    <row r="1905" customFormat="false" ht="15" hidden="false" customHeight="false" outlineLevel="0" collapsed="false">
      <c r="B1905" s="12" t="str">
        <f aca="false">IF(A1905="","",IFERROR(INDEX(Recipes!$B:$B,MATCH(A1905,Recipes!$A:$A,0)),"⚠ unknown recipe_id"))</f>
        <v/>
      </c>
      <c r="E1905" s="12" t="str">
        <f aca="false">IF(C1905="","",IFERROR(INDEX('Ingredient Catalog'!$C:$C,MATCH(C1905,'Ingredient Catalog'!$A:$A,0)),"⚠ not in catalog"))</f>
        <v/>
      </c>
      <c r="G1905" s="12" t="str">
        <f aca="false">IF(A1905="","",COUNTIFS('Weekly Log'!$A:$A,'Grocery List'!$B$3,'Weekly Log'!$C:$C,A1905,'Weekly Log'!$E:$E,"Yes"))</f>
        <v/>
      </c>
      <c r="H1905" s="12" t="str">
        <f aca="false">IF(OR(A1905="",D1905=""),"",D1905*G1905)</f>
        <v/>
      </c>
    </row>
    <row r="1906" customFormat="false" ht="15" hidden="false" customHeight="false" outlineLevel="0" collapsed="false">
      <c r="B1906" s="12" t="str">
        <f aca="false">IF(A1906="","",IFERROR(INDEX(Recipes!$B:$B,MATCH(A1906,Recipes!$A:$A,0)),"⚠ unknown recipe_id"))</f>
        <v/>
      </c>
      <c r="E1906" s="12" t="str">
        <f aca="false">IF(C1906="","",IFERROR(INDEX('Ingredient Catalog'!$C:$C,MATCH(C1906,'Ingredient Catalog'!$A:$A,0)),"⚠ not in catalog"))</f>
        <v/>
      </c>
      <c r="G1906" s="12" t="str">
        <f aca="false">IF(A1906="","",COUNTIFS('Weekly Log'!$A:$A,'Grocery List'!$B$3,'Weekly Log'!$C:$C,A1906,'Weekly Log'!$E:$E,"Yes"))</f>
        <v/>
      </c>
      <c r="H1906" s="12" t="str">
        <f aca="false">IF(OR(A1906="",D1906=""),"",D1906*G1906)</f>
        <v/>
      </c>
    </row>
    <row r="1907" customFormat="false" ht="15" hidden="false" customHeight="false" outlineLevel="0" collapsed="false">
      <c r="B1907" s="12" t="str">
        <f aca="false">IF(A1907="","",IFERROR(INDEX(Recipes!$B:$B,MATCH(A1907,Recipes!$A:$A,0)),"⚠ unknown recipe_id"))</f>
        <v/>
      </c>
      <c r="E1907" s="12" t="str">
        <f aca="false">IF(C1907="","",IFERROR(INDEX('Ingredient Catalog'!$C:$C,MATCH(C1907,'Ingredient Catalog'!$A:$A,0)),"⚠ not in catalog"))</f>
        <v/>
      </c>
      <c r="G1907" s="12" t="str">
        <f aca="false">IF(A1907="","",COUNTIFS('Weekly Log'!$A:$A,'Grocery List'!$B$3,'Weekly Log'!$C:$C,A1907,'Weekly Log'!$E:$E,"Yes"))</f>
        <v/>
      </c>
      <c r="H1907" s="12" t="str">
        <f aca="false">IF(OR(A1907="",D1907=""),"",D1907*G1907)</f>
        <v/>
      </c>
    </row>
    <row r="1908" customFormat="false" ht="15" hidden="false" customHeight="false" outlineLevel="0" collapsed="false">
      <c r="B1908" s="12" t="str">
        <f aca="false">IF(A1908="","",IFERROR(INDEX(Recipes!$B:$B,MATCH(A1908,Recipes!$A:$A,0)),"⚠ unknown recipe_id"))</f>
        <v/>
      </c>
      <c r="E1908" s="12" t="str">
        <f aca="false">IF(C1908="","",IFERROR(INDEX('Ingredient Catalog'!$C:$C,MATCH(C1908,'Ingredient Catalog'!$A:$A,0)),"⚠ not in catalog"))</f>
        <v/>
      </c>
      <c r="G1908" s="12" t="str">
        <f aca="false">IF(A1908="","",COUNTIFS('Weekly Log'!$A:$A,'Grocery List'!$B$3,'Weekly Log'!$C:$C,A1908,'Weekly Log'!$E:$E,"Yes"))</f>
        <v/>
      </c>
      <c r="H1908" s="12" t="str">
        <f aca="false">IF(OR(A1908="",D1908=""),"",D1908*G1908)</f>
        <v/>
      </c>
    </row>
    <row r="1909" customFormat="false" ht="15" hidden="false" customHeight="false" outlineLevel="0" collapsed="false">
      <c r="B1909" s="12" t="str">
        <f aca="false">IF(A1909="","",IFERROR(INDEX(Recipes!$B:$B,MATCH(A1909,Recipes!$A:$A,0)),"⚠ unknown recipe_id"))</f>
        <v/>
      </c>
      <c r="E1909" s="12" t="str">
        <f aca="false">IF(C1909="","",IFERROR(INDEX('Ingredient Catalog'!$C:$C,MATCH(C1909,'Ingredient Catalog'!$A:$A,0)),"⚠ not in catalog"))</f>
        <v/>
      </c>
      <c r="G1909" s="12" t="str">
        <f aca="false">IF(A1909="","",COUNTIFS('Weekly Log'!$A:$A,'Grocery List'!$B$3,'Weekly Log'!$C:$C,A1909,'Weekly Log'!$E:$E,"Yes"))</f>
        <v/>
      </c>
      <c r="H1909" s="12" t="str">
        <f aca="false">IF(OR(A1909="",D1909=""),"",D1909*G1909)</f>
        <v/>
      </c>
    </row>
    <row r="1910" customFormat="false" ht="15" hidden="false" customHeight="false" outlineLevel="0" collapsed="false">
      <c r="B1910" s="12" t="str">
        <f aca="false">IF(A1910="","",IFERROR(INDEX(Recipes!$B:$B,MATCH(A1910,Recipes!$A:$A,0)),"⚠ unknown recipe_id"))</f>
        <v/>
      </c>
      <c r="E1910" s="12" t="str">
        <f aca="false">IF(C1910="","",IFERROR(INDEX('Ingredient Catalog'!$C:$C,MATCH(C1910,'Ingredient Catalog'!$A:$A,0)),"⚠ not in catalog"))</f>
        <v/>
      </c>
      <c r="G1910" s="12" t="str">
        <f aca="false">IF(A1910="","",COUNTIFS('Weekly Log'!$A:$A,'Grocery List'!$B$3,'Weekly Log'!$C:$C,A1910,'Weekly Log'!$E:$E,"Yes"))</f>
        <v/>
      </c>
      <c r="H1910" s="12" t="str">
        <f aca="false">IF(OR(A1910="",D1910=""),"",D1910*G1910)</f>
        <v/>
      </c>
    </row>
    <row r="1911" customFormat="false" ht="15" hidden="false" customHeight="false" outlineLevel="0" collapsed="false">
      <c r="B1911" s="12" t="str">
        <f aca="false">IF(A1911="","",IFERROR(INDEX(Recipes!$B:$B,MATCH(A1911,Recipes!$A:$A,0)),"⚠ unknown recipe_id"))</f>
        <v/>
      </c>
      <c r="E1911" s="12" t="str">
        <f aca="false">IF(C1911="","",IFERROR(INDEX('Ingredient Catalog'!$C:$C,MATCH(C1911,'Ingredient Catalog'!$A:$A,0)),"⚠ not in catalog"))</f>
        <v/>
      </c>
      <c r="G1911" s="12" t="str">
        <f aca="false">IF(A1911="","",COUNTIFS('Weekly Log'!$A:$A,'Grocery List'!$B$3,'Weekly Log'!$C:$C,A1911,'Weekly Log'!$E:$E,"Yes"))</f>
        <v/>
      </c>
      <c r="H1911" s="12" t="str">
        <f aca="false">IF(OR(A1911="",D1911=""),"",D1911*G1911)</f>
        <v/>
      </c>
    </row>
    <row r="1912" customFormat="false" ht="15" hidden="false" customHeight="false" outlineLevel="0" collapsed="false">
      <c r="B1912" s="12" t="str">
        <f aca="false">IF(A1912="","",IFERROR(INDEX(Recipes!$B:$B,MATCH(A1912,Recipes!$A:$A,0)),"⚠ unknown recipe_id"))</f>
        <v/>
      </c>
      <c r="E1912" s="12" t="str">
        <f aca="false">IF(C1912="","",IFERROR(INDEX('Ingredient Catalog'!$C:$C,MATCH(C1912,'Ingredient Catalog'!$A:$A,0)),"⚠ not in catalog"))</f>
        <v/>
      </c>
      <c r="G1912" s="12" t="str">
        <f aca="false">IF(A1912="","",COUNTIFS('Weekly Log'!$A:$A,'Grocery List'!$B$3,'Weekly Log'!$C:$C,A1912,'Weekly Log'!$E:$E,"Yes"))</f>
        <v/>
      </c>
      <c r="H1912" s="12" t="str">
        <f aca="false">IF(OR(A1912="",D1912=""),"",D1912*G1912)</f>
        <v/>
      </c>
    </row>
    <row r="1913" customFormat="false" ht="15" hidden="false" customHeight="false" outlineLevel="0" collapsed="false">
      <c r="B1913" s="12" t="str">
        <f aca="false">IF(A1913="","",IFERROR(INDEX(Recipes!$B:$B,MATCH(A1913,Recipes!$A:$A,0)),"⚠ unknown recipe_id"))</f>
        <v/>
      </c>
      <c r="E1913" s="12" t="str">
        <f aca="false">IF(C1913="","",IFERROR(INDEX('Ingredient Catalog'!$C:$C,MATCH(C1913,'Ingredient Catalog'!$A:$A,0)),"⚠ not in catalog"))</f>
        <v/>
      </c>
      <c r="G1913" s="12" t="str">
        <f aca="false">IF(A1913="","",COUNTIFS('Weekly Log'!$A:$A,'Grocery List'!$B$3,'Weekly Log'!$C:$C,A1913,'Weekly Log'!$E:$E,"Yes"))</f>
        <v/>
      </c>
      <c r="H1913" s="12" t="str">
        <f aca="false">IF(OR(A1913="",D1913=""),"",D1913*G1913)</f>
        <v/>
      </c>
    </row>
    <row r="1914" customFormat="false" ht="15" hidden="false" customHeight="false" outlineLevel="0" collapsed="false">
      <c r="B1914" s="12" t="str">
        <f aca="false">IF(A1914="","",IFERROR(INDEX(Recipes!$B:$B,MATCH(A1914,Recipes!$A:$A,0)),"⚠ unknown recipe_id"))</f>
        <v/>
      </c>
      <c r="E1914" s="12" t="str">
        <f aca="false">IF(C1914="","",IFERROR(INDEX('Ingredient Catalog'!$C:$C,MATCH(C1914,'Ingredient Catalog'!$A:$A,0)),"⚠ not in catalog"))</f>
        <v/>
      </c>
      <c r="G1914" s="12" t="str">
        <f aca="false">IF(A1914="","",COUNTIFS('Weekly Log'!$A:$A,'Grocery List'!$B$3,'Weekly Log'!$C:$C,A1914,'Weekly Log'!$E:$E,"Yes"))</f>
        <v/>
      </c>
      <c r="H1914" s="12" t="str">
        <f aca="false">IF(OR(A1914="",D1914=""),"",D1914*G1914)</f>
        <v/>
      </c>
    </row>
    <row r="1915" customFormat="false" ht="15" hidden="false" customHeight="false" outlineLevel="0" collapsed="false">
      <c r="B1915" s="12" t="str">
        <f aca="false">IF(A1915="","",IFERROR(INDEX(Recipes!$B:$B,MATCH(A1915,Recipes!$A:$A,0)),"⚠ unknown recipe_id"))</f>
        <v/>
      </c>
      <c r="E1915" s="12" t="str">
        <f aca="false">IF(C1915="","",IFERROR(INDEX('Ingredient Catalog'!$C:$C,MATCH(C1915,'Ingredient Catalog'!$A:$A,0)),"⚠ not in catalog"))</f>
        <v/>
      </c>
      <c r="G1915" s="12" t="str">
        <f aca="false">IF(A1915="","",COUNTIFS('Weekly Log'!$A:$A,'Grocery List'!$B$3,'Weekly Log'!$C:$C,A1915,'Weekly Log'!$E:$E,"Yes"))</f>
        <v/>
      </c>
      <c r="H1915" s="12" t="str">
        <f aca="false">IF(OR(A1915="",D1915=""),"",D1915*G1915)</f>
        <v/>
      </c>
    </row>
    <row r="1916" customFormat="false" ht="15" hidden="false" customHeight="false" outlineLevel="0" collapsed="false">
      <c r="B1916" s="12" t="str">
        <f aca="false">IF(A1916="","",IFERROR(INDEX(Recipes!$B:$B,MATCH(A1916,Recipes!$A:$A,0)),"⚠ unknown recipe_id"))</f>
        <v/>
      </c>
      <c r="E1916" s="12" t="str">
        <f aca="false">IF(C1916="","",IFERROR(INDEX('Ingredient Catalog'!$C:$C,MATCH(C1916,'Ingredient Catalog'!$A:$A,0)),"⚠ not in catalog"))</f>
        <v/>
      </c>
      <c r="G1916" s="12" t="str">
        <f aca="false">IF(A1916="","",COUNTIFS('Weekly Log'!$A:$A,'Grocery List'!$B$3,'Weekly Log'!$C:$C,A1916,'Weekly Log'!$E:$E,"Yes"))</f>
        <v/>
      </c>
      <c r="H1916" s="12" t="str">
        <f aca="false">IF(OR(A1916="",D1916=""),"",D1916*G1916)</f>
        <v/>
      </c>
    </row>
    <row r="1917" customFormat="false" ht="15" hidden="false" customHeight="false" outlineLevel="0" collapsed="false">
      <c r="B1917" s="12" t="str">
        <f aca="false">IF(A1917="","",IFERROR(INDEX(Recipes!$B:$B,MATCH(A1917,Recipes!$A:$A,0)),"⚠ unknown recipe_id"))</f>
        <v/>
      </c>
      <c r="E1917" s="12" t="str">
        <f aca="false">IF(C1917="","",IFERROR(INDEX('Ingredient Catalog'!$C:$C,MATCH(C1917,'Ingredient Catalog'!$A:$A,0)),"⚠ not in catalog"))</f>
        <v/>
      </c>
      <c r="G1917" s="12" t="str">
        <f aca="false">IF(A1917="","",COUNTIFS('Weekly Log'!$A:$A,'Grocery List'!$B$3,'Weekly Log'!$C:$C,A1917,'Weekly Log'!$E:$E,"Yes"))</f>
        <v/>
      </c>
      <c r="H1917" s="12" t="str">
        <f aca="false">IF(OR(A1917="",D1917=""),"",D1917*G1917)</f>
        <v/>
      </c>
    </row>
    <row r="1918" customFormat="false" ht="15" hidden="false" customHeight="false" outlineLevel="0" collapsed="false">
      <c r="B1918" s="12" t="str">
        <f aca="false">IF(A1918="","",IFERROR(INDEX(Recipes!$B:$B,MATCH(A1918,Recipes!$A:$A,0)),"⚠ unknown recipe_id"))</f>
        <v/>
      </c>
      <c r="E1918" s="12" t="str">
        <f aca="false">IF(C1918="","",IFERROR(INDEX('Ingredient Catalog'!$C:$C,MATCH(C1918,'Ingredient Catalog'!$A:$A,0)),"⚠ not in catalog"))</f>
        <v/>
      </c>
      <c r="G1918" s="12" t="str">
        <f aca="false">IF(A1918="","",COUNTIFS('Weekly Log'!$A:$A,'Grocery List'!$B$3,'Weekly Log'!$C:$C,A1918,'Weekly Log'!$E:$E,"Yes"))</f>
        <v/>
      </c>
      <c r="H1918" s="12" t="str">
        <f aca="false">IF(OR(A1918="",D1918=""),"",D1918*G1918)</f>
        <v/>
      </c>
    </row>
    <row r="1919" customFormat="false" ht="15" hidden="false" customHeight="false" outlineLevel="0" collapsed="false">
      <c r="B1919" s="12" t="str">
        <f aca="false">IF(A1919="","",IFERROR(INDEX(Recipes!$B:$B,MATCH(A1919,Recipes!$A:$A,0)),"⚠ unknown recipe_id"))</f>
        <v/>
      </c>
      <c r="E1919" s="12" t="str">
        <f aca="false">IF(C1919="","",IFERROR(INDEX('Ingredient Catalog'!$C:$C,MATCH(C1919,'Ingredient Catalog'!$A:$A,0)),"⚠ not in catalog"))</f>
        <v/>
      </c>
      <c r="G1919" s="12" t="str">
        <f aca="false">IF(A1919="","",COUNTIFS('Weekly Log'!$A:$A,'Grocery List'!$B$3,'Weekly Log'!$C:$C,A1919,'Weekly Log'!$E:$E,"Yes"))</f>
        <v/>
      </c>
      <c r="H1919" s="12" t="str">
        <f aca="false">IF(OR(A1919="",D1919=""),"",D1919*G1919)</f>
        <v/>
      </c>
    </row>
    <row r="1920" customFormat="false" ht="15" hidden="false" customHeight="false" outlineLevel="0" collapsed="false">
      <c r="B1920" s="12" t="str">
        <f aca="false">IF(A1920="","",IFERROR(INDEX(Recipes!$B:$B,MATCH(A1920,Recipes!$A:$A,0)),"⚠ unknown recipe_id"))</f>
        <v/>
      </c>
      <c r="E1920" s="12" t="str">
        <f aca="false">IF(C1920="","",IFERROR(INDEX('Ingredient Catalog'!$C:$C,MATCH(C1920,'Ingredient Catalog'!$A:$A,0)),"⚠ not in catalog"))</f>
        <v/>
      </c>
      <c r="G1920" s="12" t="str">
        <f aca="false">IF(A1920="","",COUNTIFS('Weekly Log'!$A:$A,'Grocery List'!$B$3,'Weekly Log'!$C:$C,A1920,'Weekly Log'!$E:$E,"Yes"))</f>
        <v/>
      </c>
      <c r="H1920" s="12" t="str">
        <f aca="false">IF(OR(A1920="",D1920=""),"",D1920*G1920)</f>
        <v/>
      </c>
    </row>
    <row r="1921" customFormat="false" ht="15" hidden="false" customHeight="false" outlineLevel="0" collapsed="false">
      <c r="B1921" s="12" t="str">
        <f aca="false">IF(A1921="","",IFERROR(INDEX(Recipes!$B:$B,MATCH(A1921,Recipes!$A:$A,0)),"⚠ unknown recipe_id"))</f>
        <v/>
      </c>
      <c r="E1921" s="12" t="str">
        <f aca="false">IF(C1921="","",IFERROR(INDEX('Ingredient Catalog'!$C:$C,MATCH(C1921,'Ingredient Catalog'!$A:$A,0)),"⚠ not in catalog"))</f>
        <v/>
      </c>
      <c r="G1921" s="12" t="str">
        <f aca="false">IF(A1921="","",COUNTIFS('Weekly Log'!$A:$A,'Grocery List'!$B$3,'Weekly Log'!$C:$C,A1921,'Weekly Log'!$E:$E,"Yes"))</f>
        <v/>
      </c>
      <c r="H1921" s="12" t="str">
        <f aca="false">IF(OR(A1921="",D1921=""),"",D1921*G1921)</f>
        <v/>
      </c>
    </row>
    <row r="1922" customFormat="false" ht="15" hidden="false" customHeight="false" outlineLevel="0" collapsed="false">
      <c r="B1922" s="12" t="str">
        <f aca="false">IF(A1922="","",IFERROR(INDEX(Recipes!$B:$B,MATCH(A1922,Recipes!$A:$A,0)),"⚠ unknown recipe_id"))</f>
        <v/>
      </c>
      <c r="E1922" s="12" t="str">
        <f aca="false">IF(C1922="","",IFERROR(INDEX('Ingredient Catalog'!$C:$C,MATCH(C1922,'Ingredient Catalog'!$A:$A,0)),"⚠ not in catalog"))</f>
        <v/>
      </c>
      <c r="G1922" s="12" t="str">
        <f aca="false">IF(A1922="","",COUNTIFS('Weekly Log'!$A:$A,'Grocery List'!$B$3,'Weekly Log'!$C:$C,A1922,'Weekly Log'!$E:$E,"Yes"))</f>
        <v/>
      </c>
      <c r="H1922" s="12" t="str">
        <f aca="false">IF(OR(A1922="",D1922=""),"",D1922*G1922)</f>
        <v/>
      </c>
    </row>
    <row r="1923" customFormat="false" ht="15" hidden="false" customHeight="false" outlineLevel="0" collapsed="false">
      <c r="B1923" s="12" t="str">
        <f aca="false">IF(A1923="","",IFERROR(INDEX(Recipes!$B:$B,MATCH(A1923,Recipes!$A:$A,0)),"⚠ unknown recipe_id"))</f>
        <v/>
      </c>
      <c r="E1923" s="12" t="str">
        <f aca="false">IF(C1923="","",IFERROR(INDEX('Ingredient Catalog'!$C:$C,MATCH(C1923,'Ingredient Catalog'!$A:$A,0)),"⚠ not in catalog"))</f>
        <v/>
      </c>
      <c r="G1923" s="12" t="str">
        <f aca="false">IF(A1923="","",COUNTIFS('Weekly Log'!$A:$A,'Grocery List'!$B$3,'Weekly Log'!$C:$C,A1923,'Weekly Log'!$E:$E,"Yes"))</f>
        <v/>
      </c>
      <c r="H1923" s="12" t="str">
        <f aca="false">IF(OR(A1923="",D1923=""),"",D1923*G1923)</f>
        <v/>
      </c>
    </row>
    <row r="1924" customFormat="false" ht="15" hidden="false" customHeight="false" outlineLevel="0" collapsed="false">
      <c r="B1924" s="12" t="str">
        <f aca="false">IF(A1924="","",IFERROR(INDEX(Recipes!$B:$B,MATCH(A1924,Recipes!$A:$A,0)),"⚠ unknown recipe_id"))</f>
        <v/>
      </c>
      <c r="E1924" s="12" t="str">
        <f aca="false">IF(C1924="","",IFERROR(INDEX('Ingredient Catalog'!$C:$C,MATCH(C1924,'Ingredient Catalog'!$A:$A,0)),"⚠ not in catalog"))</f>
        <v/>
      </c>
      <c r="G1924" s="12" t="str">
        <f aca="false">IF(A1924="","",COUNTIFS('Weekly Log'!$A:$A,'Grocery List'!$B$3,'Weekly Log'!$C:$C,A1924,'Weekly Log'!$E:$E,"Yes"))</f>
        <v/>
      </c>
      <c r="H1924" s="12" t="str">
        <f aca="false">IF(OR(A1924="",D1924=""),"",D1924*G1924)</f>
        <v/>
      </c>
    </row>
    <row r="1925" customFormat="false" ht="15" hidden="false" customHeight="false" outlineLevel="0" collapsed="false">
      <c r="B1925" s="12" t="str">
        <f aca="false">IF(A1925="","",IFERROR(INDEX(Recipes!$B:$B,MATCH(A1925,Recipes!$A:$A,0)),"⚠ unknown recipe_id"))</f>
        <v/>
      </c>
      <c r="E1925" s="12" t="str">
        <f aca="false">IF(C1925="","",IFERROR(INDEX('Ingredient Catalog'!$C:$C,MATCH(C1925,'Ingredient Catalog'!$A:$A,0)),"⚠ not in catalog"))</f>
        <v/>
      </c>
      <c r="G1925" s="12" t="str">
        <f aca="false">IF(A1925="","",COUNTIFS('Weekly Log'!$A:$A,'Grocery List'!$B$3,'Weekly Log'!$C:$C,A1925,'Weekly Log'!$E:$E,"Yes"))</f>
        <v/>
      </c>
      <c r="H1925" s="12" t="str">
        <f aca="false">IF(OR(A1925="",D1925=""),"",D1925*G1925)</f>
        <v/>
      </c>
    </row>
    <row r="1926" customFormat="false" ht="15" hidden="false" customHeight="false" outlineLevel="0" collapsed="false">
      <c r="B1926" s="12" t="str">
        <f aca="false">IF(A1926="","",IFERROR(INDEX(Recipes!$B:$B,MATCH(A1926,Recipes!$A:$A,0)),"⚠ unknown recipe_id"))</f>
        <v/>
      </c>
      <c r="E1926" s="12" t="str">
        <f aca="false">IF(C1926="","",IFERROR(INDEX('Ingredient Catalog'!$C:$C,MATCH(C1926,'Ingredient Catalog'!$A:$A,0)),"⚠ not in catalog"))</f>
        <v/>
      </c>
      <c r="G1926" s="12" t="str">
        <f aca="false">IF(A1926="","",COUNTIFS('Weekly Log'!$A:$A,'Grocery List'!$B$3,'Weekly Log'!$C:$C,A1926,'Weekly Log'!$E:$E,"Yes"))</f>
        <v/>
      </c>
      <c r="H1926" s="12" t="str">
        <f aca="false">IF(OR(A1926="",D1926=""),"",D1926*G1926)</f>
        <v/>
      </c>
    </row>
    <row r="1927" customFormat="false" ht="15" hidden="false" customHeight="false" outlineLevel="0" collapsed="false">
      <c r="B1927" s="12" t="str">
        <f aca="false">IF(A1927="","",IFERROR(INDEX(Recipes!$B:$B,MATCH(A1927,Recipes!$A:$A,0)),"⚠ unknown recipe_id"))</f>
        <v/>
      </c>
      <c r="E1927" s="12" t="str">
        <f aca="false">IF(C1927="","",IFERROR(INDEX('Ingredient Catalog'!$C:$C,MATCH(C1927,'Ingredient Catalog'!$A:$A,0)),"⚠ not in catalog"))</f>
        <v/>
      </c>
      <c r="G1927" s="12" t="str">
        <f aca="false">IF(A1927="","",COUNTIFS('Weekly Log'!$A:$A,'Grocery List'!$B$3,'Weekly Log'!$C:$C,A1927,'Weekly Log'!$E:$E,"Yes"))</f>
        <v/>
      </c>
      <c r="H1927" s="12" t="str">
        <f aca="false">IF(OR(A1927="",D1927=""),"",D1927*G1927)</f>
        <v/>
      </c>
    </row>
    <row r="1928" customFormat="false" ht="15" hidden="false" customHeight="false" outlineLevel="0" collapsed="false">
      <c r="B1928" s="12" t="str">
        <f aca="false">IF(A1928="","",IFERROR(INDEX(Recipes!$B:$B,MATCH(A1928,Recipes!$A:$A,0)),"⚠ unknown recipe_id"))</f>
        <v/>
      </c>
      <c r="E1928" s="12" t="str">
        <f aca="false">IF(C1928="","",IFERROR(INDEX('Ingredient Catalog'!$C:$C,MATCH(C1928,'Ingredient Catalog'!$A:$A,0)),"⚠ not in catalog"))</f>
        <v/>
      </c>
      <c r="G1928" s="12" t="str">
        <f aca="false">IF(A1928="","",COUNTIFS('Weekly Log'!$A:$A,'Grocery List'!$B$3,'Weekly Log'!$C:$C,A1928,'Weekly Log'!$E:$E,"Yes"))</f>
        <v/>
      </c>
      <c r="H1928" s="12" t="str">
        <f aca="false">IF(OR(A1928="",D1928=""),"",D1928*G1928)</f>
        <v/>
      </c>
    </row>
    <row r="1929" customFormat="false" ht="15" hidden="false" customHeight="false" outlineLevel="0" collapsed="false">
      <c r="B1929" s="12" t="str">
        <f aca="false">IF(A1929="","",IFERROR(INDEX(Recipes!$B:$B,MATCH(A1929,Recipes!$A:$A,0)),"⚠ unknown recipe_id"))</f>
        <v/>
      </c>
      <c r="E1929" s="12" t="str">
        <f aca="false">IF(C1929="","",IFERROR(INDEX('Ingredient Catalog'!$C:$C,MATCH(C1929,'Ingredient Catalog'!$A:$A,0)),"⚠ not in catalog"))</f>
        <v/>
      </c>
      <c r="G1929" s="12" t="str">
        <f aca="false">IF(A1929="","",COUNTIFS('Weekly Log'!$A:$A,'Grocery List'!$B$3,'Weekly Log'!$C:$C,A1929,'Weekly Log'!$E:$E,"Yes"))</f>
        <v/>
      </c>
      <c r="H1929" s="12" t="str">
        <f aca="false">IF(OR(A1929="",D1929=""),"",D1929*G1929)</f>
        <v/>
      </c>
    </row>
    <row r="1930" customFormat="false" ht="15" hidden="false" customHeight="false" outlineLevel="0" collapsed="false">
      <c r="B1930" s="12" t="str">
        <f aca="false">IF(A1930="","",IFERROR(INDEX(Recipes!$B:$B,MATCH(A1930,Recipes!$A:$A,0)),"⚠ unknown recipe_id"))</f>
        <v/>
      </c>
      <c r="E1930" s="12" t="str">
        <f aca="false">IF(C1930="","",IFERROR(INDEX('Ingredient Catalog'!$C:$C,MATCH(C1930,'Ingredient Catalog'!$A:$A,0)),"⚠ not in catalog"))</f>
        <v/>
      </c>
      <c r="G1930" s="12" t="str">
        <f aca="false">IF(A1930="","",COUNTIFS('Weekly Log'!$A:$A,'Grocery List'!$B$3,'Weekly Log'!$C:$C,A1930,'Weekly Log'!$E:$E,"Yes"))</f>
        <v/>
      </c>
      <c r="H1930" s="12" t="str">
        <f aca="false">IF(OR(A1930="",D1930=""),"",D1930*G1930)</f>
        <v/>
      </c>
    </row>
    <row r="1931" customFormat="false" ht="15" hidden="false" customHeight="false" outlineLevel="0" collapsed="false">
      <c r="B1931" s="12" t="str">
        <f aca="false">IF(A1931="","",IFERROR(INDEX(Recipes!$B:$B,MATCH(A1931,Recipes!$A:$A,0)),"⚠ unknown recipe_id"))</f>
        <v/>
      </c>
      <c r="E1931" s="12" t="str">
        <f aca="false">IF(C1931="","",IFERROR(INDEX('Ingredient Catalog'!$C:$C,MATCH(C1931,'Ingredient Catalog'!$A:$A,0)),"⚠ not in catalog"))</f>
        <v/>
      </c>
      <c r="G1931" s="12" t="str">
        <f aca="false">IF(A1931="","",COUNTIFS('Weekly Log'!$A:$A,'Grocery List'!$B$3,'Weekly Log'!$C:$C,A1931,'Weekly Log'!$E:$E,"Yes"))</f>
        <v/>
      </c>
      <c r="H1931" s="12" t="str">
        <f aca="false">IF(OR(A1931="",D1931=""),"",D1931*G1931)</f>
        <v/>
      </c>
    </row>
    <row r="1932" customFormat="false" ht="15" hidden="false" customHeight="false" outlineLevel="0" collapsed="false">
      <c r="B1932" s="12" t="str">
        <f aca="false">IF(A1932="","",IFERROR(INDEX(Recipes!$B:$B,MATCH(A1932,Recipes!$A:$A,0)),"⚠ unknown recipe_id"))</f>
        <v/>
      </c>
      <c r="E1932" s="12" t="str">
        <f aca="false">IF(C1932="","",IFERROR(INDEX('Ingredient Catalog'!$C:$C,MATCH(C1932,'Ingredient Catalog'!$A:$A,0)),"⚠ not in catalog"))</f>
        <v/>
      </c>
      <c r="G1932" s="12" t="str">
        <f aca="false">IF(A1932="","",COUNTIFS('Weekly Log'!$A:$A,'Grocery List'!$B$3,'Weekly Log'!$C:$C,A1932,'Weekly Log'!$E:$E,"Yes"))</f>
        <v/>
      </c>
      <c r="H1932" s="12" t="str">
        <f aca="false">IF(OR(A1932="",D1932=""),"",D1932*G1932)</f>
        <v/>
      </c>
    </row>
    <row r="1933" customFormat="false" ht="15" hidden="false" customHeight="false" outlineLevel="0" collapsed="false">
      <c r="B1933" s="12" t="str">
        <f aca="false">IF(A1933="","",IFERROR(INDEX(Recipes!$B:$B,MATCH(A1933,Recipes!$A:$A,0)),"⚠ unknown recipe_id"))</f>
        <v/>
      </c>
      <c r="E1933" s="12" t="str">
        <f aca="false">IF(C1933="","",IFERROR(INDEX('Ingredient Catalog'!$C:$C,MATCH(C1933,'Ingredient Catalog'!$A:$A,0)),"⚠ not in catalog"))</f>
        <v/>
      </c>
      <c r="G1933" s="12" t="str">
        <f aca="false">IF(A1933="","",COUNTIFS('Weekly Log'!$A:$A,'Grocery List'!$B$3,'Weekly Log'!$C:$C,A1933,'Weekly Log'!$E:$E,"Yes"))</f>
        <v/>
      </c>
      <c r="H1933" s="12" t="str">
        <f aca="false">IF(OR(A1933="",D1933=""),"",D1933*G1933)</f>
        <v/>
      </c>
    </row>
    <row r="1934" customFormat="false" ht="15" hidden="false" customHeight="false" outlineLevel="0" collapsed="false">
      <c r="B1934" s="12" t="str">
        <f aca="false">IF(A1934="","",IFERROR(INDEX(Recipes!$B:$B,MATCH(A1934,Recipes!$A:$A,0)),"⚠ unknown recipe_id"))</f>
        <v/>
      </c>
      <c r="E1934" s="12" t="str">
        <f aca="false">IF(C1934="","",IFERROR(INDEX('Ingredient Catalog'!$C:$C,MATCH(C1934,'Ingredient Catalog'!$A:$A,0)),"⚠ not in catalog"))</f>
        <v/>
      </c>
      <c r="G1934" s="12" t="str">
        <f aca="false">IF(A1934="","",COUNTIFS('Weekly Log'!$A:$A,'Grocery List'!$B$3,'Weekly Log'!$C:$C,A1934,'Weekly Log'!$E:$E,"Yes"))</f>
        <v/>
      </c>
      <c r="H1934" s="12" t="str">
        <f aca="false">IF(OR(A1934="",D1934=""),"",D1934*G1934)</f>
        <v/>
      </c>
    </row>
    <row r="1935" customFormat="false" ht="15" hidden="false" customHeight="false" outlineLevel="0" collapsed="false">
      <c r="B1935" s="12" t="str">
        <f aca="false">IF(A1935="","",IFERROR(INDEX(Recipes!$B:$B,MATCH(A1935,Recipes!$A:$A,0)),"⚠ unknown recipe_id"))</f>
        <v/>
      </c>
      <c r="E1935" s="12" t="str">
        <f aca="false">IF(C1935="","",IFERROR(INDEX('Ingredient Catalog'!$C:$C,MATCH(C1935,'Ingredient Catalog'!$A:$A,0)),"⚠ not in catalog"))</f>
        <v/>
      </c>
      <c r="G1935" s="12" t="str">
        <f aca="false">IF(A1935="","",COUNTIFS('Weekly Log'!$A:$A,'Grocery List'!$B$3,'Weekly Log'!$C:$C,A1935,'Weekly Log'!$E:$E,"Yes"))</f>
        <v/>
      </c>
      <c r="H1935" s="12" t="str">
        <f aca="false">IF(OR(A1935="",D1935=""),"",D1935*G1935)</f>
        <v/>
      </c>
    </row>
    <row r="1936" customFormat="false" ht="15" hidden="false" customHeight="false" outlineLevel="0" collapsed="false">
      <c r="B1936" s="12" t="str">
        <f aca="false">IF(A1936="","",IFERROR(INDEX(Recipes!$B:$B,MATCH(A1936,Recipes!$A:$A,0)),"⚠ unknown recipe_id"))</f>
        <v/>
      </c>
      <c r="E1936" s="12" t="str">
        <f aca="false">IF(C1936="","",IFERROR(INDEX('Ingredient Catalog'!$C:$C,MATCH(C1936,'Ingredient Catalog'!$A:$A,0)),"⚠ not in catalog"))</f>
        <v/>
      </c>
      <c r="G1936" s="12" t="str">
        <f aca="false">IF(A1936="","",COUNTIFS('Weekly Log'!$A:$A,'Grocery List'!$B$3,'Weekly Log'!$C:$C,A1936,'Weekly Log'!$E:$E,"Yes"))</f>
        <v/>
      </c>
      <c r="H1936" s="12" t="str">
        <f aca="false">IF(OR(A1936="",D1936=""),"",D1936*G1936)</f>
        <v/>
      </c>
    </row>
    <row r="1937" customFormat="false" ht="15" hidden="false" customHeight="false" outlineLevel="0" collapsed="false">
      <c r="B1937" s="12" t="str">
        <f aca="false">IF(A1937="","",IFERROR(INDEX(Recipes!$B:$B,MATCH(A1937,Recipes!$A:$A,0)),"⚠ unknown recipe_id"))</f>
        <v/>
      </c>
      <c r="E1937" s="12" t="str">
        <f aca="false">IF(C1937="","",IFERROR(INDEX('Ingredient Catalog'!$C:$C,MATCH(C1937,'Ingredient Catalog'!$A:$A,0)),"⚠ not in catalog"))</f>
        <v/>
      </c>
      <c r="G1937" s="12" t="str">
        <f aca="false">IF(A1937="","",COUNTIFS('Weekly Log'!$A:$A,'Grocery List'!$B$3,'Weekly Log'!$C:$C,A1937,'Weekly Log'!$E:$E,"Yes"))</f>
        <v/>
      </c>
      <c r="H1937" s="12" t="str">
        <f aca="false">IF(OR(A1937="",D1937=""),"",D1937*G1937)</f>
        <v/>
      </c>
    </row>
    <row r="1938" customFormat="false" ht="15" hidden="false" customHeight="false" outlineLevel="0" collapsed="false">
      <c r="B1938" s="12" t="str">
        <f aca="false">IF(A1938="","",IFERROR(INDEX(Recipes!$B:$B,MATCH(A1938,Recipes!$A:$A,0)),"⚠ unknown recipe_id"))</f>
        <v/>
      </c>
      <c r="E1938" s="12" t="str">
        <f aca="false">IF(C1938="","",IFERROR(INDEX('Ingredient Catalog'!$C:$C,MATCH(C1938,'Ingredient Catalog'!$A:$A,0)),"⚠ not in catalog"))</f>
        <v/>
      </c>
      <c r="G1938" s="12" t="str">
        <f aca="false">IF(A1938="","",COUNTIFS('Weekly Log'!$A:$A,'Grocery List'!$B$3,'Weekly Log'!$C:$C,A1938,'Weekly Log'!$E:$E,"Yes"))</f>
        <v/>
      </c>
      <c r="H1938" s="12" t="str">
        <f aca="false">IF(OR(A1938="",D1938=""),"",D1938*G1938)</f>
        <v/>
      </c>
    </row>
    <row r="1939" customFormat="false" ht="15" hidden="false" customHeight="false" outlineLevel="0" collapsed="false">
      <c r="B1939" s="12" t="str">
        <f aca="false">IF(A1939="","",IFERROR(INDEX(Recipes!$B:$B,MATCH(A1939,Recipes!$A:$A,0)),"⚠ unknown recipe_id"))</f>
        <v/>
      </c>
      <c r="E1939" s="12" t="str">
        <f aca="false">IF(C1939="","",IFERROR(INDEX('Ingredient Catalog'!$C:$C,MATCH(C1939,'Ingredient Catalog'!$A:$A,0)),"⚠ not in catalog"))</f>
        <v/>
      </c>
      <c r="G1939" s="12" t="str">
        <f aca="false">IF(A1939="","",COUNTIFS('Weekly Log'!$A:$A,'Grocery List'!$B$3,'Weekly Log'!$C:$C,A1939,'Weekly Log'!$E:$E,"Yes"))</f>
        <v/>
      </c>
      <c r="H1939" s="12" t="str">
        <f aca="false">IF(OR(A1939="",D1939=""),"",D1939*G1939)</f>
        <v/>
      </c>
    </row>
    <row r="1940" customFormat="false" ht="15" hidden="false" customHeight="false" outlineLevel="0" collapsed="false">
      <c r="B1940" s="12" t="str">
        <f aca="false">IF(A1940="","",IFERROR(INDEX(Recipes!$B:$B,MATCH(A1940,Recipes!$A:$A,0)),"⚠ unknown recipe_id"))</f>
        <v/>
      </c>
      <c r="E1940" s="12" t="str">
        <f aca="false">IF(C1940="","",IFERROR(INDEX('Ingredient Catalog'!$C:$C,MATCH(C1940,'Ingredient Catalog'!$A:$A,0)),"⚠ not in catalog"))</f>
        <v/>
      </c>
      <c r="G1940" s="12" t="str">
        <f aca="false">IF(A1940="","",COUNTIFS('Weekly Log'!$A:$A,'Grocery List'!$B$3,'Weekly Log'!$C:$C,A1940,'Weekly Log'!$E:$E,"Yes"))</f>
        <v/>
      </c>
      <c r="H1940" s="12" t="str">
        <f aca="false">IF(OR(A1940="",D1940=""),"",D1940*G1940)</f>
        <v/>
      </c>
    </row>
    <row r="1941" customFormat="false" ht="15" hidden="false" customHeight="false" outlineLevel="0" collapsed="false">
      <c r="B1941" s="12" t="str">
        <f aca="false">IF(A1941="","",IFERROR(INDEX(Recipes!$B:$B,MATCH(A1941,Recipes!$A:$A,0)),"⚠ unknown recipe_id"))</f>
        <v/>
      </c>
      <c r="E1941" s="12" t="str">
        <f aca="false">IF(C1941="","",IFERROR(INDEX('Ingredient Catalog'!$C:$C,MATCH(C1941,'Ingredient Catalog'!$A:$A,0)),"⚠ not in catalog"))</f>
        <v/>
      </c>
      <c r="G1941" s="12" t="str">
        <f aca="false">IF(A1941="","",COUNTIFS('Weekly Log'!$A:$A,'Grocery List'!$B$3,'Weekly Log'!$C:$C,A1941,'Weekly Log'!$E:$E,"Yes"))</f>
        <v/>
      </c>
      <c r="H1941" s="12" t="str">
        <f aca="false">IF(OR(A1941="",D1941=""),"",D1941*G1941)</f>
        <v/>
      </c>
    </row>
    <row r="1942" customFormat="false" ht="15" hidden="false" customHeight="false" outlineLevel="0" collapsed="false">
      <c r="B1942" s="12" t="str">
        <f aca="false">IF(A1942="","",IFERROR(INDEX(Recipes!$B:$B,MATCH(A1942,Recipes!$A:$A,0)),"⚠ unknown recipe_id"))</f>
        <v/>
      </c>
      <c r="E1942" s="12" t="str">
        <f aca="false">IF(C1942="","",IFERROR(INDEX('Ingredient Catalog'!$C:$C,MATCH(C1942,'Ingredient Catalog'!$A:$A,0)),"⚠ not in catalog"))</f>
        <v/>
      </c>
      <c r="G1942" s="12" t="str">
        <f aca="false">IF(A1942="","",COUNTIFS('Weekly Log'!$A:$A,'Grocery List'!$B$3,'Weekly Log'!$C:$C,A1942,'Weekly Log'!$E:$E,"Yes"))</f>
        <v/>
      </c>
      <c r="H1942" s="12" t="str">
        <f aca="false">IF(OR(A1942="",D1942=""),"",D1942*G1942)</f>
        <v/>
      </c>
    </row>
    <row r="1943" customFormat="false" ht="15" hidden="false" customHeight="false" outlineLevel="0" collapsed="false">
      <c r="B1943" s="12" t="str">
        <f aca="false">IF(A1943="","",IFERROR(INDEX(Recipes!$B:$B,MATCH(A1943,Recipes!$A:$A,0)),"⚠ unknown recipe_id"))</f>
        <v/>
      </c>
      <c r="E1943" s="12" t="str">
        <f aca="false">IF(C1943="","",IFERROR(INDEX('Ingredient Catalog'!$C:$C,MATCH(C1943,'Ingredient Catalog'!$A:$A,0)),"⚠ not in catalog"))</f>
        <v/>
      </c>
      <c r="G1943" s="12" t="str">
        <f aca="false">IF(A1943="","",COUNTIFS('Weekly Log'!$A:$A,'Grocery List'!$B$3,'Weekly Log'!$C:$C,A1943,'Weekly Log'!$E:$E,"Yes"))</f>
        <v/>
      </c>
      <c r="H1943" s="12" t="str">
        <f aca="false">IF(OR(A1943="",D1943=""),"",D1943*G1943)</f>
        <v/>
      </c>
    </row>
    <row r="1944" customFormat="false" ht="15" hidden="false" customHeight="false" outlineLevel="0" collapsed="false">
      <c r="B1944" s="12" t="str">
        <f aca="false">IF(A1944="","",IFERROR(INDEX(Recipes!$B:$B,MATCH(A1944,Recipes!$A:$A,0)),"⚠ unknown recipe_id"))</f>
        <v/>
      </c>
      <c r="E1944" s="12" t="str">
        <f aca="false">IF(C1944="","",IFERROR(INDEX('Ingredient Catalog'!$C:$C,MATCH(C1944,'Ingredient Catalog'!$A:$A,0)),"⚠ not in catalog"))</f>
        <v/>
      </c>
      <c r="G1944" s="12" t="str">
        <f aca="false">IF(A1944="","",COUNTIFS('Weekly Log'!$A:$A,'Grocery List'!$B$3,'Weekly Log'!$C:$C,A1944,'Weekly Log'!$E:$E,"Yes"))</f>
        <v/>
      </c>
      <c r="H1944" s="12" t="str">
        <f aca="false">IF(OR(A1944="",D1944=""),"",D1944*G1944)</f>
        <v/>
      </c>
    </row>
    <row r="1945" customFormat="false" ht="15" hidden="false" customHeight="false" outlineLevel="0" collapsed="false">
      <c r="B1945" s="12" t="str">
        <f aca="false">IF(A1945="","",IFERROR(INDEX(Recipes!$B:$B,MATCH(A1945,Recipes!$A:$A,0)),"⚠ unknown recipe_id"))</f>
        <v/>
      </c>
      <c r="E1945" s="12" t="str">
        <f aca="false">IF(C1945="","",IFERROR(INDEX('Ingredient Catalog'!$C:$C,MATCH(C1945,'Ingredient Catalog'!$A:$A,0)),"⚠ not in catalog"))</f>
        <v/>
      </c>
      <c r="G1945" s="12" t="str">
        <f aca="false">IF(A1945="","",COUNTIFS('Weekly Log'!$A:$A,'Grocery List'!$B$3,'Weekly Log'!$C:$C,A1945,'Weekly Log'!$E:$E,"Yes"))</f>
        <v/>
      </c>
      <c r="H1945" s="12" t="str">
        <f aca="false">IF(OR(A1945="",D1945=""),"",D1945*G1945)</f>
        <v/>
      </c>
    </row>
    <row r="1946" customFormat="false" ht="15" hidden="false" customHeight="false" outlineLevel="0" collapsed="false">
      <c r="B1946" s="12" t="str">
        <f aca="false">IF(A1946="","",IFERROR(INDEX(Recipes!$B:$B,MATCH(A1946,Recipes!$A:$A,0)),"⚠ unknown recipe_id"))</f>
        <v/>
      </c>
      <c r="E1946" s="12" t="str">
        <f aca="false">IF(C1946="","",IFERROR(INDEX('Ingredient Catalog'!$C:$C,MATCH(C1946,'Ingredient Catalog'!$A:$A,0)),"⚠ not in catalog"))</f>
        <v/>
      </c>
      <c r="G1946" s="12" t="str">
        <f aca="false">IF(A1946="","",COUNTIFS('Weekly Log'!$A:$A,'Grocery List'!$B$3,'Weekly Log'!$C:$C,A1946,'Weekly Log'!$E:$E,"Yes"))</f>
        <v/>
      </c>
      <c r="H1946" s="12" t="str">
        <f aca="false">IF(OR(A1946="",D1946=""),"",D1946*G1946)</f>
        <v/>
      </c>
    </row>
    <row r="1947" customFormat="false" ht="15" hidden="false" customHeight="false" outlineLevel="0" collapsed="false">
      <c r="B1947" s="12" t="str">
        <f aca="false">IF(A1947="","",IFERROR(INDEX(Recipes!$B:$B,MATCH(A1947,Recipes!$A:$A,0)),"⚠ unknown recipe_id"))</f>
        <v/>
      </c>
      <c r="E1947" s="12" t="str">
        <f aca="false">IF(C1947="","",IFERROR(INDEX('Ingredient Catalog'!$C:$C,MATCH(C1947,'Ingredient Catalog'!$A:$A,0)),"⚠ not in catalog"))</f>
        <v/>
      </c>
      <c r="G1947" s="12" t="str">
        <f aca="false">IF(A1947="","",COUNTIFS('Weekly Log'!$A:$A,'Grocery List'!$B$3,'Weekly Log'!$C:$C,A1947,'Weekly Log'!$E:$E,"Yes"))</f>
        <v/>
      </c>
      <c r="H1947" s="12" t="str">
        <f aca="false">IF(OR(A1947="",D1947=""),"",D1947*G1947)</f>
        <v/>
      </c>
    </row>
    <row r="1948" customFormat="false" ht="15" hidden="false" customHeight="false" outlineLevel="0" collapsed="false">
      <c r="B1948" s="12" t="str">
        <f aca="false">IF(A1948="","",IFERROR(INDEX(Recipes!$B:$B,MATCH(A1948,Recipes!$A:$A,0)),"⚠ unknown recipe_id"))</f>
        <v/>
      </c>
      <c r="E1948" s="12" t="str">
        <f aca="false">IF(C1948="","",IFERROR(INDEX('Ingredient Catalog'!$C:$C,MATCH(C1948,'Ingredient Catalog'!$A:$A,0)),"⚠ not in catalog"))</f>
        <v/>
      </c>
      <c r="G1948" s="12" t="str">
        <f aca="false">IF(A1948="","",COUNTIFS('Weekly Log'!$A:$A,'Grocery List'!$B$3,'Weekly Log'!$C:$C,A1948,'Weekly Log'!$E:$E,"Yes"))</f>
        <v/>
      </c>
      <c r="H1948" s="12" t="str">
        <f aca="false">IF(OR(A1948="",D1948=""),"",D1948*G1948)</f>
        <v/>
      </c>
    </row>
    <row r="1949" customFormat="false" ht="15" hidden="false" customHeight="false" outlineLevel="0" collapsed="false">
      <c r="B1949" s="12" t="str">
        <f aca="false">IF(A1949="","",IFERROR(INDEX(Recipes!$B:$B,MATCH(A1949,Recipes!$A:$A,0)),"⚠ unknown recipe_id"))</f>
        <v/>
      </c>
      <c r="E1949" s="12" t="str">
        <f aca="false">IF(C1949="","",IFERROR(INDEX('Ingredient Catalog'!$C:$C,MATCH(C1949,'Ingredient Catalog'!$A:$A,0)),"⚠ not in catalog"))</f>
        <v/>
      </c>
      <c r="G1949" s="12" t="str">
        <f aca="false">IF(A1949="","",COUNTIFS('Weekly Log'!$A:$A,'Grocery List'!$B$3,'Weekly Log'!$C:$C,A1949,'Weekly Log'!$E:$E,"Yes"))</f>
        <v/>
      </c>
      <c r="H1949" s="12" t="str">
        <f aca="false">IF(OR(A1949="",D1949=""),"",D1949*G1949)</f>
        <v/>
      </c>
    </row>
    <row r="1950" customFormat="false" ht="15" hidden="false" customHeight="false" outlineLevel="0" collapsed="false">
      <c r="B1950" s="12" t="str">
        <f aca="false">IF(A1950="","",IFERROR(INDEX(Recipes!$B:$B,MATCH(A1950,Recipes!$A:$A,0)),"⚠ unknown recipe_id"))</f>
        <v/>
      </c>
      <c r="E1950" s="12" t="str">
        <f aca="false">IF(C1950="","",IFERROR(INDEX('Ingredient Catalog'!$C:$C,MATCH(C1950,'Ingredient Catalog'!$A:$A,0)),"⚠ not in catalog"))</f>
        <v/>
      </c>
      <c r="G1950" s="12" t="str">
        <f aca="false">IF(A1950="","",COUNTIFS('Weekly Log'!$A:$A,'Grocery List'!$B$3,'Weekly Log'!$C:$C,A1950,'Weekly Log'!$E:$E,"Yes"))</f>
        <v/>
      </c>
      <c r="H1950" s="12" t="str">
        <f aca="false">IF(OR(A1950="",D1950=""),"",D1950*G1950)</f>
        <v/>
      </c>
    </row>
    <row r="1951" customFormat="false" ht="15" hidden="false" customHeight="false" outlineLevel="0" collapsed="false">
      <c r="B1951" s="12" t="str">
        <f aca="false">IF(A1951="","",IFERROR(INDEX(Recipes!$B:$B,MATCH(A1951,Recipes!$A:$A,0)),"⚠ unknown recipe_id"))</f>
        <v/>
      </c>
      <c r="E1951" s="12" t="str">
        <f aca="false">IF(C1951="","",IFERROR(INDEX('Ingredient Catalog'!$C:$C,MATCH(C1951,'Ingredient Catalog'!$A:$A,0)),"⚠ not in catalog"))</f>
        <v/>
      </c>
      <c r="G1951" s="12" t="str">
        <f aca="false">IF(A1951="","",COUNTIFS('Weekly Log'!$A:$A,'Grocery List'!$B$3,'Weekly Log'!$C:$C,A1951,'Weekly Log'!$E:$E,"Yes"))</f>
        <v/>
      </c>
      <c r="H1951" s="12" t="str">
        <f aca="false">IF(OR(A1951="",D1951=""),"",D1951*G1951)</f>
        <v/>
      </c>
    </row>
    <row r="1952" customFormat="false" ht="15" hidden="false" customHeight="false" outlineLevel="0" collapsed="false">
      <c r="B1952" s="12" t="str">
        <f aca="false">IF(A1952="","",IFERROR(INDEX(Recipes!$B:$B,MATCH(A1952,Recipes!$A:$A,0)),"⚠ unknown recipe_id"))</f>
        <v/>
      </c>
      <c r="E1952" s="12" t="str">
        <f aca="false">IF(C1952="","",IFERROR(INDEX('Ingredient Catalog'!$C:$C,MATCH(C1952,'Ingredient Catalog'!$A:$A,0)),"⚠ not in catalog"))</f>
        <v/>
      </c>
      <c r="G1952" s="12" t="str">
        <f aca="false">IF(A1952="","",COUNTIFS('Weekly Log'!$A:$A,'Grocery List'!$B$3,'Weekly Log'!$C:$C,A1952,'Weekly Log'!$E:$E,"Yes"))</f>
        <v/>
      </c>
      <c r="H1952" s="12" t="str">
        <f aca="false">IF(OR(A1952="",D1952=""),"",D1952*G1952)</f>
        <v/>
      </c>
    </row>
    <row r="1953" customFormat="false" ht="15" hidden="false" customHeight="false" outlineLevel="0" collapsed="false">
      <c r="B1953" s="12" t="str">
        <f aca="false">IF(A1953="","",IFERROR(INDEX(Recipes!$B:$B,MATCH(A1953,Recipes!$A:$A,0)),"⚠ unknown recipe_id"))</f>
        <v/>
      </c>
      <c r="E1953" s="12" t="str">
        <f aca="false">IF(C1953="","",IFERROR(INDEX('Ingredient Catalog'!$C:$C,MATCH(C1953,'Ingredient Catalog'!$A:$A,0)),"⚠ not in catalog"))</f>
        <v/>
      </c>
      <c r="G1953" s="12" t="str">
        <f aca="false">IF(A1953="","",COUNTIFS('Weekly Log'!$A:$A,'Grocery List'!$B$3,'Weekly Log'!$C:$C,A1953,'Weekly Log'!$E:$E,"Yes"))</f>
        <v/>
      </c>
      <c r="H1953" s="12" t="str">
        <f aca="false">IF(OR(A1953="",D1953=""),"",D1953*G1953)</f>
        <v/>
      </c>
    </row>
    <row r="1954" customFormat="false" ht="15" hidden="false" customHeight="false" outlineLevel="0" collapsed="false">
      <c r="B1954" s="12" t="str">
        <f aca="false">IF(A1954="","",IFERROR(INDEX(Recipes!$B:$B,MATCH(A1954,Recipes!$A:$A,0)),"⚠ unknown recipe_id"))</f>
        <v/>
      </c>
      <c r="E1954" s="12" t="str">
        <f aca="false">IF(C1954="","",IFERROR(INDEX('Ingredient Catalog'!$C:$C,MATCH(C1954,'Ingredient Catalog'!$A:$A,0)),"⚠ not in catalog"))</f>
        <v/>
      </c>
      <c r="G1954" s="12" t="str">
        <f aca="false">IF(A1954="","",COUNTIFS('Weekly Log'!$A:$A,'Grocery List'!$B$3,'Weekly Log'!$C:$C,A1954,'Weekly Log'!$E:$E,"Yes"))</f>
        <v/>
      </c>
      <c r="H1954" s="12" t="str">
        <f aca="false">IF(OR(A1954="",D1954=""),"",D1954*G1954)</f>
        <v/>
      </c>
    </row>
    <row r="1955" customFormat="false" ht="15" hidden="false" customHeight="false" outlineLevel="0" collapsed="false">
      <c r="B1955" s="12" t="str">
        <f aca="false">IF(A1955="","",IFERROR(INDEX(Recipes!$B:$B,MATCH(A1955,Recipes!$A:$A,0)),"⚠ unknown recipe_id"))</f>
        <v/>
      </c>
      <c r="E1955" s="12" t="str">
        <f aca="false">IF(C1955="","",IFERROR(INDEX('Ingredient Catalog'!$C:$C,MATCH(C1955,'Ingredient Catalog'!$A:$A,0)),"⚠ not in catalog"))</f>
        <v/>
      </c>
      <c r="G1955" s="12" t="str">
        <f aca="false">IF(A1955="","",COUNTIFS('Weekly Log'!$A:$A,'Grocery List'!$B$3,'Weekly Log'!$C:$C,A1955,'Weekly Log'!$E:$E,"Yes"))</f>
        <v/>
      </c>
      <c r="H1955" s="12" t="str">
        <f aca="false">IF(OR(A1955="",D1955=""),"",D1955*G1955)</f>
        <v/>
      </c>
    </row>
    <row r="1956" customFormat="false" ht="15" hidden="false" customHeight="false" outlineLevel="0" collapsed="false">
      <c r="B1956" s="12" t="str">
        <f aca="false">IF(A1956="","",IFERROR(INDEX(Recipes!$B:$B,MATCH(A1956,Recipes!$A:$A,0)),"⚠ unknown recipe_id"))</f>
        <v/>
      </c>
      <c r="E1956" s="12" t="str">
        <f aca="false">IF(C1956="","",IFERROR(INDEX('Ingredient Catalog'!$C:$C,MATCH(C1956,'Ingredient Catalog'!$A:$A,0)),"⚠ not in catalog"))</f>
        <v/>
      </c>
      <c r="G1956" s="12" t="str">
        <f aca="false">IF(A1956="","",COUNTIFS('Weekly Log'!$A:$A,'Grocery List'!$B$3,'Weekly Log'!$C:$C,A1956,'Weekly Log'!$E:$E,"Yes"))</f>
        <v/>
      </c>
      <c r="H1956" s="12" t="str">
        <f aca="false">IF(OR(A1956="",D1956=""),"",D1956*G1956)</f>
        <v/>
      </c>
    </row>
    <row r="1957" customFormat="false" ht="15" hidden="false" customHeight="false" outlineLevel="0" collapsed="false">
      <c r="B1957" s="12" t="str">
        <f aca="false">IF(A1957="","",IFERROR(INDEX(Recipes!$B:$B,MATCH(A1957,Recipes!$A:$A,0)),"⚠ unknown recipe_id"))</f>
        <v/>
      </c>
      <c r="E1957" s="12" t="str">
        <f aca="false">IF(C1957="","",IFERROR(INDEX('Ingredient Catalog'!$C:$C,MATCH(C1957,'Ingredient Catalog'!$A:$A,0)),"⚠ not in catalog"))</f>
        <v/>
      </c>
      <c r="G1957" s="12" t="str">
        <f aca="false">IF(A1957="","",COUNTIFS('Weekly Log'!$A:$A,'Grocery List'!$B$3,'Weekly Log'!$C:$C,A1957,'Weekly Log'!$E:$E,"Yes"))</f>
        <v/>
      </c>
      <c r="H1957" s="12" t="str">
        <f aca="false">IF(OR(A1957="",D1957=""),"",D1957*G1957)</f>
        <v/>
      </c>
    </row>
    <row r="1958" customFormat="false" ht="15" hidden="false" customHeight="false" outlineLevel="0" collapsed="false">
      <c r="B1958" s="12" t="str">
        <f aca="false">IF(A1958="","",IFERROR(INDEX(Recipes!$B:$B,MATCH(A1958,Recipes!$A:$A,0)),"⚠ unknown recipe_id"))</f>
        <v/>
      </c>
      <c r="E1958" s="12" t="str">
        <f aca="false">IF(C1958="","",IFERROR(INDEX('Ingredient Catalog'!$C:$C,MATCH(C1958,'Ingredient Catalog'!$A:$A,0)),"⚠ not in catalog"))</f>
        <v/>
      </c>
      <c r="G1958" s="12" t="str">
        <f aca="false">IF(A1958="","",COUNTIFS('Weekly Log'!$A:$A,'Grocery List'!$B$3,'Weekly Log'!$C:$C,A1958,'Weekly Log'!$E:$E,"Yes"))</f>
        <v/>
      </c>
      <c r="H1958" s="12" t="str">
        <f aca="false">IF(OR(A1958="",D1958=""),"",D1958*G1958)</f>
        <v/>
      </c>
    </row>
    <row r="1959" customFormat="false" ht="15" hidden="false" customHeight="false" outlineLevel="0" collapsed="false">
      <c r="B1959" s="12" t="str">
        <f aca="false">IF(A1959="","",IFERROR(INDEX(Recipes!$B:$B,MATCH(A1959,Recipes!$A:$A,0)),"⚠ unknown recipe_id"))</f>
        <v/>
      </c>
      <c r="E1959" s="12" t="str">
        <f aca="false">IF(C1959="","",IFERROR(INDEX('Ingredient Catalog'!$C:$C,MATCH(C1959,'Ingredient Catalog'!$A:$A,0)),"⚠ not in catalog"))</f>
        <v/>
      </c>
      <c r="G1959" s="12" t="str">
        <f aca="false">IF(A1959="","",COUNTIFS('Weekly Log'!$A:$A,'Grocery List'!$B$3,'Weekly Log'!$C:$C,A1959,'Weekly Log'!$E:$E,"Yes"))</f>
        <v/>
      </c>
      <c r="H1959" s="12" t="str">
        <f aca="false">IF(OR(A1959="",D1959=""),"",D1959*G1959)</f>
        <v/>
      </c>
    </row>
    <row r="1960" customFormat="false" ht="15" hidden="false" customHeight="false" outlineLevel="0" collapsed="false">
      <c r="B1960" s="12" t="str">
        <f aca="false">IF(A1960="","",IFERROR(INDEX(Recipes!$B:$B,MATCH(A1960,Recipes!$A:$A,0)),"⚠ unknown recipe_id"))</f>
        <v/>
      </c>
      <c r="E1960" s="12" t="str">
        <f aca="false">IF(C1960="","",IFERROR(INDEX('Ingredient Catalog'!$C:$C,MATCH(C1960,'Ingredient Catalog'!$A:$A,0)),"⚠ not in catalog"))</f>
        <v/>
      </c>
      <c r="G1960" s="12" t="str">
        <f aca="false">IF(A1960="","",COUNTIFS('Weekly Log'!$A:$A,'Grocery List'!$B$3,'Weekly Log'!$C:$C,A1960,'Weekly Log'!$E:$E,"Yes"))</f>
        <v/>
      </c>
      <c r="H1960" s="12" t="str">
        <f aca="false">IF(OR(A1960="",D1960=""),"",D1960*G1960)</f>
        <v/>
      </c>
    </row>
    <row r="1961" customFormat="false" ht="15" hidden="false" customHeight="false" outlineLevel="0" collapsed="false">
      <c r="B1961" s="12" t="str">
        <f aca="false">IF(A1961="","",IFERROR(INDEX(Recipes!$B:$B,MATCH(A1961,Recipes!$A:$A,0)),"⚠ unknown recipe_id"))</f>
        <v/>
      </c>
      <c r="E1961" s="12" t="str">
        <f aca="false">IF(C1961="","",IFERROR(INDEX('Ingredient Catalog'!$C:$C,MATCH(C1961,'Ingredient Catalog'!$A:$A,0)),"⚠ not in catalog"))</f>
        <v/>
      </c>
      <c r="G1961" s="12" t="str">
        <f aca="false">IF(A1961="","",COUNTIFS('Weekly Log'!$A:$A,'Grocery List'!$B$3,'Weekly Log'!$C:$C,A1961,'Weekly Log'!$E:$E,"Yes"))</f>
        <v/>
      </c>
      <c r="H1961" s="12" t="str">
        <f aca="false">IF(OR(A1961="",D1961=""),"",D1961*G1961)</f>
        <v/>
      </c>
    </row>
    <row r="1962" customFormat="false" ht="15" hidden="false" customHeight="false" outlineLevel="0" collapsed="false">
      <c r="B1962" s="12" t="str">
        <f aca="false">IF(A1962="","",IFERROR(INDEX(Recipes!$B:$B,MATCH(A1962,Recipes!$A:$A,0)),"⚠ unknown recipe_id"))</f>
        <v/>
      </c>
      <c r="E1962" s="12" t="str">
        <f aca="false">IF(C1962="","",IFERROR(INDEX('Ingredient Catalog'!$C:$C,MATCH(C1962,'Ingredient Catalog'!$A:$A,0)),"⚠ not in catalog"))</f>
        <v/>
      </c>
      <c r="G1962" s="12" t="str">
        <f aca="false">IF(A1962="","",COUNTIFS('Weekly Log'!$A:$A,'Grocery List'!$B$3,'Weekly Log'!$C:$C,A1962,'Weekly Log'!$E:$E,"Yes"))</f>
        <v/>
      </c>
      <c r="H1962" s="12" t="str">
        <f aca="false">IF(OR(A1962="",D1962=""),"",D1962*G1962)</f>
        <v/>
      </c>
    </row>
    <row r="1963" customFormat="false" ht="15" hidden="false" customHeight="false" outlineLevel="0" collapsed="false">
      <c r="B1963" s="12" t="str">
        <f aca="false">IF(A1963="","",IFERROR(INDEX(Recipes!$B:$B,MATCH(A1963,Recipes!$A:$A,0)),"⚠ unknown recipe_id"))</f>
        <v/>
      </c>
      <c r="E1963" s="12" t="str">
        <f aca="false">IF(C1963="","",IFERROR(INDEX('Ingredient Catalog'!$C:$C,MATCH(C1963,'Ingredient Catalog'!$A:$A,0)),"⚠ not in catalog"))</f>
        <v/>
      </c>
      <c r="G1963" s="12" t="str">
        <f aca="false">IF(A1963="","",COUNTIFS('Weekly Log'!$A:$A,'Grocery List'!$B$3,'Weekly Log'!$C:$C,A1963,'Weekly Log'!$E:$E,"Yes"))</f>
        <v/>
      </c>
      <c r="H1963" s="12" t="str">
        <f aca="false">IF(OR(A1963="",D1963=""),"",D1963*G1963)</f>
        <v/>
      </c>
    </row>
    <row r="1964" customFormat="false" ht="15" hidden="false" customHeight="false" outlineLevel="0" collapsed="false">
      <c r="B1964" s="12" t="str">
        <f aca="false">IF(A1964="","",IFERROR(INDEX(Recipes!$B:$B,MATCH(A1964,Recipes!$A:$A,0)),"⚠ unknown recipe_id"))</f>
        <v/>
      </c>
      <c r="E1964" s="12" t="str">
        <f aca="false">IF(C1964="","",IFERROR(INDEX('Ingredient Catalog'!$C:$C,MATCH(C1964,'Ingredient Catalog'!$A:$A,0)),"⚠ not in catalog"))</f>
        <v/>
      </c>
      <c r="G1964" s="12" t="str">
        <f aca="false">IF(A1964="","",COUNTIFS('Weekly Log'!$A:$A,'Grocery List'!$B$3,'Weekly Log'!$C:$C,A1964,'Weekly Log'!$E:$E,"Yes"))</f>
        <v/>
      </c>
      <c r="H1964" s="12" t="str">
        <f aca="false">IF(OR(A1964="",D1964=""),"",D1964*G1964)</f>
        <v/>
      </c>
    </row>
    <row r="1965" customFormat="false" ht="15" hidden="false" customHeight="false" outlineLevel="0" collapsed="false">
      <c r="B1965" s="12" t="str">
        <f aca="false">IF(A1965="","",IFERROR(INDEX(Recipes!$B:$B,MATCH(A1965,Recipes!$A:$A,0)),"⚠ unknown recipe_id"))</f>
        <v/>
      </c>
      <c r="E1965" s="12" t="str">
        <f aca="false">IF(C1965="","",IFERROR(INDEX('Ingredient Catalog'!$C:$C,MATCH(C1965,'Ingredient Catalog'!$A:$A,0)),"⚠ not in catalog"))</f>
        <v/>
      </c>
      <c r="G1965" s="12" t="str">
        <f aca="false">IF(A1965="","",COUNTIFS('Weekly Log'!$A:$A,'Grocery List'!$B$3,'Weekly Log'!$C:$C,A1965,'Weekly Log'!$E:$E,"Yes"))</f>
        <v/>
      </c>
      <c r="H1965" s="12" t="str">
        <f aca="false">IF(OR(A1965="",D1965=""),"",D1965*G1965)</f>
        <v/>
      </c>
    </row>
    <row r="1966" customFormat="false" ht="15" hidden="false" customHeight="false" outlineLevel="0" collapsed="false">
      <c r="B1966" s="12" t="str">
        <f aca="false">IF(A1966="","",IFERROR(INDEX(Recipes!$B:$B,MATCH(A1966,Recipes!$A:$A,0)),"⚠ unknown recipe_id"))</f>
        <v/>
      </c>
      <c r="E1966" s="12" t="str">
        <f aca="false">IF(C1966="","",IFERROR(INDEX('Ingredient Catalog'!$C:$C,MATCH(C1966,'Ingredient Catalog'!$A:$A,0)),"⚠ not in catalog"))</f>
        <v/>
      </c>
      <c r="G1966" s="12" t="str">
        <f aca="false">IF(A1966="","",COUNTIFS('Weekly Log'!$A:$A,'Grocery List'!$B$3,'Weekly Log'!$C:$C,A1966,'Weekly Log'!$E:$E,"Yes"))</f>
        <v/>
      </c>
      <c r="H1966" s="12" t="str">
        <f aca="false">IF(OR(A1966="",D1966=""),"",D1966*G1966)</f>
        <v/>
      </c>
    </row>
    <row r="1967" customFormat="false" ht="15" hidden="false" customHeight="false" outlineLevel="0" collapsed="false">
      <c r="B1967" s="12" t="str">
        <f aca="false">IF(A1967="","",IFERROR(INDEX(Recipes!$B:$B,MATCH(A1967,Recipes!$A:$A,0)),"⚠ unknown recipe_id"))</f>
        <v/>
      </c>
      <c r="E1967" s="12" t="str">
        <f aca="false">IF(C1967="","",IFERROR(INDEX('Ingredient Catalog'!$C:$C,MATCH(C1967,'Ingredient Catalog'!$A:$A,0)),"⚠ not in catalog"))</f>
        <v/>
      </c>
      <c r="G1967" s="12" t="str">
        <f aca="false">IF(A1967="","",COUNTIFS('Weekly Log'!$A:$A,'Grocery List'!$B$3,'Weekly Log'!$C:$C,A1967,'Weekly Log'!$E:$E,"Yes"))</f>
        <v/>
      </c>
      <c r="H1967" s="12" t="str">
        <f aca="false">IF(OR(A1967="",D1967=""),"",D1967*G1967)</f>
        <v/>
      </c>
    </row>
    <row r="1968" customFormat="false" ht="15" hidden="false" customHeight="false" outlineLevel="0" collapsed="false">
      <c r="B1968" s="12" t="str">
        <f aca="false">IF(A1968="","",IFERROR(INDEX(Recipes!$B:$B,MATCH(A1968,Recipes!$A:$A,0)),"⚠ unknown recipe_id"))</f>
        <v/>
      </c>
      <c r="E1968" s="12" t="str">
        <f aca="false">IF(C1968="","",IFERROR(INDEX('Ingredient Catalog'!$C:$C,MATCH(C1968,'Ingredient Catalog'!$A:$A,0)),"⚠ not in catalog"))</f>
        <v/>
      </c>
      <c r="G1968" s="12" t="str">
        <f aca="false">IF(A1968="","",COUNTIFS('Weekly Log'!$A:$A,'Grocery List'!$B$3,'Weekly Log'!$C:$C,A1968,'Weekly Log'!$E:$E,"Yes"))</f>
        <v/>
      </c>
      <c r="H1968" s="12" t="str">
        <f aca="false">IF(OR(A1968="",D1968=""),"",D1968*G1968)</f>
        <v/>
      </c>
    </row>
    <row r="1969" customFormat="false" ht="15" hidden="false" customHeight="false" outlineLevel="0" collapsed="false">
      <c r="B1969" s="12" t="str">
        <f aca="false">IF(A1969="","",IFERROR(INDEX(Recipes!$B:$B,MATCH(A1969,Recipes!$A:$A,0)),"⚠ unknown recipe_id"))</f>
        <v/>
      </c>
      <c r="E1969" s="12" t="str">
        <f aca="false">IF(C1969="","",IFERROR(INDEX('Ingredient Catalog'!$C:$C,MATCH(C1969,'Ingredient Catalog'!$A:$A,0)),"⚠ not in catalog"))</f>
        <v/>
      </c>
      <c r="G1969" s="12" t="str">
        <f aca="false">IF(A1969="","",COUNTIFS('Weekly Log'!$A:$A,'Grocery List'!$B$3,'Weekly Log'!$C:$C,A1969,'Weekly Log'!$E:$E,"Yes"))</f>
        <v/>
      </c>
      <c r="H1969" s="12" t="str">
        <f aca="false">IF(OR(A1969="",D1969=""),"",D1969*G1969)</f>
        <v/>
      </c>
    </row>
    <row r="1970" customFormat="false" ht="15" hidden="false" customHeight="false" outlineLevel="0" collapsed="false">
      <c r="B1970" s="12" t="str">
        <f aca="false">IF(A1970="","",IFERROR(INDEX(Recipes!$B:$B,MATCH(A1970,Recipes!$A:$A,0)),"⚠ unknown recipe_id"))</f>
        <v/>
      </c>
      <c r="E1970" s="12" t="str">
        <f aca="false">IF(C1970="","",IFERROR(INDEX('Ingredient Catalog'!$C:$C,MATCH(C1970,'Ingredient Catalog'!$A:$A,0)),"⚠ not in catalog"))</f>
        <v/>
      </c>
      <c r="G1970" s="12" t="str">
        <f aca="false">IF(A1970="","",COUNTIFS('Weekly Log'!$A:$A,'Grocery List'!$B$3,'Weekly Log'!$C:$C,A1970,'Weekly Log'!$E:$E,"Yes"))</f>
        <v/>
      </c>
      <c r="H1970" s="12" t="str">
        <f aca="false">IF(OR(A1970="",D1970=""),"",D1970*G1970)</f>
        <v/>
      </c>
    </row>
    <row r="1971" customFormat="false" ht="15" hidden="false" customHeight="false" outlineLevel="0" collapsed="false">
      <c r="B1971" s="12" t="str">
        <f aca="false">IF(A1971="","",IFERROR(INDEX(Recipes!$B:$B,MATCH(A1971,Recipes!$A:$A,0)),"⚠ unknown recipe_id"))</f>
        <v/>
      </c>
      <c r="E1971" s="12" t="str">
        <f aca="false">IF(C1971="","",IFERROR(INDEX('Ingredient Catalog'!$C:$C,MATCH(C1971,'Ingredient Catalog'!$A:$A,0)),"⚠ not in catalog"))</f>
        <v/>
      </c>
      <c r="G1971" s="12" t="str">
        <f aca="false">IF(A1971="","",COUNTIFS('Weekly Log'!$A:$A,'Grocery List'!$B$3,'Weekly Log'!$C:$C,A1971,'Weekly Log'!$E:$E,"Yes"))</f>
        <v/>
      </c>
      <c r="H1971" s="12" t="str">
        <f aca="false">IF(OR(A1971="",D1971=""),"",D1971*G1971)</f>
        <v/>
      </c>
    </row>
    <row r="1972" customFormat="false" ht="15" hidden="false" customHeight="false" outlineLevel="0" collapsed="false">
      <c r="B1972" s="12" t="str">
        <f aca="false">IF(A1972="","",IFERROR(INDEX(Recipes!$B:$B,MATCH(A1972,Recipes!$A:$A,0)),"⚠ unknown recipe_id"))</f>
        <v/>
      </c>
      <c r="E1972" s="12" t="str">
        <f aca="false">IF(C1972="","",IFERROR(INDEX('Ingredient Catalog'!$C:$C,MATCH(C1972,'Ingredient Catalog'!$A:$A,0)),"⚠ not in catalog"))</f>
        <v/>
      </c>
      <c r="G1972" s="12" t="str">
        <f aca="false">IF(A1972="","",COUNTIFS('Weekly Log'!$A:$A,'Grocery List'!$B$3,'Weekly Log'!$C:$C,A1972,'Weekly Log'!$E:$E,"Yes"))</f>
        <v/>
      </c>
      <c r="H1972" s="12" t="str">
        <f aca="false">IF(OR(A1972="",D1972=""),"",D1972*G1972)</f>
        <v/>
      </c>
    </row>
    <row r="1973" customFormat="false" ht="15" hidden="false" customHeight="false" outlineLevel="0" collapsed="false">
      <c r="B1973" s="12" t="str">
        <f aca="false">IF(A1973="","",IFERROR(INDEX(Recipes!$B:$B,MATCH(A1973,Recipes!$A:$A,0)),"⚠ unknown recipe_id"))</f>
        <v/>
      </c>
      <c r="E1973" s="12" t="str">
        <f aca="false">IF(C1973="","",IFERROR(INDEX('Ingredient Catalog'!$C:$C,MATCH(C1973,'Ingredient Catalog'!$A:$A,0)),"⚠ not in catalog"))</f>
        <v/>
      </c>
      <c r="G1973" s="12" t="str">
        <f aca="false">IF(A1973="","",COUNTIFS('Weekly Log'!$A:$A,'Grocery List'!$B$3,'Weekly Log'!$C:$C,A1973,'Weekly Log'!$E:$E,"Yes"))</f>
        <v/>
      </c>
      <c r="H1973" s="12" t="str">
        <f aca="false">IF(OR(A1973="",D1973=""),"",D1973*G1973)</f>
        <v/>
      </c>
    </row>
    <row r="1974" customFormat="false" ht="15" hidden="false" customHeight="false" outlineLevel="0" collapsed="false">
      <c r="B1974" s="12" t="str">
        <f aca="false">IF(A1974="","",IFERROR(INDEX(Recipes!$B:$B,MATCH(A1974,Recipes!$A:$A,0)),"⚠ unknown recipe_id"))</f>
        <v/>
      </c>
      <c r="E1974" s="12" t="str">
        <f aca="false">IF(C1974="","",IFERROR(INDEX('Ingredient Catalog'!$C:$C,MATCH(C1974,'Ingredient Catalog'!$A:$A,0)),"⚠ not in catalog"))</f>
        <v/>
      </c>
      <c r="G1974" s="12" t="str">
        <f aca="false">IF(A1974="","",COUNTIFS('Weekly Log'!$A:$A,'Grocery List'!$B$3,'Weekly Log'!$C:$C,A1974,'Weekly Log'!$E:$E,"Yes"))</f>
        <v/>
      </c>
      <c r="H1974" s="12" t="str">
        <f aca="false">IF(OR(A1974="",D1974=""),"",D1974*G1974)</f>
        <v/>
      </c>
    </row>
    <row r="1975" customFormat="false" ht="15" hidden="false" customHeight="false" outlineLevel="0" collapsed="false">
      <c r="B1975" s="12" t="str">
        <f aca="false">IF(A1975="","",IFERROR(INDEX(Recipes!$B:$B,MATCH(A1975,Recipes!$A:$A,0)),"⚠ unknown recipe_id"))</f>
        <v/>
      </c>
      <c r="E1975" s="12" t="str">
        <f aca="false">IF(C1975="","",IFERROR(INDEX('Ingredient Catalog'!$C:$C,MATCH(C1975,'Ingredient Catalog'!$A:$A,0)),"⚠ not in catalog"))</f>
        <v/>
      </c>
      <c r="G1975" s="12" t="str">
        <f aca="false">IF(A1975="","",COUNTIFS('Weekly Log'!$A:$A,'Grocery List'!$B$3,'Weekly Log'!$C:$C,A1975,'Weekly Log'!$E:$E,"Yes"))</f>
        <v/>
      </c>
      <c r="H1975" s="12" t="str">
        <f aca="false">IF(OR(A1975="",D1975=""),"",D1975*G1975)</f>
        <v/>
      </c>
    </row>
    <row r="1976" customFormat="false" ht="15" hidden="false" customHeight="false" outlineLevel="0" collapsed="false">
      <c r="B1976" s="12" t="str">
        <f aca="false">IF(A1976="","",IFERROR(INDEX(Recipes!$B:$B,MATCH(A1976,Recipes!$A:$A,0)),"⚠ unknown recipe_id"))</f>
        <v/>
      </c>
      <c r="E1976" s="12" t="str">
        <f aca="false">IF(C1976="","",IFERROR(INDEX('Ingredient Catalog'!$C:$C,MATCH(C1976,'Ingredient Catalog'!$A:$A,0)),"⚠ not in catalog"))</f>
        <v/>
      </c>
      <c r="G1976" s="12" t="str">
        <f aca="false">IF(A1976="","",COUNTIFS('Weekly Log'!$A:$A,'Grocery List'!$B$3,'Weekly Log'!$C:$C,A1976,'Weekly Log'!$E:$E,"Yes"))</f>
        <v/>
      </c>
      <c r="H1976" s="12" t="str">
        <f aca="false">IF(OR(A1976="",D1976=""),"",D1976*G1976)</f>
        <v/>
      </c>
    </row>
    <row r="1977" customFormat="false" ht="15" hidden="false" customHeight="false" outlineLevel="0" collapsed="false">
      <c r="B1977" s="12" t="str">
        <f aca="false">IF(A1977="","",IFERROR(INDEX(Recipes!$B:$B,MATCH(A1977,Recipes!$A:$A,0)),"⚠ unknown recipe_id"))</f>
        <v/>
      </c>
      <c r="E1977" s="12" t="str">
        <f aca="false">IF(C1977="","",IFERROR(INDEX('Ingredient Catalog'!$C:$C,MATCH(C1977,'Ingredient Catalog'!$A:$A,0)),"⚠ not in catalog"))</f>
        <v/>
      </c>
      <c r="G1977" s="12" t="str">
        <f aca="false">IF(A1977="","",COUNTIFS('Weekly Log'!$A:$A,'Grocery List'!$B$3,'Weekly Log'!$C:$C,A1977,'Weekly Log'!$E:$E,"Yes"))</f>
        <v/>
      </c>
      <c r="H1977" s="12" t="str">
        <f aca="false">IF(OR(A1977="",D1977=""),"",D1977*G1977)</f>
        <v/>
      </c>
    </row>
    <row r="1978" customFormat="false" ht="15" hidden="false" customHeight="false" outlineLevel="0" collapsed="false">
      <c r="B1978" s="12" t="str">
        <f aca="false">IF(A1978="","",IFERROR(INDEX(Recipes!$B:$B,MATCH(A1978,Recipes!$A:$A,0)),"⚠ unknown recipe_id"))</f>
        <v/>
      </c>
      <c r="E1978" s="12" t="str">
        <f aca="false">IF(C1978="","",IFERROR(INDEX('Ingredient Catalog'!$C:$C,MATCH(C1978,'Ingredient Catalog'!$A:$A,0)),"⚠ not in catalog"))</f>
        <v/>
      </c>
      <c r="G1978" s="12" t="str">
        <f aca="false">IF(A1978="","",COUNTIFS('Weekly Log'!$A:$A,'Grocery List'!$B$3,'Weekly Log'!$C:$C,A1978,'Weekly Log'!$E:$E,"Yes"))</f>
        <v/>
      </c>
      <c r="H1978" s="12" t="str">
        <f aca="false">IF(OR(A1978="",D1978=""),"",D1978*G1978)</f>
        <v/>
      </c>
    </row>
    <row r="1979" customFormat="false" ht="15" hidden="false" customHeight="false" outlineLevel="0" collapsed="false">
      <c r="B1979" s="12" t="str">
        <f aca="false">IF(A1979="","",IFERROR(INDEX(Recipes!$B:$B,MATCH(A1979,Recipes!$A:$A,0)),"⚠ unknown recipe_id"))</f>
        <v/>
      </c>
      <c r="E1979" s="12" t="str">
        <f aca="false">IF(C1979="","",IFERROR(INDEX('Ingredient Catalog'!$C:$C,MATCH(C1979,'Ingredient Catalog'!$A:$A,0)),"⚠ not in catalog"))</f>
        <v/>
      </c>
      <c r="G1979" s="12" t="str">
        <f aca="false">IF(A1979="","",COUNTIFS('Weekly Log'!$A:$A,'Grocery List'!$B$3,'Weekly Log'!$C:$C,A1979,'Weekly Log'!$E:$E,"Yes"))</f>
        <v/>
      </c>
      <c r="H1979" s="12" t="str">
        <f aca="false">IF(OR(A1979="",D1979=""),"",D1979*G1979)</f>
        <v/>
      </c>
    </row>
    <row r="1980" customFormat="false" ht="15" hidden="false" customHeight="false" outlineLevel="0" collapsed="false">
      <c r="B1980" s="12" t="str">
        <f aca="false">IF(A1980="","",IFERROR(INDEX(Recipes!$B:$B,MATCH(A1980,Recipes!$A:$A,0)),"⚠ unknown recipe_id"))</f>
        <v/>
      </c>
      <c r="E1980" s="12" t="str">
        <f aca="false">IF(C1980="","",IFERROR(INDEX('Ingredient Catalog'!$C:$C,MATCH(C1980,'Ingredient Catalog'!$A:$A,0)),"⚠ not in catalog"))</f>
        <v/>
      </c>
      <c r="G1980" s="12" t="str">
        <f aca="false">IF(A1980="","",COUNTIFS('Weekly Log'!$A:$A,'Grocery List'!$B$3,'Weekly Log'!$C:$C,A1980,'Weekly Log'!$E:$E,"Yes"))</f>
        <v/>
      </c>
      <c r="H1980" s="12" t="str">
        <f aca="false">IF(OR(A1980="",D1980=""),"",D1980*G1980)</f>
        <v/>
      </c>
    </row>
    <row r="1981" customFormat="false" ht="15" hidden="false" customHeight="false" outlineLevel="0" collapsed="false">
      <c r="B1981" s="12" t="str">
        <f aca="false">IF(A1981="","",IFERROR(INDEX(Recipes!$B:$B,MATCH(A1981,Recipes!$A:$A,0)),"⚠ unknown recipe_id"))</f>
        <v/>
      </c>
      <c r="E1981" s="12" t="str">
        <f aca="false">IF(C1981="","",IFERROR(INDEX('Ingredient Catalog'!$C:$C,MATCH(C1981,'Ingredient Catalog'!$A:$A,0)),"⚠ not in catalog"))</f>
        <v/>
      </c>
      <c r="G1981" s="12" t="str">
        <f aca="false">IF(A1981="","",COUNTIFS('Weekly Log'!$A:$A,'Grocery List'!$B$3,'Weekly Log'!$C:$C,A1981,'Weekly Log'!$E:$E,"Yes"))</f>
        <v/>
      </c>
      <c r="H1981" s="12" t="str">
        <f aca="false">IF(OR(A1981="",D1981=""),"",D1981*G1981)</f>
        <v/>
      </c>
    </row>
    <row r="1982" customFormat="false" ht="15" hidden="false" customHeight="false" outlineLevel="0" collapsed="false">
      <c r="B1982" s="12" t="str">
        <f aca="false">IF(A1982="","",IFERROR(INDEX(Recipes!$B:$B,MATCH(A1982,Recipes!$A:$A,0)),"⚠ unknown recipe_id"))</f>
        <v/>
      </c>
      <c r="E1982" s="12" t="str">
        <f aca="false">IF(C1982="","",IFERROR(INDEX('Ingredient Catalog'!$C:$C,MATCH(C1982,'Ingredient Catalog'!$A:$A,0)),"⚠ not in catalog"))</f>
        <v/>
      </c>
      <c r="G1982" s="12" t="str">
        <f aca="false">IF(A1982="","",COUNTIFS('Weekly Log'!$A:$A,'Grocery List'!$B$3,'Weekly Log'!$C:$C,A1982,'Weekly Log'!$E:$E,"Yes"))</f>
        <v/>
      </c>
      <c r="H1982" s="12" t="str">
        <f aca="false">IF(OR(A1982="",D1982=""),"",D1982*G1982)</f>
        <v/>
      </c>
    </row>
    <row r="1983" customFormat="false" ht="15" hidden="false" customHeight="false" outlineLevel="0" collapsed="false">
      <c r="B1983" s="12" t="str">
        <f aca="false">IF(A1983="","",IFERROR(INDEX(Recipes!$B:$B,MATCH(A1983,Recipes!$A:$A,0)),"⚠ unknown recipe_id"))</f>
        <v/>
      </c>
      <c r="E1983" s="12" t="str">
        <f aca="false">IF(C1983="","",IFERROR(INDEX('Ingredient Catalog'!$C:$C,MATCH(C1983,'Ingredient Catalog'!$A:$A,0)),"⚠ not in catalog"))</f>
        <v/>
      </c>
      <c r="G1983" s="12" t="str">
        <f aca="false">IF(A1983="","",COUNTIFS('Weekly Log'!$A:$A,'Grocery List'!$B$3,'Weekly Log'!$C:$C,A1983,'Weekly Log'!$E:$E,"Yes"))</f>
        <v/>
      </c>
      <c r="H1983" s="12" t="str">
        <f aca="false">IF(OR(A1983="",D1983=""),"",D1983*G1983)</f>
        <v/>
      </c>
    </row>
    <row r="1984" customFormat="false" ht="15" hidden="false" customHeight="false" outlineLevel="0" collapsed="false">
      <c r="B1984" s="12" t="str">
        <f aca="false">IF(A1984="","",IFERROR(INDEX(Recipes!$B:$B,MATCH(A1984,Recipes!$A:$A,0)),"⚠ unknown recipe_id"))</f>
        <v/>
      </c>
      <c r="E1984" s="12" t="str">
        <f aca="false">IF(C1984="","",IFERROR(INDEX('Ingredient Catalog'!$C:$C,MATCH(C1984,'Ingredient Catalog'!$A:$A,0)),"⚠ not in catalog"))</f>
        <v/>
      </c>
      <c r="G1984" s="12" t="str">
        <f aca="false">IF(A1984="","",COUNTIFS('Weekly Log'!$A:$A,'Grocery List'!$B$3,'Weekly Log'!$C:$C,A1984,'Weekly Log'!$E:$E,"Yes"))</f>
        <v/>
      </c>
      <c r="H1984" s="12" t="str">
        <f aca="false">IF(OR(A1984="",D1984=""),"",D1984*G1984)</f>
        <v/>
      </c>
    </row>
    <row r="1985" customFormat="false" ht="15" hidden="false" customHeight="false" outlineLevel="0" collapsed="false">
      <c r="B1985" s="12" t="str">
        <f aca="false">IF(A1985="","",IFERROR(INDEX(Recipes!$B:$B,MATCH(A1985,Recipes!$A:$A,0)),"⚠ unknown recipe_id"))</f>
        <v/>
      </c>
      <c r="E1985" s="12" t="str">
        <f aca="false">IF(C1985="","",IFERROR(INDEX('Ingredient Catalog'!$C:$C,MATCH(C1985,'Ingredient Catalog'!$A:$A,0)),"⚠ not in catalog"))</f>
        <v/>
      </c>
      <c r="G1985" s="12" t="str">
        <f aca="false">IF(A1985="","",COUNTIFS('Weekly Log'!$A:$A,'Grocery List'!$B$3,'Weekly Log'!$C:$C,A1985,'Weekly Log'!$E:$E,"Yes"))</f>
        <v/>
      </c>
      <c r="H1985" s="12" t="str">
        <f aca="false">IF(OR(A1985="",D1985=""),"",D1985*G1985)</f>
        <v/>
      </c>
    </row>
    <row r="1986" customFormat="false" ht="15" hidden="false" customHeight="false" outlineLevel="0" collapsed="false">
      <c r="B1986" s="12" t="str">
        <f aca="false">IF(A1986="","",IFERROR(INDEX(Recipes!$B:$B,MATCH(A1986,Recipes!$A:$A,0)),"⚠ unknown recipe_id"))</f>
        <v/>
      </c>
      <c r="E1986" s="12" t="str">
        <f aca="false">IF(C1986="","",IFERROR(INDEX('Ingredient Catalog'!$C:$C,MATCH(C1986,'Ingredient Catalog'!$A:$A,0)),"⚠ not in catalog"))</f>
        <v/>
      </c>
      <c r="G1986" s="12" t="str">
        <f aca="false">IF(A1986="","",COUNTIFS('Weekly Log'!$A:$A,'Grocery List'!$B$3,'Weekly Log'!$C:$C,A1986,'Weekly Log'!$E:$E,"Yes"))</f>
        <v/>
      </c>
      <c r="H1986" s="12" t="str">
        <f aca="false">IF(OR(A1986="",D1986=""),"",D1986*G1986)</f>
        <v/>
      </c>
    </row>
    <row r="1987" customFormat="false" ht="15" hidden="false" customHeight="false" outlineLevel="0" collapsed="false">
      <c r="B1987" s="12" t="str">
        <f aca="false">IF(A1987="","",IFERROR(INDEX(Recipes!$B:$B,MATCH(A1987,Recipes!$A:$A,0)),"⚠ unknown recipe_id"))</f>
        <v/>
      </c>
      <c r="E1987" s="12" t="str">
        <f aca="false">IF(C1987="","",IFERROR(INDEX('Ingredient Catalog'!$C:$C,MATCH(C1987,'Ingredient Catalog'!$A:$A,0)),"⚠ not in catalog"))</f>
        <v/>
      </c>
      <c r="G1987" s="12" t="str">
        <f aca="false">IF(A1987="","",COUNTIFS('Weekly Log'!$A:$A,'Grocery List'!$B$3,'Weekly Log'!$C:$C,A1987,'Weekly Log'!$E:$E,"Yes"))</f>
        <v/>
      </c>
      <c r="H1987" s="12" t="str">
        <f aca="false">IF(OR(A1987="",D1987=""),"",D1987*G1987)</f>
        <v/>
      </c>
    </row>
    <row r="1988" customFormat="false" ht="15" hidden="false" customHeight="false" outlineLevel="0" collapsed="false">
      <c r="B1988" s="12" t="str">
        <f aca="false">IF(A1988="","",IFERROR(INDEX(Recipes!$B:$B,MATCH(A1988,Recipes!$A:$A,0)),"⚠ unknown recipe_id"))</f>
        <v/>
      </c>
      <c r="E1988" s="12" t="str">
        <f aca="false">IF(C1988="","",IFERROR(INDEX('Ingredient Catalog'!$C:$C,MATCH(C1988,'Ingredient Catalog'!$A:$A,0)),"⚠ not in catalog"))</f>
        <v/>
      </c>
      <c r="G1988" s="12" t="str">
        <f aca="false">IF(A1988="","",COUNTIFS('Weekly Log'!$A:$A,'Grocery List'!$B$3,'Weekly Log'!$C:$C,A1988,'Weekly Log'!$E:$E,"Yes"))</f>
        <v/>
      </c>
      <c r="H1988" s="12" t="str">
        <f aca="false">IF(OR(A1988="",D1988=""),"",D1988*G1988)</f>
        <v/>
      </c>
    </row>
    <row r="1989" customFormat="false" ht="15" hidden="false" customHeight="false" outlineLevel="0" collapsed="false">
      <c r="B1989" s="12" t="str">
        <f aca="false">IF(A1989="","",IFERROR(INDEX(Recipes!$B:$B,MATCH(A1989,Recipes!$A:$A,0)),"⚠ unknown recipe_id"))</f>
        <v/>
      </c>
      <c r="E1989" s="12" t="str">
        <f aca="false">IF(C1989="","",IFERROR(INDEX('Ingredient Catalog'!$C:$C,MATCH(C1989,'Ingredient Catalog'!$A:$A,0)),"⚠ not in catalog"))</f>
        <v/>
      </c>
      <c r="G1989" s="12" t="str">
        <f aca="false">IF(A1989="","",COUNTIFS('Weekly Log'!$A:$A,'Grocery List'!$B$3,'Weekly Log'!$C:$C,A1989,'Weekly Log'!$E:$E,"Yes"))</f>
        <v/>
      </c>
      <c r="H1989" s="12" t="str">
        <f aca="false">IF(OR(A1989="",D1989=""),"",D1989*G1989)</f>
        <v/>
      </c>
    </row>
    <row r="1990" customFormat="false" ht="15" hidden="false" customHeight="false" outlineLevel="0" collapsed="false">
      <c r="B1990" s="12" t="str">
        <f aca="false">IF(A1990="","",IFERROR(INDEX(Recipes!$B:$B,MATCH(A1990,Recipes!$A:$A,0)),"⚠ unknown recipe_id"))</f>
        <v/>
      </c>
      <c r="E1990" s="12" t="str">
        <f aca="false">IF(C1990="","",IFERROR(INDEX('Ingredient Catalog'!$C:$C,MATCH(C1990,'Ingredient Catalog'!$A:$A,0)),"⚠ not in catalog"))</f>
        <v/>
      </c>
      <c r="G1990" s="12" t="str">
        <f aca="false">IF(A1990="","",COUNTIFS('Weekly Log'!$A:$A,'Grocery List'!$B$3,'Weekly Log'!$C:$C,A1990,'Weekly Log'!$E:$E,"Yes"))</f>
        <v/>
      </c>
      <c r="H1990" s="12" t="str">
        <f aca="false">IF(OR(A1990="",D1990=""),"",D1990*G1990)</f>
        <v/>
      </c>
    </row>
    <row r="1991" customFormat="false" ht="15" hidden="false" customHeight="false" outlineLevel="0" collapsed="false">
      <c r="B1991" s="12" t="str">
        <f aca="false">IF(A1991="","",IFERROR(INDEX(Recipes!$B:$B,MATCH(A1991,Recipes!$A:$A,0)),"⚠ unknown recipe_id"))</f>
        <v/>
      </c>
      <c r="E1991" s="12" t="str">
        <f aca="false">IF(C1991="","",IFERROR(INDEX('Ingredient Catalog'!$C:$C,MATCH(C1991,'Ingredient Catalog'!$A:$A,0)),"⚠ not in catalog"))</f>
        <v/>
      </c>
      <c r="G1991" s="12" t="str">
        <f aca="false">IF(A1991="","",COUNTIFS('Weekly Log'!$A:$A,'Grocery List'!$B$3,'Weekly Log'!$C:$C,A1991,'Weekly Log'!$E:$E,"Yes"))</f>
        <v/>
      </c>
      <c r="H1991" s="12" t="str">
        <f aca="false">IF(OR(A1991="",D1991=""),"",D1991*G1991)</f>
        <v/>
      </c>
    </row>
    <row r="1992" customFormat="false" ht="15" hidden="false" customHeight="false" outlineLevel="0" collapsed="false">
      <c r="B1992" s="12" t="str">
        <f aca="false">IF(A1992="","",IFERROR(INDEX(Recipes!$B:$B,MATCH(A1992,Recipes!$A:$A,0)),"⚠ unknown recipe_id"))</f>
        <v/>
      </c>
      <c r="E1992" s="12" t="str">
        <f aca="false">IF(C1992="","",IFERROR(INDEX('Ingredient Catalog'!$C:$C,MATCH(C1992,'Ingredient Catalog'!$A:$A,0)),"⚠ not in catalog"))</f>
        <v/>
      </c>
      <c r="G1992" s="12" t="str">
        <f aca="false">IF(A1992="","",COUNTIFS('Weekly Log'!$A:$A,'Grocery List'!$B$3,'Weekly Log'!$C:$C,A1992,'Weekly Log'!$E:$E,"Yes"))</f>
        <v/>
      </c>
      <c r="H1992" s="12" t="str">
        <f aca="false">IF(OR(A1992="",D1992=""),"",D1992*G1992)</f>
        <v/>
      </c>
    </row>
    <row r="1993" customFormat="false" ht="15" hidden="false" customHeight="false" outlineLevel="0" collapsed="false">
      <c r="B1993" s="12" t="str">
        <f aca="false">IF(A1993="","",IFERROR(INDEX(Recipes!$B:$B,MATCH(A1993,Recipes!$A:$A,0)),"⚠ unknown recipe_id"))</f>
        <v/>
      </c>
      <c r="E1993" s="12" t="str">
        <f aca="false">IF(C1993="","",IFERROR(INDEX('Ingredient Catalog'!$C:$C,MATCH(C1993,'Ingredient Catalog'!$A:$A,0)),"⚠ not in catalog"))</f>
        <v/>
      </c>
      <c r="G1993" s="12" t="str">
        <f aca="false">IF(A1993="","",COUNTIFS('Weekly Log'!$A:$A,'Grocery List'!$B$3,'Weekly Log'!$C:$C,A1993,'Weekly Log'!$E:$E,"Yes"))</f>
        <v/>
      </c>
      <c r="H1993" s="12" t="str">
        <f aca="false">IF(OR(A1993="",D1993=""),"",D1993*G1993)</f>
        <v/>
      </c>
    </row>
    <row r="1994" customFormat="false" ht="15" hidden="false" customHeight="false" outlineLevel="0" collapsed="false">
      <c r="B1994" s="12" t="str">
        <f aca="false">IF(A1994="","",IFERROR(INDEX(Recipes!$B:$B,MATCH(A1994,Recipes!$A:$A,0)),"⚠ unknown recipe_id"))</f>
        <v/>
      </c>
      <c r="E1994" s="12" t="str">
        <f aca="false">IF(C1994="","",IFERROR(INDEX('Ingredient Catalog'!$C:$C,MATCH(C1994,'Ingredient Catalog'!$A:$A,0)),"⚠ not in catalog"))</f>
        <v/>
      </c>
      <c r="G1994" s="12" t="str">
        <f aca="false">IF(A1994="","",COUNTIFS('Weekly Log'!$A:$A,'Grocery List'!$B$3,'Weekly Log'!$C:$C,A1994,'Weekly Log'!$E:$E,"Yes"))</f>
        <v/>
      </c>
      <c r="H1994" s="12" t="str">
        <f aca="false">IF(OR(A1994="",D1994=""),"",D1994*G1994)</f>
        <v/>
      </c>
    </row>
    <row r="1995" customFormat="false" ht="15" hidden="false" customHeight="false" outlineLevel="0" collapsed="false">
      <c r="B1995" s="12" t="str">
        <f aca="false">IF(A1995="","",IFERROR(INDEX(Recipes!$B:$B,MATCH(A1995,Recipes!$A:$A,0)),"⚠ unknown recipe_id"))</f>
        <v/>
      </c>
      <c r="E1995" s="12" t="str">
        <f aca="false">IF(C1995="","",IFERROR(INDEX('Ingredient Catalog'!$C:$C,MATCH(C1995,'Ingredient Catalog'!$A:$A,0)),"⚠ not in catalog"))</f>
        <v/>
      </c>
      <c r="G1995" s="12" t="str">
        <f aca="false">IF(A1995="","",COUNTIFS('Weekly Log'!$A:$A,'Grocery List'!$B$3,'Weekly Log'!$C:$C,A1995,'Weekly Log'!$E:$E,"Yes"))</f>
        <v/>
      </c>
      <c r="H1995" s="12" t="str">
        <f aca="false">IF(OR(A1995="",D1995=""),"",D1995*G1995)</f>
        <v/>
      </c>
    </row>
    <row r="1996" customFormat="false" ht="15" hidden="false" customHeight="false" outlineLevel="0" collapsed="false">
      <c r="B1996" s="12" t="str">
        <f aca="false">IF(A1996="","",IFERROR(INDEX(Recipes!$B:$B,MATCH(A1996,Recipes!$A:$A,0)),"⚠ unknown recipe_id"))</f>
        <v/>
      </c>
      <c r="E1996" s="12" t="str">
        <f aca="false">IF(C1996="","",IFERROR(INDEX('Ingredient Catalog'!$C:$C,MATCH(C1996,'Ingredient Catalog'!$A:$A,0)),"⚠ not in catalog"))</f>
        <v/>
      </c>
      <c r="G1996" s="12" t="str">
        <f aca="false">IF(A1996="","",COUNTIFS('Weekly Log'!$A:$A,'Grocery List'!$B$3,'Weekly Log'!$C:$C,A1996,'Weekly Log'!$E:$E,"Yes"))</f>
        <v/>
      </c>
      <c r="H1996" s="12" t="str">
        <f aca="false">IF(OR(A1996="",D1996=""),"",D1996*G1996)</f>
        <v/>
      </c>
    </row>
    <row r="1997" customFormat="false" ht="15" hidden="false" customHeight="false" outlineLevel="0" collapsed="false">
      <c r="B1997" s="12" t="str">
        <f aca="false">IF(A1997="","",IFERROR(INDEX(Recipes!$B:$B,MATCH(A1997,Recipes!$A:$A,0)),"⚠ unknown recipe_id"))</f>
        <v/>
      </c>
      <c r="E1997" s="12" t="str">
        <f aca="false">IF(C1997="","",IFERROR(INDEX('Ingredient Catalog'!$C:$C,MATCH(C1997,'Ingredient Catalog'!$A:$A,0)),"⚠ not in catalog"))</f>
        <v/>
      </c>
      <c r="G1997" s="12" t="str">
        <f aca="false">IF(A1997="","",COUNTIFS('Weekly Log'!$A:$A,'Grocery List'!$B$3,'Weekly Log'!$C:$C,A1997,'Weekly Log'!$E:$E,"Yes"))</f>
        <v/>
      </c>
      <c r="H1997" s="12" t="str">
        <f aca="false">IF(OR(A1997="",D1997=""),"",D1997*G1997)</f>
        <v/>
      </c>
    </row>
    <row r="1998" customFormat="false" ht="15" hidden="false" customHeight="false" outlineLevel="0" collapsed="false">
      <c r="B1998" s="12" t="str">
        <f aca="false">IF(A1998="","",IFERROR(INDEX(Recipes!$B:$B,MATCH(A1998,Recipes!$A:$A,0)),"⚠ unknown recipe_id"))</f>
        <v/>
      </c>
      <c r="E1998" s="12" t="str">
        <f aca="false">IF(C1998="","",IFERROR(INDEX('Ingredient Catalog'!$C:$C,MATCH(C1998,'Ingredient Catalog'!$A:$A,0)),"⚠ not in catalog"))</f>
        <v/>
      </c>
      <c r="G1998" s="12" t="str">
        <f aca="false">IF(A1998="","",COUNTIFS('Weekly Log'!$A:$A,'Grocery List'!$B$3,'Weekly Log'!$C:$C,A1998,'Weekly Log'!$E:$E,"Yes"))</f>
        <v/>
      </c>
      <c r="H1998" s="12" t="str">
        <f aca="false">IF(OR(A1998="",D1998=""),"",D1998*G1998)</f>
        <v/>
      </c>
    </row>
    <row r="1999" customFormat="false" ht="15" hidden="false" customHeight="false" outlineLevel="0" collapsed="false">
      <c r="B1999" s="12" t="str">
        <f aca="false">IF(A1999="","",IFERROR(INDEX(Recipes!$B:$B,MATCH(A1999,Recipes!$A:$A,0)),"⚠ unknown recipe_id"))</f>
        <v/>
      </c>
      <c r="E1999" s="12" t="str">
        <f aca="false">IF(C1999="","",IFERROR(INDEX('Ingredient Catalog'!$C:$C,MATCH(C1999,'Ingredient Catalog'!$A:$A,0)),"⚠ not in catalog"))</f>
        <v/>
      </c>
      <c r="G1999" s="12" t="str">
        <f aca="false">IF(A1999="","",COUNTIFS('Weekly Log'!$A:$A,'Grocery List'!$B$3,'Weekly Log'!$C:$C,A1999,'Weekly Log'!$E:$E,"Yes"))</f>
        <v/>
      </c>
      <c r="H1999" s="12" t="str">
        <f aca="false">IF(OR(A1999="",D1999=""),"",D1999*G1999)</f>
        <v/>
      </c>
    </row>
    <row r="2000" customFormat="false" ht="15" hidden="false" customHeight="false" outlineLevel="0" collapsed="false">
      <c r="B2000" s="12" t="str">
        <f aca="false">IF(A2000="","",IFERROR(INDEX(Recipes!$B:$B,MATCH(A2000,Recipes!$A:$A,0)),"⚠ unknown recipe_id"))</f>
        <v/>
      </c>
      <c r="E2000" s="12" t="str">
        <f aca="false">IF(C2000="","",IFERROR(INDEX('Ingredient Catalog'!$C:$C,MATCH(C2000,'Ingredient Catalog'!$A:$A,0)),"⚠ not in catalog"))</f>
        <v/>
      </c>
      <c r="G2000" s="12" t="str">
        <f aca="false">IF(A2000="","",COUNTIFS('Weekly Log'!$A:$A,'Grocery List'!$B$3,'Weekly Log'!$C:$C,A2000,'Weekly Log'!$E:$E,"Yes"))</f>
        <v/>
      </c>
      <c r="H2000" s="12" t="str">
        <f aca="false">IF(OR(A2000="",D2000=""),"",D2000*G2000)</f>
        <v/>
      </c>
    </row>
    <row r="2001" customFormat="false" ht="15" hidden="false" customHeight="false" outlineLevel="0" collapsed="false">
      <c r="B2001" s="12" t="str">
        <f aca="false">IF(A2001="","",IFERROR(INDEX(Recipes!$B:$B,MATCH(A2001,Recipes!$A:$A,0)),"⚠ unknown recipe_id"))</f>
        <v/>
      </c>
      <c r="E2001" s="12" t="str">
        <f aca="false">IF(C2001="","",IFERROR(INDEX('Ingredient Catalog'!$C:$C,MATCH(C2001,'Ingredient Catalog'!$A:$A,0)),"⚠ not in catalog"))</f>
        <v/>
      </c>
      <c r="G2001" s="12" t="str">
        <f aca="false">IF(A2001="","",COUNTIFS('Weekly Log'!$A:$A,'Grocery List'!$B$3,'Weekly Log'!$C:$C,A2001,'Weekly Log'!$E:$E,"Yes"))</f>
        <v/>
      </c>
      <c r="H2001" s="12" t="str">
        <f aca="false">IF(OR(A2001="",D2001=""),"",D2001*G2001)</f>
        <v/>
      </c>
    </row>
    <row r="2002" customFormat="false" ht="15" hidden="false" customHeight="false" outlineLevel="0" collapsed="false">
      <c r="B2002" s="12" t="str">
        <f aca="false">IF(A2002="","",IFERROR(INDEX(Recipes!$B:$B,MATCH(A2002,Recipes!$A:$A,0)),"⚠ unknown recipe_id"))</f>
        <v/>
      </c>
      <c r="E2002" s="12" t="str">
        <f aca="false">IF(C2002="","",IFERROR(INDEX('Ingredient Catalog'!$C:$C,MATCH(C2002,'Ingredient Catalog'!$A:$A,0)),"⚠ not in catalog"))</f>
        <v/>
      </c>
      <c r="G2002" s="12" t="str">
        <f aca="false">IF(A2002="","",COUNTIFS('Weekly Log'!$A:$A,'Grocery List'!$B$3,'Weekly Log'!$C:$C,A2002,'Weekly Log'!$E:$E,"Yes"))</f>
        <v/>
      </c>
      <c r="H2002" s="12" t="str">
        <f aca="false">IF(OR(A2002="",D2002=""),"",D2002*G2002)</f>
        <v/>
      </c>
    </row>
    <row r="2003" customFormat="false" ht="15" hidden="false" customHeight="false" outlineLevel="0" collapsed="false">
      <c r="B2003" s="12" t="str">
        <f aca="false">IF(A2003="","",IFERROR(INDEX(Recipes!$B:$B,MATCH(A2003,Recipes!$A:$A,0)),"⚠ unknown recipe_id"))</f>
        <v/>
      </c>
      <c r="E2003" s="12" t="str">
        <f aca="false">IF(C2003="","",IFERROR(INDEX('Ingredient Catalog'!$C:$C,MATCH(C2003,'Ingredient Catalog'!$A:$A,0)),"⚠ not in catalog"))</f>
        <v/>
      </c>
      <c r="G2003" s="12" t="str">
        <f aca="false">IF(A2003="","",COUNTIFS('Weekly Log'!$A:$A,'Grocery List'!$B$3,'Weekly Log'!$C:$C,A2003,'Weekly Log'!$E:$E,"Yes"))</f>
        <v/>
      </c>
      <c r="H2003" s="12" t="str">
        <f aca="false">IF(OR(A2003="",D2003=""),"",D2003*G2003)</f>
        <v/>
      </c>
    </row>
    <row r="2004" customFormat="false" ht="15" hidden="false" customHeight="false" outlineLevel="0" collapsed="false">
      <c r="B2004" s="12" t="str">
        <f aca="false">IF(A2004="","",IFERROR(INDEX(Recipes!$B:$B,MATCH(A2004,Recipes!$A:$A,0)),"⚠ unknown recipe_id"))</f>
        <v/>
      </c>
      <c r="E2004" s="12" t="str">
        <f aca="false">IF(C2004="","",IFERROR(INDEX('Ingredient Catalog'!$C:$C,MATCH(C2004,'Ingredient Catalog'!$A:$A,0)),"⚠ not in catalog"))</f>
        <v/>
      </c>
      <c r="G2004" s="12" t="str">
        <f aca="false">IF(A2004="","",COUNTIFS('Weekly Log'!$A:$A,'Grocery List'!$B$3,'Weekly Log'!$C:$C,A2004,'Weekly Log'!$E:$E,"Yes"))</f>
        <v/>
      </c>
      <c r="H2004" s="12" t="str">
        <f aca="false">IF(OR(A2004="",D2004=""),"",D2004*G2004)</f>
        <v/>
      </c>
    </row>
    <row r="2005" customFormat="false" ht="15" hidden="false" customHeight="false" outlineLevel="0" collapsed="false">
      <c r="B2005" s="12" t="str">
        <f aca="false">IF(A2005="","",IFERROR(INDEX(Recipes!$B:$B,MATCH(A2005,Recipes!$A:$A,0)),"⚠ unknown recipe_id"))</f>
        <v/>
      </c>
      <c r="E2005" s="12" t="str">
        <f aca="false">IF(C2005="","",IFERROR(INDEX('Ingredient Catalog'!$C:$C,MATCH(C2005,'Ingredient Catalog'!$A:$A,0)),"⚠ not in catalog"))</f>
        <v/>
      </c>
      <c r="G2005" s="12" t="str">
        <f aca="false">IF(A2005="","",COUNTIFS('Weekly Log'!$A:$A,'Grocery List'!$B$3,'Weekly Log'!$C:$C,A2005,'Weekly Log'!$E:$E,"Yes"))</f>
        <v/>
      </c>
      <c r="H2005" s="12" t="str">
        <f aca="false">IF(OR(A2005="",D2005=""),"",D2005*G2005)</f>
        <v/>
      </c>
    </row>
    <row r="2006" customFormat="false" ht="15" hidden="false" customHeight="false" outlineLevel="0" collapsed="false">
      <c r="B2006" s="12" t="str">
        <f aca="false">IF(A2006="","",IFERROR(INDEX(Recipes!$B:$B,MATCH(A2006,Recipes!$A:$A,0)),"⚠ unknown recipe_id"))</f>
        <v/>
      </c>
      <c r="E2006" s="12" t="str">
        <f aca="false">IF(C2006="","",IFERROR(INDEX('Ingredient Catalog'!$C:$C,MATCH(C2006,'Ingredient Catalog'!$A:$A,0)),"⚠ not in catalog"))</f>
        <v/>
      </c>
      <c r="G2006" s="12" t="str">
        <f aca="false">IF(A2006="","",COUNTIFS('Weekly Log'!$A:$A,'Grocery List'!$B$3,'Weekly Log'!$C:$C,A2006,'Weekly Log'!$E:$E,"Yes"))</f>
        <v/>
      </c>
      <c r="H2006" s="12" t="str">
        <f aca="false">IF(OR(A2006="",D2006=""),"",D2006*G2006)</f>
        <v/>
      </c>
    </row>
    <row r="2007" customFormat="false" ht="15" hidden="false" customHeight="false" outlineLevel="0" collapsed="false">
      <c r="B2007" s="12" t="str">
        <f aca="false">IF(A2007="","",IFERROR(INDEX(Recipes!$B:$B,MATCH(A2007,Recipes!$A:$A,0)),"⚠ unknown recipe_id"))</f>
        <v/>
      </c>
      <c r="E2007" s="12" t="str">
        <f aca="false">IF(C2007="","",IFERROR(INDEX('Ingredient Catalog'!$C:$C,MATCH(C2007,'Ingredient Catalog'!$A:$A,0)),"⚠ not in catalog"))</f>
        <v/>
      </c>
      <c r="G2007" s="12" t="str">
        <f aca="false">IF(A2007="","",COUNTIFS('Weekly Log'!$A:$A,'Grocery List'!$B$3,'Weekly Log'!$C:$C,A2007,'Weekly Log'!$E:$E,"Yes"))</f>
        <v/>
      </c>
      <c r="H2007" s="12" t="str">
        <f aca="false">IF(OR(A2007="",D2007=""),"",D2007*G2007)</f>
        <v/>
      </c>
    </row>
    <row r="2008" customFormat="false" ht="15" hidden="false" customHeight="false" outlineLevel="0" collapsed="false">
      <c r="B2008" s="12" t="str">
        <f aca="false">IF(A2008="","",IFERROR(INDEX(Recipes!$B:$B,MATCH(A2008,Recipes!$A:$A,0)),"⚠ unknown recipe_id"))</f>
        <v/>
      </c>
      <c r="E2008" s="12" t="str">
        <f aca="false">IF(C2008="","",IFERROR(INDEX('Ingredient Catalog'!$C:$C,MATCH(C2008,'Ingredient Catalog'!$A:$A,0)),"⚠ not in catalog"))</f>
        <v/>
      </c>
      <c r="G2008" s="12" t="str">
        <f aca="false">IF(A2008="","",COUNTIFS('Weekly Log'!$A:$A,'Grocery List'!$B$3,'Weekly Log'!$C:$C,A2008,'Weekly Log'!$E:$E,"Yes"))</f>
        <v/>
      </c>
      <c r="H2008" s="12" t="str">
        <f aca="false">IF(OR(A2008="",D2008=""),"",D2008*G2008)</f>
        <v/>
      </c>
    </row>
    <row r="2009" customFormat="false" ht="15" hidden="false" customHeight="false" outlineLevel="0" collapsed="false">
      <c r="B2009" s="12" t="str">
        <f aca="false">IF(A2009="","",IFERROR(INDEX(Recipes!$B:$B,MATCH(A2009,Recipes!$A:$A,0)),"⚠ unknown recipe_id"))</f>
        <v/>
      </c>
      <c r="E2009" s="12" t="str">
        <f aca="false">IF(C2009="","",IFERROR(INDEX('Ingredient Catalog'!$C:$C,MATCH(C2009,'Ingredient Catalog'!$A:$A,0)),"⚠ not in catalog"))</f>
        <v/>
      </c>
      <c r="G2009" s="12" t="str">
        <f aca="false">IF(A2009="","",COUNTIFS('Weekly Log'!$A:$A,'Grocery List'!$B$3,'Weekly Log'!$C:$C,A2009,'Weekly Log'!$E:$E,"Yes"))</f>
        <v/>
      </c>
      <c r="H2009" s="12" t="str">
        <f aca="false">IF(OR(A2009="",D2009=""),"",D2009*G2009)</f>
        <v/>
      </c>
    </row>
    <row r="2010" customFormat="false" ht="15" hidden="false" customHeight="false" outlineLevel="0" collapsed="false">
      <c r="B2010" s="12" t="str">
        <f aca="false">IF(A2010="","",IFERROR(INDEX(Recipes!$B:$B,MATCH(A2010,Recipes!$A:$A,0)),"⚠ unknown recipe_id"))</f>
        <v/>
      </c>
      <c r="E2010" s="12" t="str">
        <f aca="false">IF(C2010="","",IFERROR(INDEX('Ingredient Catalog'!$C:$C,MATCH(C2010,'Ingredient Catalog'!$A:$A,0)),"⚠ not in catalog"))</f>
        <v/>
      </c>
      <c r="G2010" s="12" t="str">
        <f aca="false">IF(A2010="","",COUNTIFS('Weekly Log'!$A:$A,'Grocery List'!$B$3,'Weekly Log'!$C:$C,A2010,'Weekly Log'!$E:$E,"Yes"))</f>
        <v/>
      </c>
      <c r="H2010" s="12" t="str">
        <f aca="false">IF(OR(A2010="",D2010=""),"",D2010*G2010)</f>
        <v/>
      </c>
    </row>
    <row r="2011" customFormat="false" ht="15" hidden="false" customHeight="false" outlineLevel="0" collapsed="false">
      <c r="B2011" s="12" t="str">
        <f aca="false">IF(A2011="","",IFERROR(INDEX(Recipes!$B:$B,MATCH(A2011,Recipes!$A:$A,0)),"⚠ unknown recipe_id"))</f>
        <v/>
      </c>
      <c r="E2011" s="12" t="str">
        <f aca="false">IF(C2011="","",IFERROR(INDEX('Ingredient Catalog'!$C:$C,MATCH(C2011,'Ingredient Catalog'!$A:$A,0)),"⚠ not in catalog"))</f>
        <v/>
      </c>
      <c r="G2011" s="12" t="str">
        <f aca="false">IF(A2011="","",COUNTIFS('Weekly Log'!$A:$A,'Grocery List'!$B$3,'Weekly Log'!$C:$C,A2011,'Weekly Log'!$E:$E,"Yes"))</f>
        <v/>
      </c>
      <c r="H2011" s="12" t="str">
        <f aca="false">IF(OR(A2011="",D2011=""),"",D2011*G2011)</f>
        <v/>
      </c>
    </row>
    <row r="2012" customFormat="false" ht="15" hidden="false" customHeight="false" outlineLevel="0" collapsed="false">
      <c r="B2012" s="12" t="str">
        <f aca="false">IF(A2012="","",IFERROR(INDEX(Recipes!$B:$B,MATCH(A2012,Recipes!$A:$A,0)),"⚠ unknown recipe_id"))</f>
        <v/>
      </c>
      <c r="E2012" s="12" t="str">
        <f aca="false">IF(C2012="","",IFERROR(INDEX('Ingredient Catalog'!$C:$C,MATCH(C2012,'Ingredient Catalog'!$A:$A,0)),"⚠ not in catalog"))</f>
        <v/>
      </c>
      <c r="G2012" s="12" t="str">
        <f aca="false">IF(A2012="","",COUNTIFS('Weekly Log'!$A:$A,'Grocery List'!$B$3,'Weekly Log'!$C:$C,A2012,'Weekly Log'!$E:$E,"Yes"))</f>
        <v/>
      </c>
      <c r="H2012" s="12" t="str">
        <f aca="false">IF(OR(A2012="",D2012=""),"",D2012*G2012)</f>
        <v/>
      </c>
    </row>
    <row r="2013" customFormat="false" ht="15" hidden="false" customHeight="false" outlineLevel="0" collapsed="false">
      <c r="B2013" s="12" t="str">
        <f aca="false">IF(A2013="","",IFERROR(INDEX(Recipes!$B:$B,MATCH(A2013,Recipes!$A:$A,0)),"⚠ unknown recipe_id"))</f>
        <v/>
      </c>
      <c r="E2013" s="12" t="str">
        <f aca="false">IF(C2013="","",IFERROR(INDEX('Ingredient Catalog'!$C:$C,MATCH(C2013,'Ingredient Catalog'!$A:$A,0)),"⚠ not in catalog"))</f>
        <v/>
      </c>
      <c r="G2013" s="12" t="str">
        <f aca="false">IF(A2013="","",COUNTIFS('Weekly Log'!$A:$A,'Grocery List'!$B$3,'Weekly Log'!$C:$C,A2013,'Weekly Log'!$E:$E,"Yes"))</f>
        <v/>
      </c>
      <c r="H2013" s="12" t="str">
        <f aca="false">IF(OR(A2013="",D2013=""),"",D2013*G2013)</f>
        <v/>
      </c>
    </row>
    <row r="2014" customFormat="false" ht="15" hidden="false" customHeight="false" outlineLevel="0" collapsed="false">
      <c r="B2014" s="12" t="str">
        <f aca="false">IF(A2014="","",IFERROR(INDEX(Recipes!$B:$B,MATCH(A2014,Recipes!$A:$A,0)),"⚠ unknown recipe_id"))</f>
        <v/>
      </c>
      <c r="E2014" s="12" t="str">
        <f aca="false">IF(C2014="","",IFERROR(INDEX('Ingredient Catalog'!$C:$C,MATCH(C2014,'Ingredient Catalog'!$A:$A,0)),"⚠ not in catalog"))</f>
        <v/>
      </c>
      <c r="G2014" s="12" t="str">
        <f aca="false">IF(A2014="","",COUNTIFS('Weekly Log'!$A:$A,'Grocery List'!$B$3,'Weekly Log'!$C:$C,A2014,'Weekly Log'!$E:$E,"Yes"))</f>
        <v/>
      </c>
      <c r="H2014" s="12" t="str">
        <f aca="false">IF(OR(A2014="",D2014=""),"",D2014*G2014)</f>
        <v/>
      </c>
    </row>
    <row r="2015" customFormat="false" ht="15" hidden="false" customHeight="false" outlineLevel="0" collapsed="false">
      <c r="B2015" s="12" t="str">
        <f aca="false">IF(A2015="","",IFERROR(INDEX(Recipes!$B:$B,MATCH(A2015,Recipes!$A:$A,0)),"⚠ unknown recipe_id"))</f>
        <v/>
      </c>
      <c r="E2015" s="12" t="str">
        <f aca="false">IF(C2015="","",IFERROR(INDEX('Ingredient Catalog'!$C:$C,MATCH(C2015,'Ingredient Catalog'!$A:$A,0)),"⚠ not in catalog"))</f>
        <v/>
      </c>
      <c r="G2015" s="12" t="str">
        <f aca="false">IF(A2015="","",COUNTIFS('Weekly Log'!$A:$A,'Grocery List'!$B$3,'Weekly Log'!$C:$C,A2015,'Weekly Log'!$E:$E,"Yes"))</f>
        <v/>
      </c>
      <c r="H2015" s="12" t="str">
        <f aca="false">IF(OR(A2015="",D2015=""),"",D2015*G2015)</f>
        <v/>
      </c>
    </row>
    <row r="2016" customFormat="false" ht="15" hidden="false" customHeight="false" outlineLevel="0" collapsed="false">
      <c r="B2016" s="12" t="str">
        <f aca="false">IF(A2016="","",IFERROR(INDEX(Recipes!$B:$B,MATCH(A2016,Recipes!$A:$A,0)),"⚠ unknown recipe_id"))</f>
        <v/>
      </c>
      <c r="E2016" s="12" t="str">
        <f aca="false">IF(C2016="","",IFERROR(INDEX('Ingredient Catalog'!$C:$C,MATCH(C2016,'Ingredient Catalog'!$A:$A,0)),"⚠ not in catalog"))</f>
        <v/>
      </c>
      <c r="G2016" s="12" t="str">
        <f aca="false">IF(A2016="","",COUNTIFS('Weekly Log'!$A:$A,'Grocery List'!$B$3,'Weekly Log'!$C:$C,A2016,'Weekly Log'!$E:$E,"Yes"))</f>
        <v/>
      </c>
      <c r="H2016" s="12" t="str">
        <f aca="false">IF(OR(A2016="",D2016=""),"",D2016*G2016)</f>
        <v/>
      </c>
    </row>
    <row r="2017" customFormat="false" ht="15" hidden="false" customHeight="false" outlineLevel="0" collapsed="false">
      <c r="B2017" s="12" t="str">
        <f aca="false">IF(A2017="","",IFERROR(INDEX(Recipes!$B:$B,MATCH(A2017,Recipes!$A:$A,0)),"⚠ unknown recipe_id"))</f>
        <v/>
      </c>
      <c r="E2017" s="12" t="str">
        <f aca="false">IF(C2017="","",IFERROR(INDEX('Ingredient Catalog'!$C:$C,MATCH(C2017,'Ingredient Catalog'!$A:$A,0)),"⚠ not in catalog"))</f>
        <v/>
      </c>
      <c r="G2017" s="12" t="str">
        <f aca="false">IF(A2017="","",COUNTIFS('Weekly Log'!$A:$A,'Grocery List'!$B$3,'Weekly Log'!$C:$C,A2017,'Weekly Log'!$E:$E,"Yes"))</f>
        <v/>
      </c>
      <c r="H2017" s="12" t="str">
        <f aca="false">IF(OR(A2017="",D2017=""),"",D2017*G2017)</f>
        <v/>
      </c>
    </row>
    <row r="2018" customFormat="false" ht="15" hidden="false" customHeight="false" outlineLevel="0" collapsed="false">
      <c r="B2018" s="12" t="str">
        <f aca="false">IF(A2018="","",IFERROR(INDEX(Recipes!$B:$B,MATCH(A2018,Recipes!$A:$A,0)),"⚠ unknown recipe_id"))</f>
        <v/>
      </c>
      <c r="E2018" s="12" t="str">
        <f aca="false">IF(C2018="","",IFERROR(INDEX('Ingredient Catalog'!$C:$C,MATCH(C2018,'Ingredient Catalog'!$A:$A,0)),"⚠ not in catalog"))</f>
        <v/>
      </c>
      <c r="G2018" s="12" t="str">
        <f aca="false">IF(A2018="","",COUNTIFS('Weekly Log'!$A:$A,'Grocery List'!$B$3,'Weekly Log'!$C:$C,A2018,'Weekly Log'!$E:$E,"Yes"))</f>
        <v/>
      </c>
      <c r="H2018" s="12" t="str">
        <f aca="false">IF(OR(A2018="",D2018=""),"",D2018*G2018)</f>
        <v/>
      </c>
    </row>
    <row r="2019" customFormat="false" ht="15" hidden="false" customHeight="false" outlineLevel="0" collapsed="false">
      <c r="B2019" s="12" t="str">
        <f aca="false">IF(A2019="","",IFERROR(INDEX(Recipes!$B:$B,MATCH(A2019,Recipes!$A:$A,0)),"⚠ unknown recipe_id"))</f>
        <v/>
      </c>
      <c r="E2019" s="12" t="str">
        <f aca="false">IF(C2019="","",IFERROR(INDEX('Ingredient Catalog'!$C:$C,MATCH(C2019,'Ingredient Catalog'!$A:$A,0)),"⚠ not in catalog"))</f>
        <v/>
      </c>
      <c r="G2019" s="12" t="str">
        <f aca="false">IF(A2019="","",COUNTIFS('Weekly Log'!$A:$A,'Grocery List'!$B$3,'Weekly Log'!$C:$C,A2019,'Weekly Log'!$E:$E,"Yes"))</f>
        <v/>
      </c>
      <c r="H2019" s="12" t="str">
        <f aca="false">IF(OR(A2019="",D2019=""),"",D2019*G2019)</f>
        <v/>
      </c>
    </row>
    <row r="2020" customFormat="false" ht="15" hidden="false" customHeight="false" outlineLevel="0" collapsed="false">
      <c r="B2020" s="12" t="str">
        <f aca="false">IF(A2020="","",IFERROR(INDEX(Recipes!$B:$B,MATCH(A2020,Recipes!$A:$A,0)),"⚠ unknown recipe_id"))</f>
        <v/>
      </c>
      <c r="E2020" s="12" t="str">
        <f aca="false">IF(C2020="","",IFERROR(INDEX('Ingredient Catalog'!$C:$C,MATCH(C2020,'Ingredient Catalog'!$A:$A,0)),"⚠ not in catalog"))</f>
        <v/>
      </c>
      <c r="G2020" s="12" t="str">
        <f aca="false">IF(A2020="","",COUNTIFS('Weekly Log'!$A:$A,'Grocery List'!$B$3,'Weekly Log'!$C:$C,A2020,'Weekly Log'!$E:$E,"Yes"))</f>
        <v/>
      </c>
      <c r="H2020" s="12" t="str">
        <f aca="false">IF(OR(A2020="",D2020=""),"",D2020*G2020)</f>
        <v/>
      </c>
    </row>
    <row r="2021" customFormat="false" ht="15" hidden="false" customHeight="false" outlineLevel="0" collapsed="false">
      <c r="B2021" s="12" t="str">
        <f aca="false">IF(A2021="","",IFERROR(INDEX(Recipes!$B:$B,MATCH(A2021,Recipes!$A:$A,0)),"⚠ unknown recipe_id"))</f>
        <v/>
      </c>
      <c r="E2021" s="12" t="str">
        <f aca="false">IF(C2021="","",IFERROR(INDEX('Ingredient Catalog'!$C:$C,MATCH(C2021,'Ingredient Catalog'!$A:$A,0)),"⚠ not in catalog"))</f>
        <v/>
      </c>
      <c r="G2021" s="12" t="str">
        <f aca="false">IF(A2021="","",COUNTIFS('Weekly Log'!$A:$A,'Grocery List'!$B$3,'Weekly Log'!$C:$C,A2021,'Weekly Log'!$E:$E,"Yes"))</f>
        <v/>
      </c>
      <c r="H2021" s="12" t="str">
        <f aca="false">IF(OR(A2021="",D2021=""),"",D2021*G2021)</f>
        <v/>
      </c>
    </row>
    <row r="2022" customFormat="false" ht="15" hidden="false" customHeight="false" outlineLevel="0" collapsed="false">
      <c r="B2022" s="12" t="str">
        <f aca="false">IF(A2022="","",IFERROR(INDEX(Recipes!$B:$B,MATCH(A2022,Recipes!$A:$A,0)),"⚠ unknown recipe_id"))</f>
        <v/>
      </c>
      <c r="E2022" s="12" t="str">
        <f aca="false">IF(C2022="","",IFERROR(INDEX('Ingredient Catalog'!$C:$C,MATCH(C2022,'Ingredient Catalog'!$A:$A,0)),"⚠ not in catalog"))</f>
        <v/>
      </c>
      <c r="G2022" s="12" t="str">
        <f aca="false">IF(A2022="","",COUNTIFS('Weekly Log'!$A:$A,'Grocery List'!$B$3,'Weekly Log'!$C:$C,A2022,'Weekly Log'!$E:$E,"Yes"))</f>
        <v/>
      </c>
      <c r="H2022" s="12" t="str">
        <f aca="false">IF(OR(A2022="",D2022=""),"",D2022*G2022)</f>
        <v/>
      </c>
    </row>
    <row r="2023" customFormat="false" ht="15" hidden="false" customHeight="false" outlineLevel="0" collapsed="false">
      <c r="B2023" s="12" t="str">
        <f aca="false">IF(A2023="","",IFERROR(INDEX(Recipes!$B:$B,MATCH(A2023,Recipes!$A:$A,0)),"⚠ unknown recipe_id"))</f>
        <v/>
      </c>
      <c r="E2023" s="12" t="str">
        <f aca="false">IF(C2023="","",IFERROR(INDEX('Ingredient Catalog'!$C:$C,MATCH(C2023,'Ingredient Catalog'!$A:$A,0)),"⚠ not in catalog"))</f>
        <v/>
      </c>
      <c r="G2023" s="12" t="str">
        <f aca="false">IF(A2023="","",COUNTIFS('Weekly Log'!$A:$A,'Grocery List'!$B$3,'Weekly Log'!$C:$C,A2023,'Weekly Log'!$E:$E,"Yes"))</f>
        <v/>
      </c>
      <c r="H2023" s="12" t="str">
        <f aca="false">IF(OR(A2023="",D2023=""),"",D2023*G2023)</f>
        <v/>
      </c>
    </row>
    <row r="2024" customFormat="false" ht="15" hidden="false" customHeight="false" outlineLevel="0" collapsed="false">
      <c r="B2024" s="12" t="str">
        <f aca="false">IF(A2024="","",IFERROR(INDEX(Recipes!$B:$B,MATCH(A2024,Recipes!$A:$A,0)),"⚠ unknown recipe_id"))</f>
        <v/>
      </c>
      <c r="E2024" s="12" t="str">
        <f aca="false">IF(C2024="","",IFERROR(INDEX('Ingredient Catalog'!$C:$C,MATCH(C2024,'Ingredient Catalog'!$A:$A,0)),"⚠ not in catalog"))</f>
        <v/>
      </c>
      <c r="G2024" s="12" t="str">
        <f aca="false">IF(A2024="","",COUNTIFS('Weekly Log'!$A:$A,'Grocery List'!$B$3,'Weekly Log'!$C:$C,A2024,'Weekly Log'!$E:$E,"Yes"))</f>
        <v/>
      </c>
      <c r="H2024" s="12" t="str">
        <f aca="false">IF(OR(A2024="",D2024=""),"",D2024*G2024)</f>
        <v/>
      </c>
    </row>
    <row r="2025" customFormat="false" ht="15" hidden="false" customHeight="false" outlineLevel="0" collapsed="false">
      <c r="B2025" s="12" t="str">
        <f aca="false">IF(A2025="","",IFERROR(INDEX(Recipes!$B:$B,MATCH(A2025,Recipes!$A:$A,0)),"⚠ unknown recipe_id"))</f>
        <v/>
      </c>
      <c r="E2025" s="12" t="str">
        <f aca="false">IF(C2025="","",IFERROR(INDEX('Ingredient Catalog'!$C:$C,MATCH(C2025,'Ingredient Catalog'!$A:$A,0)),"⚠ not in catalog"))</f>
        <v/>
      </c>
      <c r="G2025" s="12" t="str">
        <f aca="false">IF(A2025="","",COUNTIFS('Weekly Log'!$A:$A,'Grocery List'!$B$3,'Weekly Log'!$C:$C,A2025,'Weekly Log'!$E:$E,"Yes"))</f>
        <v/>
      </c>
      <c r="H2025" s="12" t="str">
        <f aca="false">IF(OR(A2025="",D2025=""),"",D2025*G2025)</f>
        <v/>
      </c>
    </row>
    <row r="2026" customFormat="false" ht="15" hidden="false" customHeight="false" outlineLevel="0" collapsed="false">
      <c r="B2026" s="12" t="str">
        <f aca="false">IF(A2026="","",IFERROR(INDEX(Recipes!$B:$B,MATCH(A2026,Recipes!$A:$A,0)),"⚠ unknown recipe_id"))</f>
        <v/>
      </c>
      <c r="E2026" s="12" t="str">
        <f aca="false">IF(C2026="","",IFERROR(INDEX('Ingredient Catalog'!$C:$C,MATCH(C2026,'Ingredient Catalog'!$A:$A,0)),"⚠ not in catalog"))</f>
        <v/>
      </c>
      <c r="G2026" s="12" t="str">
        <f aca="false">IF(A2026="","",COUNTIFS('Weekly Log'!$A:$A,'Grocery List'!$B$3,'Weekly Log'!$C:$C,A2026,'Weekly Log'!$E:$E,"Yes"))</f>
        <v/>
      </c>
      <c r="H2026" s="12" t="str">
        <f aca="false">IF(OR(A2026="",D2026=""),"",D2026*G2026)</f>
        <v/>
      </c>
    </row>
    <row r="2027" customFormat="false" ht="15" hidden="false" customHeight="false" outlineLevel="0" collapsed="false">
      <c r="B2027" s="12" t="str">
        <f aca="false">IF(A2027="","",IFERROR(INDEX(Recipes!$B:$B,MATCH(A2027,Recipes!$A:$A,0)),"⚠ unknown recipe_id"))</f>
        <v/>
      </c>
      <c r="E2027" s="12" t="str">
        <f aca="false">IF(C2027="","",IFERROR(INDEX('Ingredient Catalog'!$C:$C,MATCH(C2027,'Ingredient Catalog'!$A:$A,0)),"⚠ not in catalog"))</f>
        <v/>
      </c>
      <c r="G2027" s="12" t="str">
        <f aca="false">IF(A2027="","",COUNTIFS('Weekly Log'!$A:$A,'Grocery List'!$B$3,'Weekly Log'!$C:$C,A2027,'Weekly Log'!$E:$E,"Yes"))</f>
        <v/>
      </c>
      <c r="H2027" s="12" t="str">
        <f aca="false">IF(OR(A2027="",D2027=""),"",D2027*G2027)</f>
        <v/>
      </c>
    </row>
    <row r="2028" customFormat="false" ht="15" hidden="false" customHeight="false" outlineLevel="0" collapsed="false">
      <c r="B2028" s="12" t="str">
        <f aca="false">IF(A2028="","",IFERROR(INDEX(Recipes!$B:$B,MATCH(A2028,Recipes!$A:$A,0)),"⚠ unknown recipe_id"))</f>
        <v/>
      </c>
      <c r="E2028" s="12" t="str">
        <f aca="false">IF(C2028="","",IFERROR(INDEX('Ingredient Catalog'!$C:$C,MATCH(C2028,'Ingredient Catalog'!$A:$A,0)),"⚠ not in catalog"))</f>
        <v/>
      </c>
      <c r="G2028" s="12" t="str">
        <f aca="false">IF(A2028="","",COUNTIFS('Weekly Log'!$A:$A,'Grocery List'!$B$3,'Weekly Log'!$C:$C,A2028,'Weekly Log'!$E:$E,"Yes"))</f>
        <v/>
      </c>
      <c r="H2028" s="12" t="str">
        <f aca="false">IF(OR(A2028="",D2028=""),"",D2028*G2028)</f>
        <v/>
      </c>
    </row>
    <row r="2029" customFormat="false" ht="15" hidden="false" customHeight="false" outlineLevel="0" collapsed="false">
      <c r="B2029" s="12" t="str">
        <f aca="false">IF(A2029="","",IFERROR(INDEX(Recipes!$B:$B,MATCH(A2029,Recipes!$A:$A,0)),"⚠ unknown recipe_id"))</f>
        <v/>
      </c>
      <c r="E2029" s="12" t="str">
        <f aca="false">IF(C2029="","",IFERROR(INDEX('Ingredient Catalog'!$C:$C,MATCH(C2029,'Ingredient Catalog'!$A:$A,0)),"⚠ not in catalog"))</f>
        <v/>
      </c>
      <c r="G2029" s="12" t="str">
        <f aca="false">IF(A2029="","",COUNTIFS('Weekly Log'!$A:$A,'Grocery List'!$B$3,'Weekly Log'!$C:$C,A2029,'Weekly Log'!$E:$E,"Yes"))</f>
        <v/>
      </c>
      <c r="H2029" s="12" t="str">
        <f aca="false">IF(OR(A2029="",D2029=""),"",D2029*G2029)</f>
        <v/>
      </c>
    </row>
    <row r="2030" customFormat="false" ht="15" hidden="false" customHeight="false" outlineLevel="0" collapsed="false">
      <c r="B2030" s="12" t="str">
        <f aca="false">IF(A2030="","",IFERROR(INDEX(Recipes!$B:$B,MATCH(A2030,Recipes!$A:$A,0)),"⚠ unknown recipe_id"))</f>
        <v/>
      </c>
      <c r="E2030" s="12" t="str">
        <f aca="false">IF(C2030="","",IFERROR(INDEX('Ingredient Catalog'!$C:$C,MATCH(C2030,'Ingredient Catalog'!$A:$A,0)),"⚠ not in catalog"))</f>
        <v/>
      </c>
      <c r="G2030" s="12" t="str">
        <f aca="false">IF(A2030="","",COUNTIFS('Weekly Log'!$A:$A,'Grocery List'!$B$3,'Weekly Log'!$C:$C,A2030,'Weekly Log'!$E:$E,"Yes"))</f>
        <v/>
      </c>
      <c r="H2030" s="12" t="str">
        <f aca="false">IF(OR(A2030="",D2030=""),"",D2030*G2030)</f>
        <v/>
      </c>
    </row>
    <row r="2031" customFormat="false" ht="15" hidden="false" customHeight="false" outlineLevel="0" collapsed="false">
      <c r="B2031" s="12" t="str">
        <f aca="false">IF(A2031="","",IFERROR(INDEX(Recipes!$B:$B,MATCH(A2031,Recipes!$A:$A,0)),"⚠ unknown recipe_id"))</f>
        <v/>
      </c>
      <c r="E2031" s="12" t="str">
        <f aca="false">IF(C2031="","",IFERROR(INDEX('Ingredient Catalog'!$C:$C,MATCH(C2031,'Ingredient Catalog'!$A:$A,0)),"⚠ not in catalog"))</f>
        <v/>
      </c>
      <c r="G2031" s="12" t="str">
        <f aca="false">IF(A2031="","",COUNTIFS('Weekly Log'!$A:$A,'Grocery List'!$B$3,'Weekly Log'!$C:$C,A2031,'Weekly Log'!$E:$E,"Yes"))</f>
        <v/>
      </c>
      <c r="H2031" s="12" t="str">
        <f aca="false">IF(OR(A2031="",D2031=""),"",D2031*G2031)</f>
        <v/>
      </c>
    </row>
    <row r="2032" customFormat="false" ht="15" hidden="false" customHeight="false" outlineLevel="0" collapsed="false">
      <c r="B2032" s="12" t="str">
        <f aca="false">IF(A2032="","",IFERROR(INDEX(Recipes!$B:$B,MATCH(A2032,Recipes!$A:$A,0)),"⚠ unknown recipe_id"))</f>
        <v/>
      </c>
      <c r="E2032" s="12" t="str">
        <f aca="false">IF(C2032="","",IFERROR(INDEX('Ingredient Catalog'!$C:$C,MATCH(C2032,'Ingredient Catalog'!$A:$A,0)),"⚠ not in catalog"))</f>
        <v/>
      </c>
      <c r="G2032" s="12" t="str">
        <f aca="false">IF(A2032="","",COUNTIFS('Weekly Log'!$A:$A,'Grocery List'!$B$3,'Weekly Log'!$C:$C,A2032,'Weekly Log'!$E:$E,"Yes"))</f>
        <v/>
      </c>
      <c r="H2032" s="12" t="str">
        <f aca="false">IF(OR(A2032="",D2032=""),"",D2032*G2032)</f>
        <v/>
      </c>
    </row>
    <row r="2033" customFormat="false" ht="15" hidden="false" customHeight="false" outlineLevel="0" collapsed="false">
      <c r="B2033" s="12" t="str">
        <f aca="false">IF(A2033="","",IFERROR(INDEX(Recipes!$B:$B,MATCH(A2033,Recipes!$A:$A,0)),"⚠ unknown recipe_id"))</f>
        <v/>
      </c>
      <c r="E2033" s="12" t="str">
        <f aca="false">IF(C2033="","",IFERROR(INDEX('Ingredient Catalog'!$C:$C,MATCH(C2033,'Ingredient Catalog'!$A:$A,0)),"⚠ not in catalog"))</f>
        <v/>
      </c>
      <c r="G2033" s="12" t="str">
        <f aca="false">IF(A2033="","",COUNTIFS('Weekly Log'!$A:$A,'Grocery List'!$B$3,'Weekly Log'!$C:$C,A2033,'Weekly Log'!$E:$E,"Yes"))</f>
        <v/>
      </c>
      <c r="H2033" s="12" t="str">
        <f aca="false">IF(OR(A2033="",D2033=""),"",D2033*G2033)</f>
        <v/>
      </c>
    </row>
    <row r="2034" customFormat="false" ht="15" hidden="false" customHeight="false" outlineLevel="0" collapsed="false">
      <c r="B2034" s="12" t="str">
        <f aca="false">IF(A2034="","",IFERROR(INDEX(Recipes!$B:$B,MATCH(A2034,Recipes!$A:$A,0)),"⚠ unknown recipe_id"))</f>
        <v/>
      </c>
      <c r="E2034" s="12" t="str">
        <f aca="false">IF(C2034="","",IFERROR(INDEX('Ingredient Catalog'!$C:$C,MATCH(C2034,'Ingredient Catalog'!$A:$A,0)),"⚠ not in catalog"))</f>
        <v/>
      </c>
      <c r="G2034" s="12" t="str">
        <f aca="false">IF(A2034="","",COUNTIFS('Weekly Log'!$A:$A,'Grocery List'!$B$3,'Weekly Log'!$C:$C,A2034,'Weekly Log'!$E:$E,"Yes"))</f>
        <v/>
      </c>
      <c r="H2034" s="12" t="str">
        <f aca="false">IF(OR(A2034="",D2034=""),"",D2034*G2034)</f>
        <v/>
      </c>
    </row>
    <row r="2035" customFormat="false" ht="15" hidden="false" customHeight="false" outlineLevel="0" collapsed="false">
      <c r="B2035" s="12" t="str">
        <f aca="false">IF(A2035="","",IFERROR(INDEX(Recipes!$B:$B,MATCH(A2035,Recipes!$A:$A,0)),"⚠ unknown recipe_id"))</f>
        <v/>
      </c>
      <c r="E2035" s="12" t="str">
        <f aca="false">IF(C2035="","",IFERROR(INDEX('Ingredient Catalog'!$C:$C,MATCH(C2035,'Ingredient Catalog'!$A:$A,0)),"⚠ not in catalog"))</f>
        <v/>
      </c>
      <c r="G2035" s="12" t="str">
        <f aca="false">IF(A2035="","",COUNTIFS('Weekly Log'!$A:$A,'Grocery List'!$B$3,'Weekly Log'!$C:$C,A2035,'Weekly Log'!$E:$E,"Yes"))</f>
        <v/>
      </c>
      <c r="H2035" s="12" t="str">
        <f aca="false">IF(OR(A2035="",D2035=""),"",D2035*G2035)</f>
        <v/>
      </c>
    </row>
    <row r="2036" customFormat="false" ht="15" hidden="false" customHeight="false" outlineLevel="0" collapsed="false">
      <c r="B2036" s="12" t="str">
        <f aca="false">IF(A2036="","",IFERROR(INDEX(Recipes!$B:$B,MATCH(A2036,Recipes!$A:$A,0)),"⚠ unknown recipe_id"))</f>
        <v/>
      </c>
      <c r="E2036" s="12" t="str">
        <f aca="false">IF(C2036="","",IFERROR(INDEX('Ingredient Catalog'!$C:$C,MATCH(C2036,'Ingredient Catalog'!$A:$A,0)),"⚠ not in catalog"))</f>
        <v/>
      </c>
      <c r="G2036" s="12" t="str">
        <f aca="false">IF(A2036="","",COUNTIFS('Weekly Log'!$A:$A,'Grocery List'!$B$3,'Weekly Log'!$C:$C,A2036,'Weekly Log'!$E:$E,"Yes"))</f>
        <v/>
      </c>
      <c r="H2036" s="12" t="str">
        <f aca="false">IF(OR(A2036="",D2036=""),"",D2036*G2036)</f>
        <v/>
      </c>
    </row>
    <row r="2037" customFormat="false" ht="15" hidden="false" customHeight="false" outlineLevel="0" collapsed="false">
      <c r="B2037" s="12" t="str">
        <f aca="false">IF(A2037="","",IFERROR(INDEX(Recipes!$B:$B,MATCH(A2037,Recipes!$A:$A,0)),"⚠ unknown recipe_id"))</f>
        <v/>
      </c>
      <c r="E2037" s="12" t="str">
        <f aca="false">IF(C2037="","",IFERROR(INDEX('Ingredient Catalog'!$C:$C,MATCH(C2037,'Ingredient Catalog'!$A:$A,0)),"⚠ not in catalog"))</f>
        <v/>
      </c>
      <c r="G2037" s="12" t="str">
        <f aca="false">IF(A2037="","",COUNTIFS('Weekly Log'!$A:$A,'Grocery List'!$B$3,'Weekly Log'!$C:$C,A2037,'Weekly Log'!$E:$E,"Yes"))</f>
        <v/>
      </c>
      <c r="H2037" s="12" t="str">
        <f aca="false">IF(OR(A2037="",D2037=""),"",D2037*G2037)</f>
        <v/>
      </c>
    </row>
    <row r="2038" customFormat="false" ht="15" hidden="false" customHeight="false" outlineLevel="0" collapsed="false">
      <c r="B2038" s="12" t="str">
        <f aca="false">IF(A2038="","",IFERROR(INDEX(Recipes!$B:$B,MATCH(A2038,Recipes!$A:$A,0)),"⚠ unknown recipe_id"))</f>
        <v/>
      </c>
      <c r="E2038" s="12" t="str">
        <f aca="false">IF(C2038="","",IFERROR(INDEX('Ingredient Catalog'!$C:$C,MATCH(C2038,'Ingredient Catalog'!$A:$A,0)),"⚠ not in catalog"))</f>
        <v/>
      </c>
      <c r="G2038" s="12" t="str">
        <f aca="false">IF(A2038="","",COUNTIFS('Weekly Log'!$A:$A,'Grocery List'!$B$3,'Weekly Log'!$C:$C,A2038,'Weekly Log'!$E:$E,"Yes"))</f>
        <v/>
      </c>
      <c r="H2038" s="12" t="str">
        <f aca="false">IF(OR(A2038="",D2038=""),"",D2038*G2038)</f>
        <v/>
      </c>
    </row>
    <row r="2039" customFormat="false" ht="15" hidden="false" customHeight="false" outlineLevel="0" collapsed="false">
      <c r="B2039" s="12" t="str">
        <f aca="false">IF(A2039="","",IFERROR(INDEX(Recipes!$B:$B,MATCH(A2039,Recipes!$A:$A,0)),"⚠ unknown recipe_id"))</f>
        <v/>
      </c>
      <c r="E2039" s="12" t="str">
        <f aca="false">IF(C2039="","",IFERROR(INDEX('Ingredient Catalog'!$C:$C,MATCH(C2039,'Ingredient Catalog'!$A:$A,0)),"⚠ not in catalog"))</f>
        <v/>
      </c>
      <c r="G2039" s="12" t="str">
        <f aca="false">IF(A2039="","",COUNTIFS('Weekly Log'!$A:$A,'Grocery List'!$B$3,'Weekly Log'!$C:$C,A2039,'Weekly Log'!$E:$E,"Yes"))</f>
        <v/>
      </c>
      <c r="H2039" s="12" t="str">
        <f aca="false">IF(OR(A2039="",D2039=""),"",D2039*G2039)</f>
        <v/>
      </c>
    </row>
    <row r="2040" customFormat="false" ht="15" hidden="false" customHeight="false" outlineLevel="0" collapsed="false">
      <c r="B2040" s="12" t="str">
        <f aca="false">IF(A2040="","",IFERROR(INDEX(Recipes!$B:$B,MATCH(A2040,Recipes!$A:$A,0)),"⚠ unknown recipe_id"))</f>
        <v/>
      </c>
      <c r="E2040" s="12" t="str">
        <f aca="false">IF(C2040="","",IFERROR(INDEX('Ingredient Catalog'!$C:$C,MATCH(C2040,'Ingredient Catalog'!$A:$A,0)),"⚠ not in catalog"))</f>
        <v/>
      </c>
      <c r="G2040" s="12" t="str">
        <f aca="false">IF(A2040="","",COUNTIFS('Weekly Log'!$A:$A,'Grocery List'!$B$3,'Weekly Log'!$C:$C,A2040,'Weekly Log'!$E:$E,"Yes"))</f>
        <v/>
      </c>
      <c r="H2040" s="12" t="str">
        <f aca="false">IF(OR(A2040="",D2040=""),"",D2040*G2040)</f>
        <v/>
      </c>
    </row>
    <row r="2041" customFormat="false" ht="15" hidden="false" customHeight="false" outlineLevel="0" collapsed="false">
      <c r="B2041" s="12" t="str">
        <f aca="false">IF(A2041="","",IFERROR(INDEX(Recipes!$B:$B,MATCH(A2041,Recipes!$A:$A,0)),"⚠ unknown recipe_id"))</f>
        <v/>
      </c>
      <c r="E2041" s="12" t="str">
        <f aca="false">IF(C2041="","",IFERROR(INDEX('Ingredient Catalog'!$C:$C,MATCH(C2041,'Ingredient Catalog'!$A:$A,0)),"⚠ not in catalog"))</f>
        <v/>
      </c>
      <c r="G2041" s="12" t="str">
        <f aca="false">IF(A2041="","",COUNTIFS('Weekly Log'!$A:$A,'Grocery List'!$B$3,'Weekly Log'!$C:$C,A2041,'Weekly Log'!$E:$E,"Yes"))</f>
        <v/>
      </c>
      <c r="H2041" s="12" t="str">
        <f aca="false">IF(OR(A2041="",D2041=""),"",D2041*G2041)</f>
        <v/>
      </c>
    </row>
    <row r="2042" customFormat="false" ht="15" hidden="false" customHeight="false" outlineLevel="0" collapsed="false">
      <c r="B2042" s="12" t="str">
        <f aca="false">IF(A2042="","",IFERROR(INDEX(Recipes!$B:$B,MATCH(A2042,Recipes!$A:$A,0)),"⚠ unknown recipe_id"))</f>
        <v/>
      </c>
      <c r="E2042" s="12" t="str">
        <f aca="false">IF(C2042="","",IFERROR(INDEX('Ingredient Catalog'!$C:$C,MATCH(C2042,'Ingredient Catalog'!$A:$A,0)),"⚠ not in catalog"))</f>
        <v/>
      </c>
      <c r="G2042" s="12" t="str">
        <f aca="false">IF(A2042="","",COUNTIFS('Weekly Log'!$A:$A,'Grocery List'!$B$3,'Weekly Log'!$C:$C,A2042,'Weekly Log'!$E:$E,"Yes"))</f>
        <v/>
      </c>
      <c r="H2042" s="12" t="str">
        <f aca="false">IF(OR(A2042="",D2042=""),"",D2042*G2042)</f>
        <v/>
      </c>
    </row>
    <row r="2043" customFormat="false" ht="15" hidden="false" customHeight="false" outlineLevel="0" collapsed="false">
      <c r="B2043" s="12" t="str">
        <f aca="false">IF(A2043="","",IFERROR(INDEX(Recipes!$B:$B,MATCH(A2043,Recipes!$A:$A,0)),"⚠ unknown recipe_id"))</f>
        <v/>
      </c>
      <c r="E2043" s="12" t="str">
        <f aca="false">IF(C2043="","",IFERROR(INDEX('Ingredient Catalog'!$C:$C,MATCH(C2043,'Ingredient Catalog'!$A:$A,0)),"⚠ not in catalog"))</f>
        <v/>
      </c>
      <c r="G2043" s="12" t="str">
        <f aca="false">IF(A2043="","",COUNTIFS('Weekly Log'!$A:$A,'Grocery List'!$B$3,'Weekly Log'!$C:$C,A2043,'Weekly Log'!$E:$E,"Yes"))</f>
        <v/>
      </c>
      <c r="H2043" s="12" t="str">
        <f aca="false">IF(OR(A2043="",D2043=""),"",D2043*G2043)</f>
        <v/>
      </c>
    </row>
    <row r="2044" customFormat="false" ht="15" hidden="false" customHeight="false" outlineLevel="0" collapsed="false">
      <c r="B2044" s="12" t="str">
        <f aca="false">IF(A2044="","",IFERROR(INDEX(Recipes!$B:$B,MATCH(A2044,Recipes!$A:$A,0)),"⚠ unknown recipe_id"))</f>
        <v/>
      </c>
      <c r="E2044" s="12" t="str">
        <f aca="false">IF(C2044="","",IFERROR(INDEX('Ingredient Catalog'!$C:$C,MATCH(C2044,'Ingredient Catalog'!$A:$A,0)),"⚠ not in catalog"))</f>
        <v/>
      </c>
      <c r="G2044" s="12" t="str">
        <f aca="false">IF(A2044="","",COUNTIFS('Weekly Log'!$A:$A,'Grocery List'!$B$3,'Weekly Log'!$C:$C,A2044,'Weekly Log'!$E:$E,"Yes"))</f>
        <v/>
      </c>
      <c r="H2044" s="12" t="str">
        <f aca="false">IF(OR(A2044="",D2044=""),"",D2044*G2044)</f>
        <v/>
      </c>
    </row>
    <row r="2045" customFormat="false" ht="15" hidden="false" customHeight="false" outlineLevel="0" collapsed="false">
      <c r="B2045" s="12" t="str">
        <f aca="false">IF(A2045="","",IFERROR(INDEX(Recipes!$B:$B,MATCH(A2045,Recipes!$A:$A,0)),"⚠ unknown recipe_id"))</f>
        <v/>
      </c>
      <c r="E2045" s="12" t="str">
        <f aca="false">IF(C2045="","",IFERROR(INDEX('Ingredient Catalog'!$C:$C,MATCH(C2045,'Ingredient Catalog'!$A:$A,0)),"⚠ not in catalog"))</f>
        <v/>
      </c>
      <c r="G2045" s="12" t="str">
        <f aca="false">IF(A2045="","",COUNTIFS('Weekly Log'!$A:$A,'Grocery List'!$B$3,'Weekly Log'!$C:$C,A2045,'Weekly Log'!$E:$E,"Yes"))</f>
        <v/>
      </c>
      <c r="H2045" s="12" t="str">
        <f aca="false">IF(OR(A2045="",D2045=""),"",D2045*G2045)</f>
        <v/>
      </c>
    </row>
    <row r="2046" customFormat="false" ht="15" hidden="false" customHeight="false" outlineLevel="0" collapsed="false">
      <c r="B2046" s="12" t="str">
        <f aca="false">IF(A2046="","",IFERROR(INDEX(Recipes!$B:$B,MATCH(A2046,Recipes!$A:$A,0)),"⚠ unknown recipe_id"))</f>
        <v/>
      </c>
      <c r="E2046" s="12" t="str">
        <f aca="false">IF(C2046="","",IFERROR(INDEX('Ingredient Catalog'!$C:$C,MATCH(C2046,'Ingredient Catalog'!$A:$A,0)),"⚠ not in catalog"))</f>
        <v/>
      </c>
      <c r="G2046" s="12" t="str">
        <f aca="false">IF(A2046="","",COUNTIFS('Weekly Log'!$A:$A,'Grocery List'!$B$3,'Weekly Log'!$C:$C,A2046,'Weekly Log'!$E:$E,"Yes"))</f>
        <v/>
      </c>
      <c r="H2046" s="12" t="str">
        <f aca="false">IF(OR(A2046="",D2046=""),"",D2046*G2046)</f>
        <v/>
      </c>
    </row>
    <row r="2047" customFormat="false" ht="15" hidden="false" customHeight="false" outlineLevel="0" collapsed="false">
      <c r="B2047" s="12" t="str">
        <f aca="false">IF(A2047="","",IFERROR(INDEX(Recipes!$B:$B,MATCH(A2047,Recipes!$A:$A,0)),"⚠ unknown recipe_id"))</f>
        <v/>
      </c>
      <c r="E2047" s="12" t="str">
        <f aca="false">IF(C2047="","",IFERROR(INDEX('Ingredient Catalog'!$C:$C,MATCH(C2047,'Ingredient Catalog'!$A:$A,0)),"⚠ not in catalog"))</f>
        <v/>
      </c>
      <c r="G2047" s="12" t="str">
        <f aca="false">IF(A2047="","",COUNTIFS('Weekly Log'!$A:$A,'Grocery List'!$B$3,'Weekly Log'!$C:$C,A2047,'Weekly Log'!$E:$E,"Yes"))</f>
        <v/>
      </c>
      <c r="H2047" s="12" t="str">
        <f aca="false">IF(OR(A2047="",D2047=""),"",D2047*G2047)</f>
        <v/>
      </c>
    </row>
    <row r="2048" customFormat="false" ht="15" hidden="false" customHeight="false" outlineLevel="0" collapsed="false">
      <c r="B2048" s="12" t="str">
        <f aca="false">IF(A2048="","",IFERROR(INDEX(Recipes!$B:$B,MATCH(A2048,Recipes!$A:$A,0)),"⚠ unknown recipe_id"))</f>
        <v/>
      </c>
      <c r="E2048" s="12" t="str">
        <f aca="false">IF(C2048="","",IFERROR(INDEX('Ingredient Catalog'!$C:$C,MATCH(C2048,'Ingredient Catalog'!$A:$A,0)),"⚠ not in catalog"))</f>
        <v/>
      </c>
      <c r="G2048" s="12" t="str">
        <f aca="false">IF(A2048="","",COUNTIFS('Weekly Log'!$A:$A,'Grocery List'!$B$3,'Weekly Log'!$C:$C,A2048,'Weekly Log'!$E:$E,"Yes"))</f>
        <v/>
      </c>
      <c r="H2048" s="12" t="str">
        <f aca="false">IF(OR(A2048="",D2048=""),"",D2048*G2048)</f>
        <v/>
      </c>
    </row>
    <row r="2049" customFormat="false" ht="15" hidden="false" customHeight="false" outlineLevel="0" collapsed="false">
      <c r="B2049" s="12" t="str">
        <f aca="false">IF(A2049="","",IFERROR(INDEX(Recipes!$B:$B,MATCH(A2049,Recipes!$A:$A,0)),"⚠ unknown recipe_id"))</f>
        <v/>
      </c>
      <c r="E2049" s="12" t="str">
        <f aca="false">IF(C2049="","",IFERROR(INDEX('Ingredient Catalog'!$C:$C,MATCH(C2049,'Ingredient Catalog'!$A:$A,0)),"⚠ not in catalog"))</f>
        <v/>
      </c>
      <c r="G2049" s="12" t="str">
        <f aca="false">IF(A2049="","",COUNTIFS('Weekly Log'!$A:$A,'Grocery List'!$B$3,'Weekly Log'!$C:$C,A2049,'Weekly Log'!$E:$E,"Yes"))</f>
        <v/>
      </c>
      <c r="H2049" s="12" t="str">
        <f aca="false">IF(OR(A2049="",D2049=""),"",D2049*G2049)</f>
        <v/>
      </c>
    </row>
    <row r="2050" customFormat="false" ht="15" hidden="false" customHeight="false" outlineLevel="0" collapsed="false">
      <c r="B2050" s="12" t="str">
        <f aca="false">IF(A2050="","",IFERROR(INDEX(Recipes!$B:$B,MATCH(A2050,Recipes!$A:$A,0)),"⚠ unknown recipe_id"))</f>
        <v/>
      </c>
      <c r="E2050" s="12" t="str">
        <f aca="false">IF(C2050="","",IFERROR(INDEX('Ingredient Catalog'!$C:$C,MATCH(C2050,'Ingredient Catalog'!$A:$A,0)),"⚠ not in catalog"))</f>
        <v/>
      </c>
      <c r="G2050" s="12" t="str">
        <f aca="false">IF(A2050="","",COUNTIFS('Weekly Log'!$A:$A,'Grocery List'!$B$3,'Weekly Log'!$C:$C,A2050,'Weekly Log'!$E:$E,"Yes"))</f>
        <v/>
      </c>
      <c r="H2050" s="12" t="str">
        <f aca="false">IF(OR(A2050="",D2050=""),"",D2050*G2050)</f>
        <v/>
      </c>
    </row>
    <row r="2051" customFormat="false" ht="15" hidden="false" customHeight="false" outlineLevel="0" collapsed="false">
      <c r="B2051" s="12" t="str">
        <f aca="false">IF(A2051="","",IFERROR(INDEX(Recipes!$B:$B,MATCH(A2051,Recipes!$A:$A,0)),"⚠ unknown recipe_id"))</f>
        <v/>
      </c>
      <c r="E2051" s="12" t="str">
        <f aca="false">IF(C2051="","",IFERROR(INDEX('Ingredient Catalog'!$C:$C,MATCH(C2051,'Ingredient Catalog'!$A:$A,0)),"⚠ not in catalog"))</f>
        <v/>
      </c>
      <c r="G2051" s="12" t="str">
        <f aca="false">IF(A2051="","",COUNTIFS('Weekly Log'!$A:$A,'Grocery List'!$B$3,'Weekly Log'!$C:$C,A2051,'Weekly Log'!$E:$E,"Yes"))</f>
        <v/>
      </c>
      <c r="H2051" s="12" t="str">
        <f aca="false">IF(OR(A2051="",D2051=""),"",D2051*G2051)</f>
        <v/>
      </c>
    </row>
    <row r="2052" customFormat="false" ht="15" hidden="false" customHeight="false" outlineLevel="0" collapsed="false">
      <c r="B2052" s="12" t="str">
        <f aca="false">IF(A2052="","",IFERROR(INDEX(Recipes!$B:$B,MATCH(A2052,Recipes!$A:$A,0)),"⚠ unknown recipe_id"))</f>
        <v/>
      </c>
      <c r="E2052" s="12" t="str">
        <f aca="false">IF(C2052="","",IFERROR(INDEX('Ingredient Catalog'!$C:$C,MATCH(C2052,'Ingredient Catalog'!$A:$A,0)),"⚠ not in catalog"))</f>
        <v/>
      </c>
      <c r="G2052" s="12" t="str">
        <f aca="false">IF(A2052="","",COUNTIFS('Weekly Log'!$A:$A,'Grocery List'!$B$3,'Weekly Log'!$C:$C,A2052,'Weekly Log'!$E:$E,"Yes"))</f>
        <v/>
      </c>
      <c r="H2052" s="12" t="str">
        <f aca="false">IF(OR(A2052="",D2052=""),"",D2052*G2052)</f>
        <v/>
      </c>
    </row>
    <row r="2053" customFormat="false" ht="15" hidden="false" customHeight="false" outlineLevel="0" collapsed="false">
      <c r="B2053" s="12" t="str">
        <f aca="false">IF(A2053="","",IFERROR(INDEX(Recipes!$B:$B,MATCH(A2053,Recipes!$A:$A,0)),"⚠ unknown recipe_id"))</f>
        <v/>
      </c>
      <c r="E2053" s="12" t="str">
        <f aca="false">IF(C2053="","",IFERROR(INDEX('Ingredient Catalog'!$C:$C,MATCH(C2053,'Ingredient Catalog'!$A:$A,0)),"⚠ not in catalog"))</f>
        <v/>
      </c>
      <c r="G2053" s="12" t="str">
        <f aca="false">IF(A2053="","",COUNTIFS('Weekly Log'!$A:$A,'Grocery List'!$B$3,'Weekly Log'!$C:$C,A2053,'Weekly Log'!$E:$E,"Yes"))</f>
        <v/>
      </c>
      <c r="H2053" s="12" t="str">
        <f aca="false">IF(OR(A2053="",D2053=""),"",D2053*G2053)</f>
        <v/>
      </c>
    </row>
    <row r="2054" customFormat="false" ht="15" hidden="false" customHeight="false" outlineLevel="0" collapsed="false">
      <c r="B2054" s="12" t="str">
        <f aca="false">IF(A2054="","",IFERROR(INDEX(Recipes!$B:$B,MATCH(A2054,Recipes!$A:$A,0)),"⚠ unknown recipe_id"))</f>
        <v/>
      </c>
      <c r="E2054" s="12" t="str">
        <f aca="false">IF(C2054="","",IFERROR(INDEX('Ingredient Catalog'!$C:$C,MATCH(C2054,'Ingredient Catalog'!$A:$A,0)),"⚠ not in catalog"))</f>
        <v/>
      </c>
      <c r="G2054" s="12" t="str">
        <f aca="false">IF(A2054="","",COUNTIFS('Weekly Log'!$A:$A,'Grocery List'!$B$3,'Weekly Log'!$C:$C,A2054,'Weekly Log'!$E:$E,"Yes"))</f>
        <v/>
      </c>
      <c r="H2054" s="12" t="str">
        <f aca="false">IF(OR(A2054="",D2054=""),"",D2054*G2054)</f>
        <v/>
      </c>
    </row>
    <row r="2055" customFormat="false" ht="15" hidden="false" customHeight="false" outlineLevel="0" collapsed="false">
      <c r="B2055" s="12" t="str">
        <f aca="false">IF(A2055="","",IFERROR(INDEX(Recipes!$B:$B,MATCH(A2055,Recipes!$A:$A,0)),"⚠ unknown recipe_id"))</f>
        <v/>
      </c>
      <c r="E2055" s="12" t="str">
        <f aca="false">IF(C2055="","",IFERROR(INDEX('Ingredient Catalog'!$C:$C,MATCH(C2055,'Ingredient Catalog'!$A:$A,0)),"⚠ not in catalog"))</f>
        <v/>
      </c>
      <c r="G2055" s="12" t="str">
        <f aca="false">IF(A2055="","",COUNTIFS('Weekly Log'!$A:$A,'Grocery List'!$B$3,'Weekly Log'!$C:$C,A2055,'Weekly Log'!$E:$E,"Yes"))</f>
        <v/>
      </c>
      <c r="H2055" s="12" t="str">
        <f aca="false">IF(OR(A2055="",D2055=""),"",D2055*G2055)</f>
        <v/>
      </c>
    </row>
    <row r="2056" customFormat="false" ht="15" hidden="false" customHeight="false" outlineLevel="0" collapsed="false">
      <c r="B2056" s="12" t="str">
        <f aca="false">IF(A2056="","",IFERROR(INDEX(Recipes!$B:$B,MATCH(A2056,Recipes!$A:$A,0)),"⚠ unknown recipe_id"))</f>
        <v/>
      </c>
      <c r="E2056" s="12" t="str">
        <f aca="false">IF(C2056="","",IFERROR(INDEX('Ingredient Catalog'!$C:$C,MATCH(C2056,'Ingredient Catalog'!$A:$A,0)),"⚠ not in catalog"))</f>
        <v/>
      </c>
      <c r="G2056" s="12" t="str">
        <f aca="false">IF(A2056="","",COUNTIFS('Weekly Log'!$A:$A,'Grocery List'!$B$3,'Weekly Log'!$C:$C,A2056,'Weekly Log'!$E:$E,"Yes"))</f>
        <v/>
      </c>
      <c r="H2056" s="12" t="str">
        <f aca="false">IF(OR(A2056="",D2056=""),"",D2056*G2056)</f>
        <v/>
      </c>
    </row>
    <row r="2057" customFormat="false" ht="15" hidden="false" customHeight="false" outlineLevel="0" collapsed="false">
      <c r="B2057" s="12" t="str">
        <f aca="false">IF(A2057="","",IFERROR(INDEX(Recipes!$B:$B,MATCH(A2057,Recipes!$A:$A,0)),"⚠ unknown recipe_id"))</f>
        <v/>
      </c>
      <c r="E2057" s="12" t="str">
        <f aca="false">IF(C2057="","",IFERROR(INDEX('Ingredient Catalog'!$C:$C,MATCH(C2057,'Ingredient Catalog'!$A:$A,0)),"⚠ not in catalog"))</f>
        <v/>
      </c>
      <c r="G2057" s="12" t="str">
        <f aca="false">IF(A2057="","",COUNTIFS('Weekly Log'!$A:$A,'Grocery List'!$B$3,'Weekly Log'!$C:$C,A2057,'Weekly Log'!$E:$E,"Yes"))</f>
        <v/>
      </c>
      <c r="H2057" s="12" t="str">
        <f aca="false">IF(OR(A2057="",D2057=""),"",D2057*G2057)</f>
        <v/>
      </c>
    </row>
    <row r="2058" customFormat="false" ht="15" hidden="false" customHeight="false" outlineLevel="0" collapsed="false">
      <c r="B2058" s="12" t="str">
        <f aca="false">IF(A2058="","",IFERROR(INDEX(Recipes!$B:$B,MATCH(A2058,Recipes!$A:$A,0)),"⚠ unknown recipe_id"))</f>
        <v/>
      </c>
      <c r="E2058" s="12" t="str">
        <f aca="false">IF(C2058="","",IFERROR(INDEX('Ingredient Catalog'!$C:$C,MATCH(C2058,'Ingredient Catalog'!$A:$A,0)),"⚠ not in catalog"))</f>
        <v/>
      </c>
      <c r="G2058" s="12" t="str">
        <f aca="false">IF(A2058="","",COUNTIFS('Weekly Log'!$A:$A,'Grocery List'!$B$3,'Weekly Log'!$C:$C,A2058,'Weekly Log'!$E:$E,"Yes"))</f>
        <v/>
      </c>
      <c r="H2058" s="12" t="str">
        <f aca="false">IF(OR(A2058="",D2058=""),"",D2058*G2058)</f>
        <v/>
      </c>
    </row>
    <row r="2059" customFormat="false" ht="15" hidden="false" customHeight="false" outlineLevel="0" collapsed="false">
      <c r="B2059" s="12" t="str">
        <f aca="false">IF(A2059="","",IFERROR(INDEX(Recipes!$B:$B,MATCH(A2059,Recipes!$A:$A,0)),"⚠ unknown recipe_id"))</f>
        <v/>
      </c>
      <c r="E2059" s="12" t="str">
        <f aca="false">IF(C2059="","",IFERROR(INDEX('Ingredient Catalog'!$C:$C,MATCH(C2059,'Ingredient Catalog'!$A:$A,0)),"⚠ not in catalog"))</f>
        <v/>
      </c>
      <c r="G2059" s="12" t="str">
        <f aca="false">IF(A2059="","",COUNTIFS('Weekly Log'!$A:$A,'Grocery List'!$B$3,'Weekly Log'!$C:$C,A2059,'Weekly Log'!$E:$E,"Yes"))</f>
        <v/>
      </c>
      <c r="H2059" s="12" t="str">
        <f aca="false">IF(OR(A2059="",D2059=""),"",D2059*G2059)</f>
        <v/>
      </c>
    </row>
    <row r="2060" customFormat="false" ht="15" hidden="false" customHeight="false" outlineLevel="0" collapsed="false">
      <c r="B2060" s="12" t="str">
        <f aca="false">IF(A2060="","",IFERROR(INDEX(Recipes!$B:$B,MATCH(A2060,Recipes!$A:$A,0)),"⚠ unknown recipe_id"))</f>
        <v/>
      </c>
      <c r="E2060" s="12" t="str">
        <f aca="false">IF(C2060="","",IFERROR(INDEX('Ingredient Catalog'!$C:$C,MATCH(C2060,'Ingredient Catalog'!$A:$A,0)),"⚠ not in catalog"))</f>
        <v/>
      </c>
      <c r="G2060" s="12" t="str">
        <f aca="false">IF(A2060="","",COUNTIFS('Weekly Log'!$A:$A,'Grocery List'!$B$3,'Weekly Log'!$C:$C,A2060,'Weekly Log'!$E:$E,"Yes"))</f>
        <v/>
      </c>
      <c r="H2060" s="12" t="str">
        <f aca="false">IF(OR(A2060="",D2060=""),"",D2060*G2060)</f>
        <v/>
      </c>
    </row>
    <row r="2061" customFormat="false" ht="15" hidden="false" customHeight="false" outlineLevel="0" collapsed="false">
      <c r="B2061" s="12" t="str">
        <f aca="false">IF(A2061="","",IFERROR(INDEX(Recipes!$B:$B,MATCH(A2061,Recipes!$A:$A,0)),"⚠ unknown recipe_id"))</f>
        <v/>
      </c>
      <c r="E2061" s="12" t="str">
        <f aca="false">IF(C2061="","",IFERROR(INDEX('Ingredient Catalog'!$C:$C,MATCH(C2061,'Ingredient Catalog'!$A:$A,0)),"⚠ not in catalog"))</f>
        <v/>
      </c>
      <c r="G2061" s="12" t="str">
        <f aca="false">IF(A2061="","",COUNTIFS('Weekly Log'!$A:$A,'Grocery List'!$B$3,'Weekly Log'!$C:$C,A2061,'Weekly Log'!$E:$E,"Yes"))</f>
        <v/>
      </c>
      <c r="H2061" s="12" t="str">
        <f aca="false">IF(OR(A2061="",D2061=""),"",D2061*G2061)</f>
        <v/>
      </c>
    </row>
    <row r="2062" customFormat="false" ht="15" hidden="false" customHeight="false" outlineLevel="0" collapsed="false">
      <c r="B2062" s="12" t="str">
        <f aca="false">IF(A2062="","",IFERROR(INDEX(Recipes!$B:$B,MATCH(A2062,Recipes!$A:$A,0)),"⚠ unknown recipe_id"))</f>
        <v/>
      </c>
      <c r="E2062" s="12" t="str">
        <f aca="false">IF(C2062="","",IFERROR(INDEX('Ingredient Catalog'!$C:$C,MATCH(C2062,'Ingredient Catalog'!$A:$A,0)),"⚠ not in catalog"))</f>
        <v/>
      </c>
      <c r="G2062" s="12" t="str">
        <f aca="false">IF(A2062="","",COUNTIFS('Weekly Log'!$A:$A,'Grocery List'!$B$3,'Weekly Log'!$C:$C,A2062,'Weekly Log'!$E:$E,"Yes"))</f>
        <v/>
      </c>
      <c r="H2062" s="12" t="str">
        <f aca="false">IF(OR(A2062="",D2062=""),"",D2062*G2062)</f>
        <v/>
      </c>
    </row>
    <row r="2063" customFormat="false" ht="15" hidden="false" customHeight="false" outlineLevel="0" collapsed="false">
      <c r="B2063" s="12" t="str">
        <f aca="false">IF(A2063="","",IFERROR(INDEX(Recipes!$B:$B,MATCH(A2063,Recipes!$A:$A,0)),"⚠ unknown recipe_id"))</f>
        <v/>
      </c>
      <c r="E2063" s="12" t="str">
        <f aca="false">IF(C2063="","",IFERROR(INDEX('Ingredient Catalog'!$C:$C,MATCH(C2063,'Ingredient Catalog'!$A:$A,0)),"⚠ not in catalog"))</f>
        <v/>
      </c>
      <c r="G2063" s="12" t="str">
        <f aca="false">IF(A2063="","",COUNTIFS('Weekly Log'!$A:$A,'Grocery List'!$B$3,'Weekly Log'!$C:$C,A2063,'Weekly Log'!$E:$E,"Yes"))</f>
        <v/>
      </c>
      <c r="H2063" s="12" t="str">
        <f aca="false">IF(OR(A2063="",D2063=""),"",D2063*G2063)</f>
        <v/>
      </c>
    </row>
    <row r="2064" customFormat="false" ht="15" hidden="false" customHeight="false" outlineLevel="0" collapsed="false">
      <c r="B2064" s="12" t="str">
        <f aca="false">IF(A2064="","",IFERROR(INDEX(Recipes!$B:$B,MATCH(A2064,Recipes!$A:$A,0)),"⚠ unknown recipe_id"))</f>
        <v/>
      </c>
      <c r="E2064" s="12" t="str">
        <f aca="false">IF(C2064="","",IFERROR(INDEX('Ingredient Catalog'!$C:$C,MATCH(C2064,'Ingredient Catalog'!$A:$A,0)),"⚠ not in catalog"))</f>
        <v/>
      </c>
      <c r="G2064" s="12" t="str">
        <f aca="false">IF(A2064="","",COUNTIFS('Weekly Log'!$A:$A,'Grocery List'!$B$3,'Weekly Log'!$C:$C,A2064,'Weekly Log'!$E:$E,"Yes"))</f>
        <v/>
      </c>
      <c r="H2064" s="12" t="str">
        <f aca="false">IF(OR(A2064="",D2064=""),"",D2064*G2064)</f>
        <v/>
      </c>
    </row>
    <row r="2065" customFormat="false" ht="15" hidden="false" customHeight="false" outlineLevel="0" collapsed="false">
      <c r="B2065" s="12" t="str">
        <f aca="false">IF(A2065="","",IFERROR(INDEX(Recipes!$B:$B,MATCH(A2065,Recipes!$A:$A,0)),"⚠ unknown recipe_id"))</f>
        <v/>
      </c>
      <c r="E2065" s="12" t="str">
        <f aca="false">IF(C2065="","",IFERROR(INDEX('Ingredient Catalog'!$C:$C,MATCH(C2065,'Ingredient Catalog'!$A:$A,0)),"⚠ not in catalog"))</f>
        <v/>
      </c>
      <c r="G2065" s="12" t="str">
        <f aca="false">IF(A2065="","",COUNTIFS('Weekly Log'!$A:$A,'Grocery List'!$B$3,'Weekly Log'!$C:$C,A2065,'Weekly Log'!$E:$E,"Yes"))</f>
        <v/>
      </c>
      <c r="H2065" s="12" t="str">
        <f aca="false">IF(OR(A2065="",D2065=""),"",D2065*G2065)</f>
        <v/>
      </c>
    </row>
    <row r="2066" customFormat="false" ht="15" hidden="false" customHeight="false" outlineLevel="0" collapsed="false">
      <c r="B2066" s="12" t="str">
        <f aca="false">IF(A2066="","",IFERROR(INDEX(Recipes!$B:$B,MATCH(A2066,Recipes!$A:$A,0)),"⚠ unknown recipe_id"))</f>
        <v/>
      </c>
      <c r="E2066" s="12" t="str">
        <f aca="false">IF(C2066="","",IFERROR(INDEX('Ingredient Catalog'!$C:$C,MATCH(C2066,'Ingredient Catalog'!$A:$A,0)),"⚠ not in catalog"))</f>
        <v/>
      </c>
      <c r="G2066" s="12" t="str">
        <f aca="false">IF(A2066="","",COUNTIFS('Weekly Log'!$A:$A,'Grocery List'!$B$3,'Weekly Log'!$C:$C,A2066,'Weekly Log'!$E:$E,"Yes"))</f>
        <v/>
      </c>
      <c r="H2066" s="12" t="str">
        <f aca="false">IF(OR(A2066="",D2066=""),"",D2066*G2066)</f>
        <v/>
      </c>
    </row>
    <row r="2067" customFormat="false" ht="15" hidden="false" customHeight="false" outlineLevel="0" collapsed="false">
      <c r="B2067" s="12" t="str">
        <f aca="false">IF(A2067="","",IFERROR(INDEX(Recipes!$B:$B,MATCH(A2067,Recipes!$A:$A,0)),"⚠ unknown recipe_id"))</f>
        <v/>
      </c>
      <c r="E2067" s="12" t="str">
        <f aca="false">IF(C2067="","",IFERROR(INDEX('Ingredient Catalog'!$C:$C,MATCH(C2067,'Ingredient Catalog'!$A:$A,0)),"⚠ not in catalog"))</f>
        <v/>
      </c>
      <c r="G2067" s="12" t="str">
        <f aca="false">IF(A2067="","",COUNTIFS('Weekly Log'!$A:$A,'Grocery List'!$B$3,'Weekly Log'!$C:$C,A2067,'Weekly Log'!$E:$E,"Yes"))</f>
        <v/>
      </c>
      <c r="H2067" s="12" t="str">
        <f aca="false">IF(OR(A2067="",D2067=""),"",D2067*G2067)</f>
        <v/>
      </c>
    </row>
    <row r="2068" customFormat="false" ht="15" hidden="false" customHeight="false" outlineLevel="0" collapsed="false">
      <c r="B2068" s="12" t="str">
        <f aca="false">IF(A2068="","",IFERROR(INDEX(Recipes!$B:$B,MATCH(A2068,Recipes!$A:$A,0)),"⚠ unknown recipe_id"))</f>
        <v/>
      </c>
      <c r="E2068" s="12" t="str">
        <f aca="false">IF(C2068="","",IFERROR(INDEX('Ingredient Catalog'!$C:$C,MATCH(C2068,'Ingredient Catalog'!$A:$A,0)),"⚠ not in catalog"))</f>
        <v/>
      </c>
      <c r="G2068" s="12" t="str">
        <f aca="false">IF(A2068="","",COUNTIFS('Weekly Log'!$A:$A,'Grocery List'!$B$3,'Weekly Log'!$C:$C,A2068,'Weekly Log'!$E:$E,"Yes"))</f>
        <v/>
      </c>
      <c r="H2068" s="12" t="str">
        <f aca="false">IF(OR(A2068="",D2068=""),"",D2068*G2068)</f>
        <v/>
      </c>
    </row>
    <row r="2069" customFormat="false" ht="15" hidden="false" customHeight="false" outlineLevel="0" collapsed="false">
      <c r="B2069" s="12" t="str">
        <f aca="false">IF(A2069="","",IFERROR(INDEX(Recipes!$B:$B,MATCH(A2069,Recipes!$A:$A,0)),"⚠ unknown recipe_id"))</f>
        <v/>
      </c>
      <c r="E2069" s="12" t="str">
        <f aca="false">IF(C2069="","",IFERROR(INDEX('Ingredient Catalog'!$C:$C,MATCH(C2069,'Ingredient Catalog'!$A:$A,0)),"⚠ not in catalog"))</f>
        <v/>
      </c>
      <c r="G2069" s="12" t="str">
        <f aca="false">IF(A2069="","",COUNTIFS('Weekly Log'!$A:$A,'Grocery List'!$B$3,'Weekly Log'!$C:$C,A2069,'Weekly Log'!$E:$E,"Yes"))</f>
        <v/>
      </c>
      <c r="H2069" s="12" t="str">
        <f aca="false">IF(OR(A2069="",D2069=""),"",D2069*G2069)</f>
        <v/>
      </c>
    </row>
    <row r="2070" customFormat="false" ht="15" hidden="false" customHeight="false" outlineLevel="0" collapsed="false">
      <c r="B2070" s="12" t="str">
        <f aca="false">IF(A2070="","",IFERROR(INDEX(Recipes!$B:$B,MATCH(A2070,Recipes!$A:$A,0)),"⚠ unknown recipe_id"))</f>
        <v/>
      </c>
      <c r="E2070" s="12" t="str">
        <f aca="false">IF(C2070="","",IFERROR(INDEX('Ingredient Catalog'!$C:$C,MATCH(C2070,'Ingredient Catalog'!$A:$A,0)),"⚠ not in catalog"))</f>
        <v/>
      </c>
      <c r="G2070" s="12" t="str">
        <f aca="false">IF(A2070="","",COUNTIFS('Weekly Log'!$A:$A,'Grocery List'!$B$3,'Weekly Log'!$C:$C,A2070,'Weekly Log'!$E:$E,"Yes"))</f>
        <v/>
      </c>
      <c r="H2070" s="12" t="str">
        <f aca="false">IF(OR(A2070="",D2070=""),"",D2070*G2070)</f>
        <v/>
      </c>
    </row>
    <row r="2071" customFormat="false" ht="15" hidden="false" customHeight="false" outlineLevel="0" collapsed="false">
      <c r="B2071" s="12" t="str">
        <f aca="false">IF(A2071="","",IFERROR(INDEX(Recipes!$B:$B,MATCH(A2071,Recipes!$A:$A,0)),"⚠ unknown recipe_id"))</f>
        <v/>
      </c>
      <c r="E2071" s="12" t="str">
        <f aca="false">IF(C2071="","",IFERROR(INDEX('Ingredient Catalog'!$C:$C,MATCH(C2071,'Ingredient Catalog'!$A:$A,0)),"⚠ not in catalog"))</f>
        <v/>
      </c>
      <c r="G2071" s="12" t="str">
        <f aca="false">IF(A2071="","",COUNTIFS('Weekly Log'!$A:$A,'Grocery List'!$B$3,'Weekly Log'!$C:$C,A2071,'Weekly Log'!$E:$E,"Yes"))</f>
        <v/>
      </c>
      <c r="H2071" s="12" t="str">
        <f aca="false">IF(OR(A2071="",D2071=""),"",D2071*G2071)</f>
        <v/>
      </c>
    </row>
    <row r="2072" customFormat="false" ht="15" hidden="false" customHeight="false" outlineLevel="0" collapsed="false">
      <c r="B2072" s="12" t="str">
        <f aca="false">IF(A2072="","",IFERROR(INDEX(Recipes!$B:$B,MATCH(A2072,Recipes!$A:$A,0)),"⚠ unknown recipe_id"))</f>
        <v/>
      </c>
      <c r="E2072" s="12" t="str">
        <f aca="false">IF(C2072="","",IFERROR(INDEX('Ingredient Catalog'!$C:$C,MATCH(C2072,'Ingredient Catalog'!$A:$A,0)),"⚠ not in catalog"))</f>
        <v/>
      </c>
      <c r="G2072" s="12" t="str">
        <f aca="false">IF(A2072="","",COUNTIFS('Weekly Log'!$A:$A,'Grocery List'!$B$3,'Weekly Log'!$C:$C,A2072,'Weekly Log'!$E:$E,"Yes"))</f>
        <v/>
      </c>
      <c r="H2072" s="12" t="str">
        <f aca="false">IF(OR(A2072="",D2072=""),"",D2072*G2072)</f>
        <v/>
      </c>
    </row>
    <row r="2073" customFormat="false" ht="15" hidden="false" customHeight="false" outlineLevel="0" collapsed="false">
      <c r="B2073" s="12" t="str">
        <f aca="false">IF(A2073="","",IFERROR(INDEX(Recipes!$B:$B,MATCH(A2073,Recipes!$A:$A,0)),"⚠ unknown recipe_id"))</f>
        <v/>
      </c>
      <c r="E2073" s="12" t="str">
        <f aca="false">IF(C2073="","",IFERROR(INDEX('Ingredient Catalog'!$C:$C,MATCH(C2073,'Ingredient Catalog'!$A:$A,0)),"⚠ not in catalog"))</f>
        <v/>
      </c>
      <c r="G2073" s="12" t="str">
        <f aca="false">IF(A2073="","",COUNTIFS('Weekly Log'!$A:$A,'Grocery List'!$B$3,'Weekly Log'!$C:$C,A2073,'Weekly Log'!$E:$E,"Yes"))</f>
        <v/>
      </c>
      <c r="H2073" s="12" t="str">
        <f aca="false">IF(OR(A2073="",D2073=""),"",D2073*G2073)</f>
        <v/>
      </c>
    </row>
    <row r="2074" customFormat="false" ht="15" hidden="false" customHeight="false" outlineLevel="0" collapsed="false">
      <c r="B2074" s="12" t="str">
        <f aca="false">IF(A2074="","",IFERROR(INDEX(Recipes!$B:$B,MATCH(A2074,Recipes!$A:$A,0)),"⚠ unknown recipe_id"))</f>
        <v/>
      </c>
      <c r="E2074" s="12" t="str">
        <f aca="false">IF(C2074="","",IFERROR(INDEX('Ingredient Catalog'!$C:$C,MATCH(C2074,'Ingredient Catalog'!$A:$A,0)),"⚠ not in catalog"))</f>
        <v/>
      </c>
      <c r="G2074" s="12" t="str">
        <f aca="false">IF(A2074="","",COUNTIFS('Weekly Log'!$A:$A,'Grocery List'!$B$3,'Weekly Log'!$C:$C,A2074,'Weekly Log'!$E:$E,"Yes"))</f>
        <v/>
      </c>
      <c r="H2074" s="12" t="str">
        <f aca="false">IF(OR(A2074="",D2074=""),"",D2074*G2074)</f>
        <v/>
      </c>
    </row>
    <row r="2075" customFormat="false" ht="15" hidden="false" customHeight="false" outlineLevel="0" collapsed="false">
      <c r="B2075" s="12" t="str">
        <f aca="false">IF(A2075="","",IFERROR(INDEX(Recipes!$B:$B,MATCH(A2075,Recipes!$A:$A,0)),"⚠ unknown recipe_id"))</f>
        <v/>
      </c>
      <c r="E2075" s="12" t="str">
        <f aca="false">IF(C2075="","",IFERROR(INDEX('Ingredient Catalog'!$C:$C,MATCH(C2075,'Ingredient Catalog'!$A:$A,0)),"⚠ not in catalog"))</f>
        <v/>
      </c>
      <c r="G2075" s="12" t="str">
        <f aca="false">IF(A2075="","",COUNTIFS('Weekly Log'!$A:$A,'Grocery List'!$B$3,'Weekly Log'!$C:$C,A2075,'Weekly Log'!$E:$E,"Yes"))</f>
        <v/>
      </c>
      <c r="H2075" s="12" t="str">
        <f aca="false">IF(OR(A2075="",D2075=""),"",D2075*G2075)</f>
        <v/>
      </c>
    </row>
    <row r="2076" customFormat="false" ht="15" hidden="false" customHeight="false" outlineLevel="0" collapsed="false">
      <c r="B2076" s="12" t="str">
        <f aca="false">IF(A2076="","",IFERROR(INDEX(Recipes!$B:$B,MATCH(A2076,Recipes!$A:$A,0)),"⚠ unknown recipe_id"))</f>
        <v/>
      </c>
      <c r="E2076" s="12" t="str">
        <f aca="false">IF(C2076="","",IFERROR(INDEX('Ingredient Catalog'!$C:$C,MATCH(C2076,'Ingredient Catalog'!$A:$A,0)),"⚠ not in catalog"))</f>
        <v/>
      </c>
      <c r="G2076" s="12" t="str">
        <f aca="false">IF(A2076="","",COUNTIFS('Weekly Log'!$A:$A,'Grocery List'!$B$3,'Weekly Log'!$C:$C,A2076,'Weekly Log'!$E:$E,"Yes"))</f>
        <v/>
      </c>
      <c r="H2076" s="12" t="str">
        <f aca="false">IF(OR(A2076="",D2076=""),"",D2076*G2076)</f>
        <v/>
      </c>
    </row>
    <row r="2077" customFormat="false" ht="15" hidden="false" customHeight="false" outlineLevel="0" collapsed="false">
      <c r="B2077" s="12" t="str">
        <f aca="false">IF(A2077="","",IFERROR(INDEX(Recipes!$B:$B,MATCH(A2077,Recipes!$A:$A,0)),"⚠ unknown recipe_id"))</f>
        <v/>
      </c>
      <c r="E2077" s="12" t="str">
        <f aca="false">IF(C2077="","",IFERROR(INDEX('Ingredient Catalog'!$C:$C,MATCH(C2077,'Ingredient Catalog'!$A:$A,0)),"⚠ not in catalog"))</f>
        <v/>
      </c>
      <c r="G2077" s="12" t="str">
        <f aca="false">IF(A2077="","",COUNTIFS('Weekly Log'!$A:$A,'Grocery List'!$B$3,'Weekly Log'!$C:$C,A2077,'Weekly Log'!$E:$E,"Yes"))</f>
        <v/>
      </c>
      <c r="H2077" s="12" t="str">
        <f aca="false">IF(OR(A2077="",D2077=""),"",D2077*G2077)</f>
        <v/>
      </c>
    </row>
    <row r="2078" customFormat="false" ht="15" hidden="false" customHeight="false" outlineLevel="0" collapsed="false">
      <c r="B2078" s="12" t="str">
        <f aca="false">IF(A2078="","",IFERROR(INDEX(Recipes!$B:$B,MATCH(A2078,Recipes!$A:$A,0)),"⚠ unknown recipe_id"))</f>
        <v/>
      </c>
      <c r="E2078" s="12" t="str">
        <f aca="false">IF(C2078="","",IFERROR(INDEX('Ingredient Catalog'!$C:$C,MATCH(C2078,'Ingredient Catalog'!$A:$A,0)),"⚠ not in catalog"))</f>
        <v/>
      </c>
      <c r="G2078" s="12" t="str">
        <f aca="false">IF(A2078="","",COUNTIFS('Weekly Log'!$A:$A,'Grocery List'!$B$3,'Weekly Log'!$C:$C,A2078,'Weekly Log'!$E:$E,"Yes"))</f>
        <v/>
      </c>
      <c r="H2078" s="12" t="str">
        <f aca="false">IF(OR(A2078="",D2078=""),"",D2078*G2078)</f>
        <v/>
      </c>
    </row>
    <row r="2079" customFormat="false" ht="15" hidden="false" customHeight="false" outlineLevel="0" collapsed="false">
      <c r="B2079" s="12" t="str">
        <f aca="false">IF(A2079="","",IFERROR(INDEX(Recipes!$B:$B,MATCH(A2079,Recipes!$A:$A,0)),"⚠ unknown recipe_id"))</f>
        <v/>
      </c>
      <c r="E2079" s="12" t="str">
        <f aca="false">IF(C2079="","",IFERROR(INDEX('Ingredient Catalog'!$C:$C,MATCH(C2079,'Ingredient Catalog'!$A:$A,0)),"⚠ not in catalog"))</f>
        <v/>
      </c>
      <c r="G2079" s="12" t="str">
        <f aca="false">IF(A2079="","",COUNTIFS('Weekly Log'!$A:$A,'Grocery List'!$B$3,'Weekly Log'!$C:$C,A2079,'Weekly Log'!$E:$E,"Yes"))</f>
        <v/>
      </c>
      <c r="H2079" s="12" t="str">
        <f aca="false">IF(OR(A2079="",D2079=""),"",D2079*G2079)</f>
        <v/>
      </c>
    </row>
    <row r="2080" customFormat="false" ht="15" hidden="false" customHeight="false" outlineLevel="0" collapsed="false">
      <c r="B2080" s="12" t="str">
        <f aca="false">IF(A2080="","",IFERROR(INDEX(Recipes!$B:$B,MATCH(A2080,Recipes!$A:$A,0)),"⚠ unknown recipe_id"))</f>
        <v/>
      </c>
      <c r="E2080" s="12" t="str">
        <f aca="false">IF(C2080="","",IFERROR(INDEX('Ingredient Catalog'!$C:$C,MATCH(C2080,'Ingredient Catalog'!$A:$A,0)),"⚠ not in catalog"))</f>
        <v/>
      </c>
      <c r="G2080" s="12" t="str">
        <f aca="false">IF(A2080="","",COUNTIFS('Weekly Log'!$A:$A,'Grocery List'!$B$3,'Weekly Log'!$C:$C,A2080,'Weekly Log'!$E:$E,"Yes"))</f>
        <v/>
      </c>
      <c r="H2080" s="12" t="str">
        <f aca="false">IF(OR(A2080="",D2080=""),"",D2080*G2080)</f>
        <v/>
      </c>
    </row>
    <row r="2081" customFormat="false" ht="15" hidden="false" customHeight="false" outlineLevel="0" collapsed="false">
      <c r="B2081" s="12" t="str">
        <f aca="false">IF(A2081="","",IFERROR(INDEX(Recipes!$B:$B,MATCH(A2081,Recipes!$A:$A,0)),"⚠ unknown recipe_id"))</f>
        <v/>
      </c>
      <c r="E2081" s="12" t="str">
        <f aca="false">IF(C2081="","",IFERROR(INDEX('Ingredient Catalog'!$C:$C,MATCH(C2081,'Ingredient Catalog'!$A:$A,0)),"⚠ not in catalog"))</f>
        <v/>
      </c>
      <c r="G2081" s="12" t="str">
        <f aca="false">IF(A2081="","",COUNTIFS('Weekly Log'!$A:$A,'Grocery List'!$B$3,'Weekly Log'!$C:$C,A2081,'Weekly Log'!$E:$E,"Yes"))</f>
        <v/>
      </c>
      <c r="H2081" s="12" t="str">
        <f aca="false">IF(OR(A2081="",D2081=""),"",D2081*G2081)</f>
        <v/>
      </c>
    </row>
    <row r="2082" customFormat="false" ht="15" hidden="false" customHeight="false" outlineLevel="0" collapsed="false">
      <c r="B2082" s="12" t="str">
        <f aca="false">IF(A2082="","",IFERROR(INDEX(Recipes!$B:$B,MATCH(A2082,Recipes!$A:$A,0)),"⚠ unknown recipe_id"))</f>
        <v/>
      </c>
      <c r="E2082" s="12" t="str">
        <f aca="false">IF(C2082="","",IFERROR(INDEX('Ingredient Catalog'!$C:$C,MATCH(C2082,'Ingredient Catalog'!$A:$A,0)),"⚠ not in catalog"))</f>
        <v/>
      </c>
      <c r="G2082" s="12" t="str">
        <f aca="false">IF(A2082="","",COUNTIFS('Weekly Log'!$A:$A,'Grocery List'!$B$3,'Weekly Log'!$C:$C,A2082,'Weekly Log'!$E:$E,"Yes"))</f>
        <v/>
      </c>
      <c r="H2082" s="12" t="str">
        <f aca="false">IF(OR(A2082="",D2082=""),"",D2082*G2082)</f>
        <v/>
      </c>
    </row>
    <row r="2083" customFormat="false" ht="15" hidden="false" customHeight="false" outlineLevel="0" collapsed="false">
      <c r="B2083" s="12" t="str">
        <f aca="false">IF(A2083="","",IFERROR(INDEX(Recipes!$B:$B,MATCH(A2083,Recipes!$A:$A,0)),"⚠ unknown recipe_id"))</f>
        <v/>
      </c>
      <c r="E2083" s="12" t="str">
        <f aca="false">IF(C2083="","",IFERROR(INDEX('Ingredient Catalog'!$C:$C,MATCH(C2083,'Ingredient Catalog'!$A:$A,0)),"⚠ not in catalog"))</f>
        <v/>
      </c>
      <c r="G2083" s="12" t="str">
        <f aca="false">IF(A2083="","",COUNTIFS('Weekly Log'!$A:$A,'Grocery List'!$B$3,'Weekly Log'!$C:$C,A2083,'Weekly Log'!$E:$E,"Yes"))</f>
        <v/>
      </c>
      <c r="H2083" s="12" t="str">
        <f aca="false">IF(OR(A2083="",D2083=""),"",D2083*G2083)</f>
        <v/>
      </c>
    </row>
    <row r="2084" customFormat="false" ht="15" hidden="false" customHeight="false" outlineLevel="0" collapsed="false">
      <c r="B2084" s="12" t="str">
        <f aca="false">IF(A2084="","",IFERROR(INDEX(Recipes!$B:$B,MATCH(A2084,Recipes!$A:$A,0)),"⚠ unknown recipe_id"))</f>
        <v/>
      </c>
      <c r="E2084" s="12" t="str">
        <f aca="false">IF(C2084="","",IFERROR(INDEX('Ingredient Catalog'!$C:$C,MATCH(C2084,'Ingredient Catalog'!$A:$A,0)),"⚠ not in catalog"))</f>
        <v/>
      </c>
      <c r="G2084" s="12" t="str">
        <f aca="false">IF(A2084="","",COUNTIFS('Weekly Log'!$A:$A,'Grocery List'!$B$3,'Weekly Log'!$C:$C,A2084,'Weekly Log'!$E:$E,"Yes"))</f>
        <v/>
      </c>
      <c r="H2084" s="12" t="str">
        <f aca="false">IF(OR(A2084="",D2084=""),"",D2084*G2084)</f>
        <v/>
      </c>
    </row>
    <row r="2085" customFormat="false" ht="15" hidden="false" customHeight="false" outlineLevel="0" collapsed="false">
      <c r="B2085" s="12" t="str">
        <f aca="false">IF(A2085="","",IFERROR(INDEX(Recipes!$B:$B,MATCH(A2085,Recipes!$A:$A,0)),"⚠ unknown recipe_id"))</f>
        <v/>
      </c>
      <c r="E2085" s="12" t="str">
        <f aca="false">IF(C2085="","",IFERROR(INDEX('Ingredient Catalog'!$C:$C,MATCH(C2085,'Ingredient Catalog'!$A:$A,0)),"⚠ not in catalog"))</f>
        <v/>
      </c>
      <c r="G2085" s="12" t="str">
        <f aca="false">IF(A2085="","",COUNTIFS('Weekly Log'!$A:$A,'Grocery List'!$B$3,'Weekly Log'!$C:$C,A2085,'Weekly Log'!$E:$E,"Yes"))</f>
        <v/>
      </c>
      <c r="H2085" s="12" t="str">
        <f aca="false">IF(OR(A2085="",D2085=""),"",D2085*G2085)</f>
        <v/>
      </c>
    </row>
    <row r="2086" customFormat="false" ht="15" hidden="false" customHeight="false" outlineLevel="0" collapsed="false">
      <c r="B2086" s="12" t="str">
        <f aca="false">IF(A2086="","",IFERROR(INDEX(Recipes!$B:$B,MATCH(A2086,Recipes!$A:$A,0)),"⚠ unknown recipe_id"))</f>
        <v/>
      </c>
      <c r="E2086" s="12" t="str">
        <f aca="false">IF(C2086="","",IFERROR(INDEX('Ingredient Catalog'!$C:$C,MATCH(C2086,'Ingredient Catalog'!$A:$A,0)),"⚠ not in catalog"))</f>
        <v/>
      </c>
      <c r="G2086" s="12" t="str">
        <f aca="false">IF(A2086="","",COUNTIFS('Weekly Log'!$A:$A,'Grocery List'!$B$3,'Weekly Log'!$C:$C,A2086,'Weekly Log'!$E:$E,"Yes"))</f>
        <v/>
      </c>
      <c r="H2086" s="12" t="str">
        <f aca="false">IF(OR(A2086="",D2086=""),"",D2086*G2086)</f>
        <v/>
      </c>
    </row>
    <row r="2087" customFormat="false" ht="15" hidden="false" customHeight="false" outlineLevel="0" collapsed="false">
      <c r="B2087" s="12" t="str">
        <f aca="false">IF(A2087="","",IFERROR(INDEX(Recipes!$B:$B,MATCH(A2087,Recipes!$A:$A,0)),"⚠ unknown recipe_id"))</f>
        <v/>
      </c>
      <c r="E2087" s="12" t="str">
        <f aca="false">IF(C2087="","",IFERROR(INDEX('Ingredient Catalog'!$C:$C,MATCH(C2087,'Ingredient Catalog'!$A:$A,0)),"⚠ not in catalog"))</f>
        <v/>
      </c>
      <c r="G2087" s="12" t="str">
        <f aca="false">IF(A2087="","",COUNTIFS('Weekly Log'!$A:$A,'Grocery List'!$B$3,'Weekly Log'!$C:$C,A2087,'Weekly Log'!$E:$E,"Yes"))</f>
        <v/>
      </c>
      <c r="H2087" s="12" t="str">
        <f aca="false">IF(OR(A2087="",D2087=""),"",D2087*G2087)</f>
        <v/>
      </c>
    </row>
    <row r="2088" customFormat="false" ht="15" hidden="false" customHeight="false" outlineLevel="0" collapsed="false">
      <c r="B2088" s="12" t="str">
        <f aca="false">IF(A2088="","",IFERROR(INDEX(Recipes!$B:$B,MATCH(A2088,Recipes!$A:$A,0)),"⚠ unknown recipe_id"))</f>
        <v/>
      </c>
      <c r="E2088" s="12" t="str">
        <f aca="false">IF(C2088="","",IFERROR(INDEX('Ingredient Catalog'!$C:$C,MATCH(C2088,'Ingredient Catalog'!$A:$A,0)),"⚠ not in catalog"))</f>
        <v/>
      </c>
      <c r="G2088" s="12" t="str">
        <f aca="false">IF(A2088="","",COUNTIFS('Weekly Log'!$A:$A,'Grocery List'!$B$3,'Weekly Log'!$C:$C,A2088,'Weekly Log'!$E:$E,"Yes"))</f>
        <v/>
      </c>
      <c r="H2088" s="12" t="str">
        <f aca="false">IF(OR(A2088="",D2088=""),"",D2088*G2088)</f>
        <v/>
      </c>
    </row>
    <row r="2089" customFormat="false" ht="15" hidden="false" customHeight="false" outlineLevel="0" collapsed="false">
      <c r="B2089" s="12" t="str">
        <f aca="false">IF(A2089="","",IFERROR(INDEX(Recipes!$B:$B,MATCH(A2089,Recipes!$A:$A,0)),"⚠ unknown recipe_id"))</f>
        <v/>
      </c>
      <c r="E2089" s="12" t="str">
        <f aca="false">IF(C2089="","",IFERROR(INDEX('Ingredient Catalog'!$C:$C,MATCH(C2089,'Ingredient Catalog'!$A:$A,0)),"⚠ not in catalog"))</f>
        <v/>
      </c>
      <c r="G2089" s="12" t="str">
        <f aca="false">IF(A2089="","",COUNTIFS('Weekly Log'!$A:$A,'Grocery List'!$B$3,'Weekly Log'!$C:$C,A2089,'Weekly Log'!$E:$E,"Yes"))</f>
        <v/>
      </c>
      <c r="H2089" s="12" t="str">
        <f aca="false">IF(OR(A2089="",D2089=""),"",D2089*G2089)</f>
        <v/>
      </c>
    </row>
    <row r="2090" customFormat="false" ht="15" hidden="false" customHeight="false" outlineLevel="0" collapsed="false">
      <c r="B2090" s="12" t="str">
        <f aca="false">IF(A2090="","",IFERROR(INDEX(Recipes!$B:$B,MATCH(A2090,Recipes!$A:$A,0)),"⚠ unknown recipe_id"))</f>
        <v/>
      </c>
      <c r="E2090" s="12" t="str">
        <f aca="false">IF(C2090="","",IFERROR(INDEX('Ingredient Catalog'!$C:$C,MATCH(C2090,'Ingredient Catalog'!$A:$A,0)),"⚠ not in catalog"))</f>
        <v/>
      </c>
      <c r="G2090" s="12" t="str">
        <f aca="false">IF(A2090="","",COUNTIFS('Weekly Log'!$A:$A,'Grocery List'!$B$3,'Weekly Log'!$C:$C,A2090,'Weekly Log'!$E:$E,"Yes"))</f>
        <v/>
      </c>
      <c r="H2090" s="12" t="str">
        <f aca="false">IF(OR(A2090="",D2090=""),"",D2090*G2090)</f>
        <v/>
      </c>
    </row>
    <row r="2091" customFormat="false" ht="15" hidden="false" customHeight="false" outlineLevel="0" collapsed="false">
      <c r="B2091" s="12" t="str">
        <f aca="false">IF(A2091="","",IFERROR(INDEX(Recipes!$B:$B,MATCH(A2091,Recipes!$A:$A,0)),"⚠ unknown recipe_id"))</f>
        <v/>
      </c>
      <c r="E2091" s="12" t="str">
        <f aca="false">IF(C2091="","",IFERROR(INDEX('Ingredient Catalog'!$C:$C,MATCH(C2091,'Ingredient Catalog'!$A:$A,0)),"⚠ not in catalog"))</f>
        <v/>
      </c>
      <c r="G2091" s="12" t="str">
        <f aca="false">IF(A2091="","",COUNTIFS('Weekly Log'!$A:$A,'Grocery List'!$B$3,'Weekly Log'!$C:$C,A2091,'Weekly Log'!$E:$E,"Yes"))</f>
        <v/>
      </c>
      <c r="H2091" s="12" t="str">
        <f aca="false">IF(OR(A2091="",D2091=""),"",D2091*G2091)</f>
        <v/>
      </c>
    </row>
    <row r="2092" customFormat="false" ht="15" hidden="false" customHeight="false" outlineLevel="0" collapsed="false">
      <c r="B2092" s="12" t="str">
        <f aca="false">IF(A2092="","",IFERROR(INDEX(Recipes!$B:$B,MATCH(A2092,Recipes!$A:$A,0)),"⚠ unknown recipe_id"))</f>
        <v/>
      </c>
      <c r="E2092" s="12" t="str">
        <f aca="false">IF(C2092="","",IFERROR(INDEX('Ingredient Catalog'!$C:$C,MATCH(C2092,'Ingredient Catalog'!$A:$A,0)),"⚠ not in catalog"))</f>
        <v/>
      </c>
      <c r="G2092" s="12" t="str">
        <f aca="false">IF(A2092="","",COUNTIFS('Weekly Log'!$A:$A,'Grocery List'!$B$3,'Weekly Log'!$C:$C,A2092,'Weekly Log'!$E:$E,"Yes"))</f>
        <v/>
      </c>
      <c r="H2092" s="12" t="str">
        <f aca="false">IF(OR(A2092="",D2092=""),"",D2092*G2092)</f>
        <v/>
      </c>
    </row>
    <row r="2093" customFormat="false" ht="15" hidden="false" customHeight="false" outlineLevel="0" collapsed="false">
      <c r="B2093" s="12" t="str">
        <f aca="false">IF(A2093="","",IFERROR(INDEX(Recipes!$B:$B,MATCH(A2093,Recipes!$A:$A,0)),"⚠ unknown recipe_id"))</f>
        <v/>
      </c>
      <c r="E2093" s="12" t="str">
        <f aca="false">IF(C2093="","",IFERROR(INDEX('Ingredient Catalog'!$C:$C,MATCH(C2093,'Ingredient Catalog'!$A:$A,0)),"⚠ not in catalog"))</f>
        <v/>
      </c>
      <c r="G2093" s="12" t="str">
        <f aca="false">IF(A2093="","",COUNTIFS('Weekly Log'!$A:$A,'Grocery List'!$B$3,'Weekly Log'!$C:$C,A2093,'Weekly Log'!$E:$E,"Yes"))</f>
        <v/>
      </c>
      <c r="H2093" s="12" t="str">
        <f aca="false">IF(OR(A2093="",D2093=""),"",D2093*G2093)</f>
        <v/>
      </c>
    </row>
    <row r="2094" customFormat="false" ht="15" hidden="false" customHeight="false" outlineLevel="0" collapsed="false">
      <c r="B2094" s="12" t="str">
        <f aca="false">IF(A2094="","",IFERROR(INDEX(Recipes!$B:$B,MATCH(A2094,Recipes!$A:$A,0)),"⚠ unknown recipe_id"))</f>
        <v/>
      </c>
      <c r="E2094" s="12" t="str">
        <f aca="false">IF(C2094="","",IFERROR(INDEX('Ingredient Catalog'!$C:$C,MATCH(C2094,'Ingredient Catalog'!$A:$A,0)),"⚠ not in catalog"))</f>
        <v/>
      </c>
      <c r="G2094" s="12" t="str">
        <f aca="false">IF(A2094="","",COUNTIFS('Weekly Log'!$A:$A,'Grocery List'!$B$3,'Weekly Log'!$C:$C,A2094,'Weekly Log'!$E:$E,"Yes"))</f>
        <v/>
      </c>
      <c r="H2094" s="12" t="str">
        <f aca="false">IF(OR(A2094="",D2094=""),"",D2094*G2094)</f>
        <v/>
      </c>
    </row>
    <row r="2095" customFormat="false" ht="15" hidden="false" customHeight="false" outlineLevel="0" collapsed="false">
      <c r="B2095" s="12" t="str">
        <f aca="false">IF(A2095="","",IFERROR(INDEX(Recipes!$B:$B,MATCH(A2095,Recipes!$A:$A,0)),"⚠ unknown recipe_id"))</f>
        <v/>
      </c>
      <c r="E2095" s="12" t="str">
        <f aca="false">IF(C2095="","",IFERROR(INDEX('Ingredient Catalog'!$C:$C,MATCH(C2095,'Ingredient Catalog'!$A:$A,0)),"⚠ not in catalog"))</f>
        <v/>
      </c>
      <c r="G2095" s="12" t="str">
        <f aca="false">IF(A2095="","",COUNTIFS('Weekly Log'!$A:$A,'Grocery List'!$B$3,'Weekly Log'!$C:$C,A2095,'Weekly Log'!$E:$E,"Yes"))</f>
        <v/>
      </c>
      <c r="H2095" s="12" t="str">
        <f aca="false">IF(OR(A2095="",D2095=""),"",D2095*G2095)</f>
        <v/>
      </c>
    </row>
    <row r="2096" customFormat="false" ht="15" hidden="false" customHeight="false" outlineLevel="0" collapsed="false">
      <c r="B2096" s="12" t="str">
        <f aca="false">IF(A2096="","",IFERROR(INDEX(Recipes!$B:$B,MATCH(A2096,Recipes!$A:$A,0)),"⚠ unknown recipe_id"))</f>
        <v/>
      </c>
      <c r="E2096" s="12" t="str">
        <f aca="false">IF(C2096="","",IFERROR(INDEX('Ingredient Catalog'!$C:$C,MATCH(C2096,'Ingredient Catalog'!$A:$A,0)),"⚠ not in catalog"))</f>
        <v/>
      </c>
      <c r="G2096" s="12" t="str">
        <f aca="false">IF(A2096="","",COUNTIFS('Weekly Log'!$A:$A,'Grocery List'!$B$3,'Weekly Log'!$C:$C,A2096,'Weekly Log'!$E:$E,"Yes"))</f>
        <v/>
      </c>
      <c r="H2096" s="12" t="str">
        <f aca="false">IF(OR(A2096="",D2096=""),"",D2096*G2096)</f>
        <v/>
      </c>
    </row>
    <row r="2097" customFormat="false" ht="15" hidden="false" customHeight="false" outlineLevel="0" collapsed="false">
      <c r="B2097" s="12" t="str">
        <f aca="false">IF(A2097="","",IFERROR(INDEX(Recipes!$B:$B,MATCH(A2097,Recipes!$A:$A,0)),"⚠ unknown recipe_id"))</f>
        <v/>
      </c>
      <c r="E2097" s="12" t="str">
        <f aca="false">IF(C2097="","",IFERROR(INDEX('Ingredient Catalog'!$C:$C,MATCH(C2097,'Ingredient Catalog'!$A:$A,0)),"⚠ not in catalog"))</f>
        <v/>
      </c>
      <c r="G2097" s="12" t="str">
        <f aca="false">IF(A2097="","",COUNTIFS('Weekly Log'!$A:$A,'Grocery List'!$B$3,'Weekly Log'!$C:$C,A2097,'Weekly Log'!$E:$E,"Yes"))</f>
        <v/>
      </c>
      <c r="H2097" s="12" t="str">
        <f aca="false">IF(OR(A2097="",D2097=""),"",D2097*G2097)</f>
        <v/>
      </c>
    </row>
    <row r="2098" customFormat="false" ht="15" hidden="false" customHeight="false" outlineLevel="0" collapsed="false">
      <c r="B2098" s="12" t="str">
        <f aca="false">IF(A2098="","",IFERROR(INDEX(Recipes!$B:$B,MATCH(A2098,Recipes!$A:$A,0)),"⚠ unknown recipe_id"))</f>
        <v/>
      </c>
      <c r="E2098" s="12" t="str">
        <f aca="false">IF(C2098="","",IFERROR(INDEX('Ingredient Catalog'!$C:$C,MATCH(C2098,'Ingredient Catalog'!$A:$A,0)),"⚠ not in catalog"))</f>
        <v/>
      </c>
      <c r="G2098" s="12" t="str">
        <f aca="false">IF(A2098="","",COUNTIFS('Weekly Log'!$A:$A,'Grocery List'!$B$3,'Weekly Log'!$C:$C,A2098,'Weekly Log'!$E:$E,"Yes"))</f>
        <v/>
      </c>
      <c r="H2098" s="12" t="str">
        <f aca="false">IF(OR(A2098="",D2098=""),"",D2098*G2098)</f>
        <v/>
      </c>
    </row>
    <row r="2099" customFormat="false" ht="15" hidden="false" customHeight="false" outlineLevel="0" collapsed="false">
      <c r="B2099" s="12" t="str">
        <f aca="false">IF(A2099="","",IFERROR(INDEX(Recipes!$B:$B,MATCH(A2099,Recipes!$A:$A,0)),"⚠ unknown recipe_id"))</f>
        <v/>
      </c>
      <c r="E2099" s="12" t="str">
        <f aca="false">IF(C2099="","",IFERROR(INDEX('Ingredient Catalog'!$C:$C,MATCH(C2099,'Ingredient Catalog'!$A:$A,0)),"⚠ not in catalog"))</f>
        <v/>
      </c>
      <c r="G2099" s="12" t="str">
        <f aca="false">IF(A2099="","",COUNTIFS('Weekly Log'!$A:$A,'Grocery List'!$B$3,'Weekly Log'!$C:$C,A2099,'Weekly Log'!$E:$E,"Yes"))</f>
        <v/>
      </c>
      <c r="H2099" s="12" t="str">
        <f aca="false">IF(OR(A2099="",D2099=""),"",D2099*G2099)</f>
        <v/>
      </c>
    </row>
    <row r="2100" customFormat="false" ht="15" hidden="false" customHeight="false" outlineLevel="0" collapsed="false">
      <c r="B2100" s="12" t="str">
        <f aca="false">IF(A2100="","",IFERROR(INDEX(Recipes!$B:$B,MATCH(A2100,Recipes!$A:$A,0)),"⚠ unknown recipe_id"))</f>
        <v/>
      </c>
      <c r="E2100" s="12" t="str">
        <f aca="false">IF(C2100="","",IFERROR(INDEX('Ingredient Catalog'!$C:$C,MATCH(C2100,'Ingredient Catalog'!$A:$A,0)),"⚠ not in catalog"))</f>
        <v/>
      </c>
      <c r="G2100" s="12" t="str">
        <f aca="false">IF(A2100="","",COUNTIFS('Weekly Log'!$A:$A,'Grocery List'!$B$3,'Weekly Log'!$C:$C,A2100,'Weekly Log'!$E:$E,"Yes"))</f>
        <v/>
      </c>
      <c r="H2100" s="12" t="str">
        <f aca="false">IF(OR(A2100="",D2100=""),"",D2100*G2100)</f>
        <v/>
      </c>
    </row>
    <row r="2101" customFormat="false" ht="15" hidden="false" customHeight="false" outlineLevel="0" collapsed="false">
      <c r="B2101" s="12" t="str">
        <f aca="false">IF(A2101="","",IFERROR(INDEX(Recipes!$B:$B,MATCH(A2101,Recipes!$A:$A,0)),"⚠ unknown recipe_id"))</f>
        <v/>
      </c>
      <c r="E2101" s="12" t="str">
        <f aca="false">IF(C2101="","",IFERROR(INDEX('Ingredient Catalog'!$C:$C,MATCH(C2101,'Ingredient Catalog'!$A:$A,0)),"⚠ not in catalog"))</f>
        <v/>
      </c>
      <c r="G2101" s="12" t="str">
        <f aca="false">IF(A2101="","",COUNTIFS('Weekly Log'!$A:$A,'Grocery List'!$B$3,'Weekly Log'!$C:$C,A2101,'Weekly Log'!$E:$E,"Yes"))</f>
        <v/>
      </c>
      <c r="H2101" s="12" t="str">
        <f aca="false">IF(OR(A2101="",D2101=""),"",D2101*G2101)</f>
        <v/>
      </c>
    </row>
    <row r="2102" customFormat="false" ht="15" hidden="false" customHeight="false" outlineLevel="0" collapsed="false">
      <c r="B2102" s="12" t="str">
        <f aca="false">IF(A2102="","",IFERROR(INDEX(Recipes!$B:$B,MATCH(A2102,Recipes!$A:$A,0)),"⚠ unknown recipe_id"))</f>
        <v/>
      </c>
      <c r="E2102" s="12" t="str">
        <f aca="false">IF(C2102="","",IFERROR(INDEX('Ingredient Catalog'!$C:$C,MATCH(C2102,'Ingredient Catalog'!$A:$A,0)),"⚠ not in catalog"))</f>
        <v/>
      </c>
      <c r="G2102" s="12" t="str">
        <f aca="false">IF(A2102="","",COUNTIFS('Weekly Log'!$A:$A,'Grocery List'!$B$3,'Weekly Log'!$C:$C,A2102,'Weekly Log'!$E:$E,"Yes"))</f>
        <v/>
      </c>
      <c r="H2102" s="12" t="str">
        <f aca="false">IF(OR(A2102="",D2102=""),"",D2102*G2102)</f>
        <v/>
      </c>
    </row>
    <row r="2103" customFormat="false" ht="15" hidden="false" customHeight="false" outlineLevel="0" collapsed="false">
      <c r="B2103" s="12" t="str">
        <f aca="false">IF(A2103="","",IFERROR(INDEX(Recipes!$B:$B,MATCH(A2103,Recipes!$A:$A,0)),"⚠ unknown recipe_id"))</f>
        <v/>
      </c>
      <c r="E2103" s="12" t="str">
        <f aca="false">IF(C2103="","",IFERROR(INDEX('Ingredient Catalog'!$C:$C,MATCH(C2103,'Ingredient Catalog'!$A:$A,0)),"⚠ not in catalog"))</f>
        <v/>
      </c>
      <c r="G2103" s="12" t="str">
        <f aca="false">IF(A2103="","",COUNTIFS('Weekly Log'!$A:$A,'Grocery List'!$B$3,'Weekly Log'!$C:$C,A2103,'Weekly Log'!$E:$E,"Yes"))</f>
        <v/>
      </c>
      <c r="H2103" s="12" t="str">
        <f aca="false">IF(OR(A2103="",D2103=""),"",D2103*G2103)</f>
        <v/>
      </c>
    </row>
    <row r="2104" customFormat="false" ht="15" hidden="false" customHeight="false" outlineLevel="0" collapsed="false">
      <c r="B2104" s="12" t="str">
        <f aca="false">IF(A2104="","",IFERROR(INDEX(Recipes!$B:$B,MATCH(A2104,Recipes!$A:$A,0)),"⚠ unknown recipe_id"))</f>
        <v/>
      </c>
      <c r="E2104" s="12" t="str">
        <f aca="false">IF(C2104="","",IFERROR(INDEX('Ingredient Catalog'!$C:$C,MATCH(C2104,'Ingredient Catalog'!$A:$A,0)),"⚠ not in catalog"))</f>
        <v/>
      </c>
      <c r="G2104" s="12" t="str">
        <f aca="false">IF(A2104="","",COUNTIFS('Weekly Log'!$A:$A,'Grocery List'!$B$3,'Weekly Log'!$C:$C,A2104,'Weekly Log'!$E:$E,"Yes"))</f>
        <v/>
      </c>
      <c r="H2104" s="12" t="str">
        <f aca="false">IF(OR(A2104="",D2104=""),"",D2104*G2104)</f>
        <v/>
      </c>
    </row>
    <row r="2105" customFormat="false" ht="15" hidden="false" customHeight="false" outlineLevel="0" collapsed="false">
      <c r="B2105" s="12" t="str">
        <f aca="false">IF(A2105="","",IFERROR(INDEX(Recipes!$B:$B,MATCH(A2105,Recipes!$A:$A,0)),"⚠ unknown recipe_id"))</f>
        <v/>
      </c>
      <c r="E2105" s="12" t="str">
        <f aca="false">IF(C2105="","",IFERROR(INDEX('Ingredient Catalog'!$C:$C,MATCH(C2105,'Ingredient Catalog'!$A:$A,0)),"⚠ not in catalog"))</f>
        <v/>
      </c>
      <c r="G2105" s="12" t="str">
        <f aca="false">IF(A2105="","",COUNTIFS('Weekly Log'!$A:$A,'Grocery List'!$B$3,'Weekly Log'!$C:$C,A2105,'Weekly Log'!$E:$E,"Yes"))</f>
        <v/>
      </c>
      <c r="H2105" s="12" t="str">
        <f aca="false">IF(OR(A2105="",D2105=""),"",D2105*G2105)</f>
        <v/>
      </c>
    </row>
    <row r="2106" customFormat="false" ht="15" hidden="false" customHeight="false" outlineLevel="0" collapsed="false">
      <c r="B2106" s="12" t="str">
        <f aca="false">IF(A2106="","",IFERROR(INDEX(Recipes!$B:$B,MATCH(A2106,Recipes!$A:$A,0)),"⚠ unknown recipe_id"))</f>
        <v/>
      </c>
      <c r="E2106" s="12" t="str">
        <f aca="false">IF(C2106="","",IFERROR(INDEX('Ingredient Catalog'!$C:$C,MATCH(C2106,'Ingredient Catalog'!$A:$A,0)),"⚠ not in catalog"))</f>
        <v/>
      </c>
      <c r="G2106" s="12" t="str">
        <f aca="false">IF(A2106="","",COUNTIFS('Weekly Log'!$A:$A,'Grocery List'!$B$3,'Weekly Log'!$C:$C,A2106,'Weekly Log'!$E:$E,"Yes"))</f>
        <v/>
      </c>
      <c r="H2106" s="12" t="str">
        <f aca="false">IF(OR(A2106="",D2106=""),"",D2106*G2106)</f>
        <v/>
      </c>
    </row>
    <row r="2107" customFormat="false" ht="15" hidden="false" customHeight="false" outlineLevel="0" collapsed="false">
      <c r="B2107" s="12" t="str">
        <f aca="false">IF(A2107="","",IFERROR(INDEX(Recipes!$B:$B,MATCH(A2107,Recipes!$A:$A,0)),"⚠ unknown recipe_id"))</f>
        <v/>
      </c>
      <c r="E2107" s="12" t="str">
        <f aca="false">IF(C2107="","",IFERROR(INDEX('Ingredient Catalog'!$C:$C,MATCH(C2107,'Ingredient Catalog'!$A:$A,0)),"⚠ not in catalog"))</f>
        <v/>
      </c>
      <c r="G2107" s="12" t="str">
        <f aca="false">IF(A2107="","",COUNTIFS('Weekly Log'!$A:$A,'Grocery List'!$B$3,'Weekly Log'!$C:$C,A2107,'Weekly Log'!$E:$E,"Yes"))</f>
        <v/>
      </c>
      <c r="H2107" s="12" t="str">
        <f aca="false">IF(OR(A2107="",D2107=""),"",D2107*G2107)</f>
        <v/>
      </c>
    </row>
    <row r="2108" customFormat="false" ht="15" hidden="false" customHeight="false" outlineLevel="0" collapsed="false">
      <c r="B2108" s="12" t="str">
        <f aca="false">IF(A2108="","",IFERROR(INDEX(Recipes!$B:$B,MATCH(A2108,Recipes!$A:$A,0)),"⚠ unknown recipe_id"))</f>
        <v/>
      </c>
      <c r="E2108" s="12" t="str">
        <f aca="false">IF(C2108="","",IFERROR(INDEX('Ingredient Catalog'!$C:$C,MATCH(C2108,'Ingredient Catalog'!$A:$A,0)),"⚠ not in catalog"))</f>
        <v/>
      </c>
      <c r="G2108" s="12" t="str">
        <f aca="false">IF(A2108="","",COUNTIFS('Weekly Log'!$A:$A,'Grocery List'!$B$3,'Weekly Log'!$C:$C,A2108,'Weekly Log'!$E:$E,"Yes"))</f>
        <v/>
      </c>
      <c r="H2108" s="12" t="str">
        <f aca="false">IF(OR(A2108="",D2108=""),"",D2108*G2108)</f>
        <v/>
      </c>
    </row>
    <row r="2109" customFormat="false" ht="15" hidden="false" customHeight="false" outlineLevel="0" collapsed="false">
      <c r="B2109" s="12" t="str">
        <f aca="false">IF(A2109="","",IFERROR(INDEX(Recipes!$B:$B,MATCH(A2109,Recipes!$A:$A,0)),"⚠ unknown recipe_id"))</f>
        <v/>
      </c>
      <c r="E2109" s="12" t="str">
        <f aca="false">IF(C2109="","",IFERROR(INDEX('Ingredient Catalog'!$C:$C,MATCH(C2109,'Ingredient Catalog'!$A:$A,0)),"⚠ not in catalog"))</f>
        <v/>
      </c>
      <c r="G2109" s="12" t="str">
        <f aca="false">IF(A2109="","",COUNTIFS('Weekly Log'!$A:$A,'Grocery List'!$B$3,'Weekly Log'!$C:$C,A2109,'Weekly Log'!$E:$E,"Yes"))</f>
        <v/>
      </c>
      <c r="H2109" s="12" t="str">
        <f aca="false">IF(OR(A2109="",D2109=""),"",D2109*G2109)</f>
        <v/>
      </c>
    </row>
    <row r="2110" customFormat="false" ht="15" hidden="false" customHeight="false" outlineLevel="0" collapsed="false">
      <c r="B2110" s="12" t="str">
        <f aca="false">IF(A2110="","",IFERROR(INDEX(Recipes!$B:$B,MATCH(A2110,Recipes!$A:$A,0)),"⚠ unknown recipe_id"))</f>
        <v/>
      </c>
      <c r="E2110" s="12" t="str">
        <f aca="false">IF(C2110="","",IFERROR(INDEX('Ingredient Catalog'!$C:$C,MATCH(C2110,'Ingredient Catalog'!$A:$A,0)),"⚠ not in catalog"))</f>
        <v/>
      </c>
      <c r="G2110" s="12" t="str">
        <f aca="false">IF(A2110="","",COUNTIFS('Weekly Log'!$A:$A,'Grocery List'!$B$3,'Weekly Log'!$C:$C,A2110,'Weekly Log'!$E:$E,"Yes"))</f>
        <v/>
      </c>
      <c r="H2110" s="12" t="str">
        <f aca="false">IF(OR(A2110="",D2110=""),"",D2110*G2110)</f>
        <v/>
      </c>
    </row>
    <row r="2111" customFormat="false" ht="15" hidden="false" customHeight="false" outlineLevel="0" collapsed="false">
      <c r="B2111" s="12" t="str">
        <f aca="false">IF(A2111="","",IFERROR(INDEX(Recipes!$B:$B,MATCH(A2111,Recipes!$A:$A,0)),"⚠ unknown recipe_id"))</f>
        <v/>
      </c>
      <c r="E2111" s="12" t="str">
        <f aca="false">IF(C2111="","",IFERROR(INDEX('Ingredient Catalog'!$C:$C,MATCH(C2111,'Ingredient Catalog'!$A:$A,0)),"⚠ not in catalog"))</f>
        <v/>
      </c>
      <c r="G2111" s="12" t="str">
        <f aca="false">IF(A2111="","",COUNTIFS('Weekly Log'!$A:$A,'Grocery List'!$B$3,'Weekly Log'!$C:$C,A2111,'Weekly Log'!$E:$E,"Yes"))</f>
        <v/>
      </c>
      <c r="H2111" s="12" t="str">
        <f aca="false">IF(OR(A2111="",D2111=""),"",D2111*G2111)</f>
        <v/>
      </c>
    </row>
    <row r="2112" customFormat="false" ht="15" hidden="false" customHeight="false" outlineLevel="0" collapsed="false">
      <c r="B2112" s="12" t="str">
        <f aca="false">IF(A2112="","",IFERROR(INDEX(Recipes!$B:$B,MATCH(A2112,Recipes!$A:$A,0)),"⚠ unknown recipe_id"))</f>
        <v/>
      </c>
      <c r="E2112" s="12" t="str">
        <f aca="false">IF(C2112="","",IFERROR(INDEX('Ingredient Catalog'!$C:$C,MATCH(C2112,'Ingredient Catalog'!$A:$A,0)),"⚠ not in catalog"))</f>
        <v/>
      </c>
      <c r="G2112" s="12" t="str">
        <f aca="false">IF(A2112="","",COUNTIFS('Weekly Log'!$A:$A,'Grocery List'!$B$3,'Weekly Log'!$C:$C,A2112,'Weekly Log'!$E:$E,"Yes"))</f>
        <v/>
      </c>
      <c r="H2112" s="12" t="str">
        <f aca="false">IF(OR(A2112="",D2112=""),"",D2112*G2112)</f>
        <v/>
      </c>
    </row>
    <row r="2113" customFormat="false" ht="15" hidden="false" customHeight="false" outlineLevel="0" collapsed="false">
      <c r="B2113" s="12" t="str">
        <f aca="false">IF(A2113="","",IFERROR(INDEX(Recipes!$B:$B,MATCH(A2113,Recipes!$A:$A,0)),"⚠ unknown recipe_id"))</f>
        <v/>
      </c>
      <c r="E2113" s="12" t="str">
        <f aca="false">IF(C2113="","",IFERROR(INDEX('Ingredient Catalog'!$C:$C,MATCH(C2113,'Ingredient Catalog'!$A:$A,0)),"⚠ not in catalog"))</f>
        <v/>
      </c>
      <c r="G2113" s="12" t="str">
        <f aca="false">IF(A2113="","",COUNTIFS('Weekly Log'!$A:$A,'Grocery List'!$B$3,'Weekly Log'!$C:$C,A2113,'Weekly Log'!$E:$E,"Yes"))</f>
        <v/>
      </c>
      <c r="H2113" s="12" t="str">
        <f aca="false">IF(OR(A2113="",D2113=""),"",D2113*G2113)</f>
        <v/>
      </c>
    </row>
    <row r="2114" customFormat="false" ht="15" hidden="false" customHeight="false" outlineLevel="0" collapsed="false">
      <c r="B2114" s="12" t="str">
        <f aca="false">IF(A2114="","",IFERROR(INDEX(Recipes!$B:$B,MATCH(A2114,Recipes!$A:$A,0)),"⚠ unknown recipe_id"))</f>
        <v/>
      </c>
      <c r="E2114" s="12" t="str">
        <f aca="false">IF(C2114="","",IFERROR(INDEX('Ingredient Catalog'!$C:$C,MATCH(C2114,'Ingredient Catalog'!$A:$A,0)),"⚠ not in catalog"))</f>
        <v/>
      </c>
      <c r="G2114" s="12" t="str">
        <f aca="false">IF(A2114="","",COUNTIFS('Weekly Log'!$A:$A,'Grocery List'!$B$3,'Weekly Log'!$C:$C,A2114,'Weekly Log'!$E:$E,"Yes"))</f>
        <v/>
      </c>
      <c r="H2114" s="12" t="str">
        <f aca="false">IF(OR(A2114="",D2114=""),"",D2114*G2114)</f>
        <v/>
      </c>
    </row>
    <row r="2115" customFormat="false" ht="15" hidden="false" customHeight="false" outlineLevel="0" collapsed="false">
      <c r="B2115" s="12" t="str">
        <f aca="false">IF(A2115="","",IFERROR(INDEX(Recipes!$B:$B,MATCH(A2115,Recipes!$A:$A,0)),"⚠ unknown recipe_id"))</f>
        <v/>
      </c>
      <c r="E2115" s="12" t="str">
        <f aca="false">IF(C2115="","",IFERROR(INDEX('Ingredient Catalog'!$C:$C,MATCH(C2115,'Ingredient Catalog'!$A:$A,0)),"⚠ not in catalog"))</f>
        <v/>
      </c>
      <c r="G2115" s="12" t="str">
        <f aca="false">IF(A2115="","",COUNTIFS('Weekly Log'!$A:$A,'Grocery List'!$B$3,'Weekly Log'!$C:$C,A2115,'Weekly Log'!$E:$E,"Yes"))</f>
        <v/>
      </c>
      <c r="H2115" s="12" t="str">
        <f aca="false">IF(OR(A2115="",D2115=""),"",D2115*G2115)</f>
        <v/>
      </c>
    </row>
    <row r="2116" customFormat="false" ht="15" hidden="false" customHeight="false" outlineLevel="0" collapsed="false">
      <c r="B2116" s="12" t="str">
        <f aca="false">IF(A2116="","",IFERROR(INDEX(Recipes!$B:$B,MATCH(A2116,Recipes!$A:$A,0)),"⚠ unknown recipe_id"))</f>
        <v/>
      </c>
      <c r="E2116" s="12" t="str">
        <f aca="false">IF(C2116="","",IFERROR(INDEX('Ingredient Catalog'!$C:$C,MATCH(C2116,'Ingredient Catalog'!$A:$A,0)),"⚠ not in catalog"))</f>
        <v/>
      </c>
      <c r="G2116" s="12" t="str">
        <f aca="false">IF(A2116="","",COUNTIFS('Weekly Log'!$A:$A,'Grocery List'!$B$3,'Weekly Log'!$C:$C,A2116,'Weekly Log'!$E:$E,"Yes"))</f>
        <v/>
      </c>
      <c r="H2116" s="12" t="str">
        <f aca="false">IF(OR(A2116="",D2116=""),"",D2116*G2116)</f>
        <v/>
      </c>
    </row>
    <row r="2117" customFormat="false" ht="15" hidden="false" customHeight="false" outlineLevel="0" collapsed="false">
      <c r="B2117" s="12" t="str">
        <f aca="false">IF(A2117="","",IFERROR(INDEX(Recipes!$B:$B,MATCH(A2117,Recipes!$A:$A,0)),"⚠ unknown recipe_id"))</f>
        <v/>
      </c>
      <c r="E2117" s="12" t="str">
        <f aca="false">IF(C2117="","",IFERROR(INDEX('Ingredient Catalog'!$C:$C,MATCH(C2117,'Ingredient Catalog'!$A:$A,0)),"⚠ not in catalog"))</f>
        <v/>
      </c>
      <c r="G2117" s="12" t="str">
        <f aca="false">IF(A2117="","",COUNTIFS('Weekly Log'!$A:$A,'Grocery List'!$B$3,'Weekly Log'!$C:$C,A2117,'Weekly Log'!$E:$E,"Yes"))</f>
        <v/>
      </c>
      <c r="H2117" s="12" t="str">
        <f aca="false">IF(OR(A2117="",D2117=""),"",D2117*G2117)</f>
        <v/>
      </c>
    </row>
    <row r="2118" customFormat="false" ht="15" hidden="false" customHeight="false" outlineLevel="0" collapsed="false">
      <c r="B2118" s="12" t="str">
        <f aca="false">IF(A2118="","",IFERROR(INDEX(Recipes!$B:$B,MATCH(A2118,Recipes!$A:$A,0)),"⚠ unknown recipe_id"))</f>
        <v/>
      </c>
      <c r="E2118" s="12" t="str">
        <f aca="false">IF(C2118="","",IFERROR(INDEX('Ingredient Catalog'!$C:$C,MATCH(C2118,'Ingredient Catalog'!$A:$A,0)),"⚠ not in catalog"))</f>
        <v/>
      </c>
      <c r="G2118" s="12" t="str">
        <f aca="false">IF(A2118="","",COUNTIFS('Weekly Log'!$A:$A,'Grocery List'!$B$3,'Weekly Log'!$C:$C,A2118,'Weekly Log'!$E:$E,"Yes"))</f>
        <v/>
      </c>
      <c r="H2118" s="12" t="str">
        <f aca="false">IF(OR(A2118="",D2118=""),"",D2118*G2118)</f>
        <v/>
      </c>
    </row>
    <row r="2119" customFormat="false" ht="15" hidden="false" customHeight="false" outlineLevel="0" collapsed="false">
      <c r="B2119" s="12" t="str">
        <f aca="false">IF(A2119="","",IFERROR(INDEX(Recipes!$B:$B,MATCH(A2119,Recipes!$A:$A,0)),"⚠ unknown recipe_id"))</f>
        <v/>
      </c>
      <c r="E2119" s="12" t="str">
        <f aca="false">IF(C2119="","",IFERROR(INDEX('Ingredient Catalog'!$C:$C,MATCH(C2119,'Ingredient Catalog'!$A:$A,0)),"⚠ not in catalog"))</f>
        <v/>
      </c>
      <c r="G2119" s="12" t="str">
        <f aca="false">IF(A2119="","",COUNTIFS('Weekly Log'!$A:$A,'Grocery List'!$B$3,'Weekly Log'!$C:$C,A2119,'Weekly Log'!$E:$E,"Yes"))</f>
        <v/>
      </c>
      <c r="H2119" s="12" t="str">
        <f aca="false">IF(OR(A2119="",D2119=""),"",D2119*G2119)</f>
        <v/>
      </c>
    </row>
    <row r="2120" customFormat="false" ht="15" hidden="false" customHeight="false" outlineLevel="0" collapsed="false">
      <c r="B2120" s="12" t="str">
        <f aca="false">IF(A2120="","",IFERROR(INDEX(Recipes!$B:$B,MATCH(A2120,Recipes!$A:$A,0)),"⚠ unknown recipe_id"))</f>
        <v/>
      </c>
      <c r="E2120" s="12" t="str">
        <f aca="false">IF(C2120="","",IFERROR(INDEX('Ingredient Catalog'!$C:$C,MATCH(C2120,'Ingredient Catalog'!$A:$A,0)),"⚠ not in catalog"))</f>
        <v/>
      </c>
      <c r="G2120" s="12" t="str">
        <f aca="false">IF(A2120="","",COUNTIFS('Weekly Log'!$A:$A,'Grocery List'!$B$3,'Weekly Log'!$C:$C,A2120,'Weekly Log'!$E:$E,"Yes"))</f>
        <v/>
      </c>
      <c r="H2120" s="12" t="str">
        <f aca="false">IF(OR(A2120="",D2120=""),"",D2120*G2120)</f>
        <v/>
      </c>
    </row>
    <row r="2121" customFormat="false" ht="15" hidden="false" customHeight="false" outlineLevel="0" collapsed="false">
      <c r="B2121" s="12" t="str">
        <f aca="false">IF(A2121="","",IFERROR(INDEX(Recipes!$B:$B,MATCH(A2121,Recipes!$A:$A,0)),"⚠ unknown recipe_id"))</f>
        <v/>
      </c>
      <c r="E2121" s="12" t="str">
        <f aca="false">IF(C2121="","",IFERROR(INDEX('Ingredient Catalog'!$C:$C,MATCH(C2121,'Ingredient Catalog'!$A:$A,0)),"⚠ not in catalog"))</f>
        <v/>
      </c>
      <c r="G2121" s="12" t="str">
        <f aca="false">IF(A2121="","",COUNTIFS('Weekly Log'!$A:$A,'Grocery List'!$B$3,'Weekly Log'!$C:$C,A2121,'Weekly Log'!$E:$E,"Yes"))</f>
        <v/>
      </c>
      <c r="H2121" s="12" t="str">
        <f aca="false">IF(OR(A2121="",D2121=""),"",D2121*G2121)</f>
        <v/>
      </c>
    </row>
    <row r="2122" customFormat="false" ht="15" hidden="false" customHeight="false" outlineLevel="0" collapsed="false">
      <c r="B2122" s="12" t="str">
        <f aca="false">IF(A2122="","",IFERROR(INDEX(Recipes!$B:$B,MATCH(A2122,Recipes!$A:$A,0)),"⚠ unknown recipe_id"))</f>
        <v/>
      </c>
      <c r="E2122" s="12" t="str">
        <f aca="false">IF(C2122="","",IFERROR(INDEX('Ingredient Catalog'!$C:$C,MATCH(C2122,'Ingredient Catalog'!$A:$A,0)),"⚠ not in catalog"))</f>
        <v/>
      </c>
      <c r="G2122" s="12" t="str">
        <f aca="false">IF(A2122="","",COUNTIFS('Weekly Log'!$A:$A,'Grocery List'!$B$3,'Weekly Log'!$C:$C,A2122,'Weekly Log'!$E:$E,"Yes"))</f>
        <v/>
      </c>
      <c r="H2122" s="12" t="str">
        <f aca="false">IF(OR(A2122="",D2122=""),"",D2122*G2122)</f>
        <v/>
      </c>
    </row>
    <row r="2123" customFormat="false" ht="15" hidden="false" customHeight="false" outlineLevel="0" collapsed="false">
      <c r="B2123" s="12" t="str">
        <f aca="false">IF(A2123="","",IFERROR(INDEX(Recipes!$B:$B,MATCH(A2123,Recipes!$A:$A,0)),"⚠ unknown recipe_id"))</f>
        <v/>
      </c>
      <c r="E2123" s="12" t="str">
        <f aca="false">IF(C2123="","",IFERROR(INDEX('Ingredient Catalog'!$C:$C,MATCH(C2123,'Ingredient Catalog'!$A:$A,0)),"⚠ not in catalog"))</f>
        <v/>
      </c>
      <c r="G2123" s="12" t="str">
        <f aca="false">IF(A2123="","",COUNTIFS('Weekly Log'!$A:$A,'Grocery List'!$B$3,'Weekly Log'!$C:$C,A2123,'Weekly Log'!$E:$E,"Yes"))</f>
        <v/>
      </c>
      <c r="H2123" s="12" t="str">
        <f aca="false">IF(OR(A2123="",D2123=""),"",D2123*G2123)</f>
        <v/>
      </c>
    </row>
    <row r="2124" customFormat="false" ht="15" hidden="false" customHeight="false" outlineLevel="0" collapsed="false">
      <c r="B2124" s="12" t="str">
        <f aca="false">IF(A2124="","",IFERROR(INDEX(Recipes!$B:$B,MATCH(A2124,Recipes!$A:$A,0)),"⚠ unknown recipe_id"))</f>
        <v/>
      </c>
      <c r="E2124" s="12" t="str">
        <f aca="false">IF(C2124="","",IFERROR(INDEX('Ingredient Catalog'!$C:$C,MATCH(C2124,'Ingredient Catalog'!$A:$A,0)),"⚠ not in catalog"))</f>
        <v/>
      </c>
      <c r="G2124" s="12" t="str">
        <f aca="false">IF(A2124="","",COUNTIFS('Weekly Log'!$A:$A,'Grocery List'!$B$3,'Weekly Log'!$C:$C,A2124,'Weekly Log'!$E:$E,"Yes"))</f>
        <v/>
      </c>
      <c r="H2124" s="12" t="str">
        <f aca="false">IF(OR(A2124="",D2124=""),"",D2124*G2124)</f>
        <v/>
      </c>
    </row>
    <row r="2125" customFormat="false" ht="15" hidden="false" customHeight="false" outlineLevel="0" collapsed="false">
      <c r="B2125" s="12" t="str">
        <f aca="false">IF(A2125="","",IFERROR(INDEX(Recipes!$B:$B,MATCH(A2125,Recipes!$A:$A,0)),"⚠ unknown recipe_id"))</f>
        <v/>
      </c>
      <c r="E2125" s="12" t="str">
        <f aca="false">IF(C2125="","",IFERROR(INDEX('Ingredient Catalog'!$C:$C,MATCH(C2125,'Ingredient Catalog'!$A:$A,0)),"⚠ not in catalog"))</f>
        <v/>
      </c>
      <c r="G2125" s="12" t="str">
        <f aca="false">IF(A2125="","",COUNTIFS('Weekly Log'!$A:$A,'Grocery List'!$B$3,'Weekly Log'!$C:$C,A2125,'Weekly Log'!$E:$E,"Yes"))</f>
        <v/>
      </c>
      <c r="H2125" s="12" t="str">
        <f aca="false">IF(OR(A2125="",D2125=""),"",D2125*G2125)</f>
        <v/>
      </c>
    </row>
    <row r="2126" customFormat="false" ht="15" hidden="false" customHeight="false" outlineLevel="0" collapsed="false">
      <c r="B2126" s="12" t="str">
        <f aca="false">IF(A2126="","",IFERROR(INDEX(Recipes!$B:$B,MATCH(A2126,Recipes!$A:$A,0)),"⚠ unknown recipe_id"))</f>
        <v/>
      </c>
      <c r="E2126" s="12" t="str">
        <f aca="false">IF(C2126="","",IFERROR(INDEX('Ingredient Catalog'!$C:$C,MATCH(C2126,'Ingredient Catalog'!$A:$A,0)),"⚠ not in catalog"))</f>
        <v/>
      </c>
      <c r="G2126" s="12" t="str">
        <f aca="false">IF(A2126="","",COUNTIFS('Weekly Log'!$A:$A,'Grocery List'!$B$3,'Weekly Log'!$C:$C,A2126,'Weekly Log'!$E:$E,"Yes"))</f>
        <v/>
      </c>
      <c r="H2126" s="12" t="str">
        <f aca="false">IF(OR(A2126="",D2126=""),"",D2126*G2126)</f>
        <v/>
      </c>
    </row>
    <row r="2127" customFormat="false" ht="15" hidden="false" customHeight="false" outlineLevel="0" collapsed="false">
      <c r="B2127" s="12" t="str">
        <f aca="false">IF(A2127="","",IFERROR(INDEX(Recipes!$B:$B,MATCH(A2127,Recipes!$A:$A,0)),"⚠ unknown recipe_id"))</f>
        <v/>
      </c>
      <c r="E2127" s="12" t="str">
        <f aca="false">IF(C2127="","",IFERROR(INDEX('Ingredient Catalog'!$C:$C,MATCH(C2127,'Ingredient Catalog'!$A:$A,0)),"⚠ not in catalog"))</f>
        <v/>
      </c>
      <c r="G2127" s="12" t="str">
        <f aca="false">IF(A2127="","",COUNTIFS('Weekly Log'!$A:$A,'Grocery List'!$B$3,'Weekly Log'!$C:$C,A2127,'Weekly Log'!$E:$E,"Yes"))</f>
        <v/>
      </c>
      <c r="H2127" s="12" t="str">
        <f aca="false">IF(OR(A2127="",D2127=""),"",D2127*G2127)</f>
        <v/>
      </c>
    </row>
    <row r="2128" customFormat="false" ht="15" hidden="false" customHeight="false" outlineLevel="0" collapsed="false">
      <c r="B2128" s="12" t="str">
        <f aca="false">IF(A2128="","",IFERROR(INDEX(Recipes!$B:$B,MATCH(A2128,Recipes!$A:$A,0)),"⚠ unknown recipe_id"))</f>
        <v/>
      </c>
      <c r="E2128" s="12" t="str">
        <f aca="false">IF(C2128="","",IFERROR(INDEX('Ingredient Catalog'!$C:$C,MATCH(C2128,'Ingredient Catalog'!$A:$A,0)),"⚠ not in catalog"))</f>
        <v/>
      </c>
      <c r="G2128" s="12" t="str">
        <f aca="false">IF(A2128="","",COUNTIFS('Weekly Log'!$A:$A,'Grocery List'!$B$3,'Weekly Log'!$C:$C,A2128,'Weekly Log'!$E:$E,"Yes"))</f>
        <v/>
      </c>
      <c r="H2128" s="12" t="str">
        <f aca="false">IF(OR(A2128="",D2128=""),"",D2128*G2128)</f>
        <v/>
      </c>
    </row>
    <row r="2129" customFormat="false" ht="15" hidden="false" customHeight="false" outlineLevel="0" collapsed="false">
      <c r="B2129" s="12" t="str">
        <f aca="false">IF(A2129="","",IFERROR(INDEX(Recipes!$B:$B,MATCH(A2129,Recipes!$A:$A,0)),"⚠ unknown recipe_id"))</f>
        <v/>
      </c>
      <c r="E2129" s="12" t="str">
        <f aca="false">IF(C2129="","",IFERROR(INDEX('Ingredient Catalog'!$C:$C,MATCH(C2129,'Ingredient Catalog'!$A:$A,0)),"⚠ not in catalog"))</f>
        <v/>
      </c>
      <c r="G2129" s="12" t="str">
        <f aca="false">IF(A2129="","",COUNTIFS('Weekly Log'!$A:$A,'Grocery List'!$B$3,'Weekly Log'!$C:$C,A2129,'Weekly Log'!$E:$E,"Yes"))</f>
        <v/>
      </c>
      <c r="H2129" s="12" t="str">
        <f aca="false">IF(OR(A2129="",D2129=""),"",D2129*G2129)</f>
        <v/>
      </c>
    </row>
    <row r="2130" customFormat="false" ht="15" hidden="false" customHeight="false" outlineLevel="0" collapsed="false">
      <c r="B2130" s="12" t="str">
        <f aca="false">IF(A2130="","",IFERROR(INDEX(Recipes!$B:$B,MATCH(A2130,Recipes!$A:$A,0)),"⚠ unknown recipe_id"))</f>
        <v/>
      </c>
      <c r="E2130" s="12" t="str">
        <f aca="false">IF(C2130="","",IFERROR(INDEX('Ingredient Catalog'!$C:$C,MATCH(C2130,'Ingredient Catalog'!$A:$A,0)),"⚠ not in catalog"))</f>
        <v/>
      </c>
      <c r="G2130" s="12" t="str">
        <f aca="false">IF(A2130="","",COUNTIFS('Weekly Log'!$A:$A,'Grocery List'!$B$3,'Weekly Log'!$C:$C,A2130,'Weekly Log'!$E:$E,"Yes"))</f>
        <v/>
      </c>
      <c r="H2130" s="12" t="str">
        <f aca="false">IF(OR(A2130="",D2130=""),"",D2130*G2130)</f>
        <v/>
      </c>
    </row>
    <row r="2131" customFormat="false" ht="15" hidden="false" customHeight="false" outlineLevel="0" collapsed="false">
      <c r="B2131" s="12" t="str">
        <f aca="false">IF(A2131="","",IFERROR(INDEX(Recipes!$B:$B,MATCH(A2131,Recipes!$A:$A,0)),"⚠ unknown recipe_id"))</f>
        <v/>
      </c>
      <c r="E2131" s="12" t="str">
        <f aca="false">IF(C2131="","",IFERROR(INDEX('Ingredient Catalog'!$C:$C,MATCH(C2131,'Ingredient Catalog'!$A:$A,0)),"⚠ not in catalog"))</f>
        <v/>
      </c>
      <c r="G2131" s="12" t="str">
        <f aca="false">IF(A2131="","",COUNTIFS('Weekly Log'!$A:$A,'Grocery List'!$B$3,'Weekly Log'!$C:$C,A2131,'Weekly Log'!$E:$E,"Yes"))</f>
        <v/>
      </c>
      <c r="H2131" s="12" t="str">
        <f aca="false">IF(OR(A2131="",D2131=""),"",D2131*G2131)</f>
        <v/>
      </c>
    </row>
    <row r="2132" customFormat="false" ht="15" hidden="false" customHeight="false" outlineLevel="0" collapsed="false">
      <c r="B2132" s="12" t="str">
        <f aca="false">IF(A2132="","",IFERROR(INDEX(Recipes!$B:$B,MATCH(A2132,Recipes!$A:$A,0)),"⚠ unknown recipe_id"))</f>
        <v/>
      </c>
      <c r="E2132" s="12" t="str">
        <f aca="false">IF(C2132="","",IFERROR(INDEX('Ingredient Catalog'!$C:$C,MATCH(C2132,'Ingredient Catalog'!$A:$A,0)),"⚠ not in catalog"))</f>
        <v/>
      </c>
      <c r="G2132" s="12" t="str">
        <f aca="false">IF(A2132="","",COUNTIFS('Weekly Log'!$A:$A,'Grocery List'!$B$3,'Weekly Log'!$C:$C,A2132,'Weekly Log'!$E:$E,"Yes"))</f>
        <v/>
      </c>
      <c r="H2132" s="12" t="str">
        <f aca="false">IF(OR(A2132="",D2132=""),"",D2132*G2132)</f>
        <v/>
      </c>
    </row>
    <row r="2133" customFormat="false" ht="15" hidden="false" customHeight="false" outlineLevel="0" collapsed="false">
      <c r="B2133" s="12" t="str">
        <f aca="false">IF(A2133="","",IFERROR(INDEX(Recipes!$B:$B,MATCH(A2133,Recipes!$A:$A,0)),"⚠ unknown recipe_id"))</f>
        <v/>
      </c>
      <c r="E2133" s="12" t="str">
        <f aca="false">IF(C2133="","",IFERROR(INDEX('Ingredient Catalog'!$C:$C,MATCH(C2133,'Ingredient Catalog'!$A:$A,0)),"⚠ not in catalog"))</f>
        <v/>
      </c>
      <c r="G2133" s="12" t="str">
        <f aca="false">IF(A2133="","",COUNTIFS('Weekly Log'!$A:$A,'Grocery List'!$B$3,'Weekly Log'!$C:$C,A2133,'Weekly Log'!$E:$E,"Yes"))</f>
        <v/>
      </c>
      <c r="H2133" s="12" t="str">
        <f aca="false">IF(OR(A2133="",D2133=""),"",D2133*G2133)</f>
        <v/>
      </c>
    </row>
    <row r="2134" customFormat="false" ht="15" hidden="false" customHeight="false" outlineLevel="0" collapsed="false">
      <c r="B2134" s="12" t="str">
        <f aca="false">IF(A2134="","",IFERROR(INDEX(Recipes!$B:$B,MATCH(A2134,Recipes!$A:$A,0)),"⚠ unknown recipe_id"))</f>
        <v/>
      </c>
      <c r="E2134" s="12" t="str">
        <f aca="false">IF(C2134="","",IFERROR(INDEX('Ingredient Catalog'!$C:$C,MATCH(C2134,'Ingredient Catalog'!$A:$A,0)),"⚠ not in catalog"))</f>
        <v/>
      </c>
      <c r="G2134" s="12" t="str">
        <f aca="false">IF(A2134="","",COUNTIFS('Weekly Log'!$A:$A,'Grocery List'!$B$3,'Weekly Log'!$C:$C,A2134,'Weekly Log'!$E:$E,"Yes"))</f>
        <v/>
      </c>
      <c r="H2134" s="12" t="str">
        <f aca="false">IF(OR(A2134="",D2134=""),"",D2134*G2134)</f>
        <v/>
      </c>
    </row>
    <row r="2135" customFormat="false" ht="15" hidden="false" customHeight="false" outlineLevel="0" collapsed="false">
      <c r="B2135" s="12" t="str">
        <f aca="false">IF(A2135="","",IFERROR(INDEX(Recipes!$B:$B,MATCH(A2135,Recipes!$A:$A,0)),"⚠ unknown recipe_id"))</f>
        <v/>
      </c>
      <c r="E2135" s="12" t="str">
        <f aca="false">IF(C2135="","",IFERROR(INDEX('Ingredient Catalog'!$C:$C,MATCH(C2135,'Ingredient Catalog'!$A:$A,0)),"⚠ not in catalog"))</f>
        <v/>
      </c>
      <c r="G2135" s="12" t="str">
        <f aca="false">IF(A2135="","",COUNTIFS('Weekly Log'!$A:$A,'Grocery List'!$B$3,'Weekly Log'!$C:$C,A2135,'Weekly Log'!$E:$E,"Yes"))</f>
        <v/>
      </c>
      <c r="H2135" s="12" t="str">
        <f aca="false">IF(OR(A2135="",D2135=""),"",D2135*G2135)</f>
        <v/>
      </c>
    </row>
    <row r="2136" customFormat="false" ht="15" hidden="false" customHeight="false" outlineLevel="0" collapsed="false">
      <c r="B2136" s="12" t="str">
        <f aca="false">IF(A2136="","",IFERROR(INDEX(Recipes!$B:$B,MATCH(A2136,Recipes!$A:$A,0)),"⚠ unknown recipe_id"))</f>
        <v/>
      </c>
      <c r="E2136" s="12" t="str">
        <f aca="false">IF(C2136="","",IFERROR(INDEX('Ingredient Catalog'!$C:$C,MATCH(C2136,'Ingredient Catalog'!$A:$A,0)),"⚠ not in catalog"))</f>
        <v/>
      </c>
      <c r="G2136" s="12" t="str">
        <f aca="false">IF(A2136="","",COUNTIFS('Weekly Log'!$A:$A,'Grocery List'!$B$3,'Weekly Log'!$C:$C,A2136,'Weekly Log'!$E:$E,"Yes"))</f>
        <v/>
      </c>
      <c r="H2136" s="12" t="str">
        <f aca="false">IF(OR(A2136="",D2136=""),"",D2136*G2136)</f>
        <v/>
      </c>
    </row>
    <row r="2137" customFormat="false" ht="15" hidden="false" customHeight="false" outlineLevel="0" collapsed="false">
      <c r="B2137" s="12" t="str">
        <f aca="false">IF(A2137="","",IFERROR(INDEX(Recipes!$B:$B,MATCH(A2137,Recipes!$A:$A,0)),"⚠ unknown recipe_id"))</f>
        <v/>
      </c>
      <c r="E2137" s="12" t="str">
        <f aca="false">IF(C2137="","",IFERROR(INDEX('Ingredient Catalog'!$C:$C,MATCH(C2137,'Ingredient Catalog'!$A:$A,0)),"⚠ not in catalog"))</f>
        <v/>
      </c>
      <c r="G2137" s="12" t="str">
        <f aca="false">IF(A2137="","",COUNTIFS('Weekly Log'!$A:$A,'Grocery List'!$B$3,'Weekly Log'!$C:$C,A2137,'Weekly Log'!$E:$E,"Yes"))</f>
        <v/>
      </c>
      <c r="H2137" s="12" t="str">
        <f aca="false">IF(OR(A2137="",D2137=""),"",D2137*G2137)</f>
        <v/>
      </c>
    </row>
    <row r="2138" customFormat="false" ht="15" hidden="false" customHeight="false" outlineLevel="0" collapsed="false">
      <c r="B2138" s="12" t="str">
        <f aca="false">IF(A2138="","",IFERROR(INDEX(Recipes!$B:$B,MATCH(A2138,Recipes!$A:$A,0)),"⚠ unknown recipe_id"))</f>
        <v/>
      </c>
      <c r="E2138" s="12" t="str">
        <f aca="false">IF(C2138="","",IFERROR(INDEX('Ingredient Catalog'!$C:$C,MATCH(C2138,'Ingredient Catalog'!$A:$A,0)),"⚠ not in catalog"))</f>
        <v/>
      </c>
      <c r="G2138" s="12" t="str">
        <f aca="false">IF(A2138="","",COUNTIFS('Weekly Log'!$A:$A,'Grocery List'!$B$3,'Weekly Log'!$C:$C,A2138,'Weekly Log'!$E:$E,"Yes"))</f>
        <v/>
      </c>
      <c r="H2138" s="12" t="str">
        <f aca="false">IF(OR(A2138="",D2138=""),"",D2138*G2138)</f>
        <v/>
      </c>
    </row>
    <row r="2139" customFormat="false" ht="15" hidden="false" customHeight="false" outlineLevel="0" collapsed="false">
      <c r="B2139" s="12" t="str">
        <f aca="false">IF(A2139="","",IFERROR(INDEX(Recipes!$B:$B,MATCH(A2139,Recipes!$A:$A,0)),"⚠ unknown recipe_id"))</f>
        <v/>
      </c>
      <c r="E2139" s="12" t="str">
        <f aca="false">IF(C2139="","",IFERROR(INDEX('Ingredient Catalog'!$C:$C,MATCH(C2139,'Ingredient Catalog'!$A:$A,0)),"⚠ not in catalog"))</f>
        <v/>
      </c>
      <c r="G2139" s="12" t="str">
        <f aca="false">IF(A2139="","",COUNTIFS('Weekly Log'!$A:$A,'Grocery List'!$B$3,'Weekly Log'!$C:$C,A2139,'Weekly Log'!$E:$E,"Yes"))</f>
        <v/>
      </c>
      <c r="H2139" s="12" t="str">
        <f aca="false">IF(OR(A2139="",D2139=""),"",D2139*G2139)</f>
        <v/>
      </c>
    </row>
    <row r="2140" customFormat="false" ht="15" hidden="false" customHeight="false" outlineLevel="0" collapsed="false">
      <c r="B2140" s="12" t="str">
        <f aca="false">IF(A2140="","",IFERROR(INDEX(Recipes!$B:$B,MATCH(A2140,Recipes!$A:$A,0)),"⚠ unknown recipe_id"))</f>
        <v/>
      </c>
      <c r="E2140" s="12" t="str">
        <f aca="false">IF(C2140="","",IFERROR(INDEX('Ingredient Catalog'!$C:$C,MATCH(C2140,'Ingredient Catalog'!$A:$A,0)),"⚠ not in catalog"))</f>
        <v/>
      </c>
      <c r="G2140" s="12" t="str">
        <f aca="false">IF(A2140="","",COUNTIFS('Weekly Log'!$A:$A,'Grocery List'!$B$3,'Weekly Log'!$C:$C,A2140,'Weekly Log'!$E:$E,"Yes"))</f>
        <v/>
      </c>
      <c r="H2140" s="12" t="str">
        <f aca="false">IF(OR(A2140="",D2140=""),"",D2140*G2140)</f>
        <v/>
      </c>
    </row>
    <row r="2141" customFormat="false" ht="15" hidden="false" customHeight="false" outlineLevel="0" collapsed="false">
      <c r="B2141" s="12" t="str">
        <f aca="false">IF(A2141="","",IFERROR(INDEX(Recipes!$B:$B,MATCH(A2141,Recipes!$A:$A,0)),"⚠ unknown recipe_id"))</f>
        <v/>
      </c>
      <c r="E2141" s="12" t="str">
        <f aca="false">IF(C2141="","",IFERROR(INDEX('Ingredient Catalog'!$C:$C,MATCH(C2141,'Ingredient Catalog'!$A:$A,0)),"⚠ not in catalog"))</f>
        <v/>
      </c>
      <c r="G2141" s="12" t="str">
        <f aca="false">IF(A2141="","",COUNTIFS('Weekly Log'!$A:$A,'Grocery List'!$B$3,'Weekly Log'!$C:$C,A2141,'Weekly Log'!$E:$E,"Yes"))</f>
        <v/>
      </c>
      <c r="H2141" s="12" t="str">
        <f aca="false">IF(OR(A2141="",D2141=""),"",D2141*G2141)</f>
        <v/>
      </c>
    </row>
    <row r="2142" customFormat="false" ht="15" hidden="false" customHeight="false" outlineLevel="0" collapsed="false">
      <c r="B2142" s="12" t="str">
        <f aca="false">IF(A2142="","",IFERROR(INDEX(Recipes!$B:$B,MATCH(A2142,Recipes!$A:$A,0)),"⚠ unknown recipe_id"))</f>
        <v/>
      </c>
      <c r="E2142" s="12" t="str">
        <f aca="false">IF(C2142="","",IFERROR(INDEX('Ingredient Catalog'!$C:$C,MATCH(C2142,'Ingredient Catalog'!$A:$A,0)),"⚠ not in catalog"))</f>
        <v/>
      </c>
      <c r="G2142" s="12" t="str">
        <f aca="false">IF(A2142="","",COUNTIFS('Weekly Log'!$A:$A,'Grocery List'!$B$3,'Weekly Log'!$C:$C,A2142,'Weekly Log'!$E:$E,"Yes"))</f>
        <v/>
      </c>
      <c r="H2142" s="12" t="str">
        <f aca="false">IF(OR(A2142="",D2142=""),"",D2142*G2142)</f>
        <v/>
      </c>
    </row>
    <row r="2143" customFormat="false" ht="15" hidden="false" customHeight="false" outlineLevel="0" collapsed="false">
      <c r="B2143" s="12" t="str">
        <f aca="false">IF(A2143="","",IFERROR(INDEX(Recipes!$B:$B,MATCH(A2143,Recipes!$A:$A,0)),"⚠ unknown recipe_id"))</f>
        <v/>
      </c>
      <c r="E2143" s="12" t="str">
        <f aca="false">IF(C2143="","",IFERROR(INDEX('Ingredient Catalog'!$C:$C,MATCH(C2143,'Ingredient Catalog'!$A:$A,0)),"⚠ not in catalog"))</f>
        <v/>
      </c>
      <c r="G2143" s="12" t="str">
        <f aca="false">IF(A2143="","",COUNTIFS('Weekly Log'!$A:$A,'Grocery List'!$B$3,'Weekly Log'!$C:$C,A2143,'Weekly Log'!$E:$E,"Yes"))</f>
        <v/>
      </c>
      <c r="H2143" s="12" t="str">
        <f aca="false">IF(OR(A2143="",D2143=""),"",D2143*G2143)</f>
        <v/>
      </c>
    </row>
    <row r="2144" customFormat="false" ht="15" hidden="false" customHeight="false" outlineLevel="0" collapsed="false">
      <c r="B2144" s="12" t="str">
        <f aca="false">IF(A2144="","",IFERROR(INDEX(Recipes!$B:$B,MATCH(A2144,Recipes!$A:$A,0)),"⚠ unknown recipe_id"))</f>
        <v/>
      </c>
      <c r="E2144" s="12" t="str">
        <f aca="false">IF(C2144="","",IFERROR(INDEX('Ingredient Catalog'!$C:$C,MATCH(C2144,'Ingredient Catalog'!$A:$A,0)),"⚠ not in catalog"))</f>
        <v/>
      </c>
      <c r="G2144" s="12" t="str">
        <f aca="false">IF(A2144="","",COUNTIFS('Weekly Log'!$A:$A,'Grocery List'!$B$3,'Weekly Log'!$C:$C,A2144,'Weekly Log'!$E:$E,"Yes"))</f>
        <v/>
      </c>
      <c r="H2144" s="12" t="str">
        <f aca="false">IF(OR(A2144="",D2144=""),"",D2144*G2144)</f>
        <v/>
      </c>
    </row>
    <row r="2145" customFormat="false" ht="15" hidden="false" customHeight="false" outlineLevel="0" collapsed="false">
      <c r="B2145" s="12" t="str">
        <f aca="false">IF(A2145="","",IFERROR(INDEX(Recipes!$B:$B,MATCH(A2145,Recipes!$A:$A,0)),"⚠ unknown recipe_id"))</f>
        <v/>
      </c>
      <c r="E2145" s="12" t="str">
        <f aca="false">IF(C2145="","",IFERROR(INDEX('Ingredient Catalog'!$C:$C,MATCH(C2145,'Ingredient Catalog'!$A:$A,0)),"⚠ not in catalog"))</f>
        <v/>
      </c>
      <c r="G2145" s="12" t="str">
        <f aca="false">IF(A2145="","",COUNTIFS('Weekly Log'!$A:$A,'Grocery List'!$B$3,'Weekly Log'!$C:$C,A2145,'Weekly Log'!$E:$E,"Yes"))</f>
        <v/>
      </c>
      <c r="H2145" s="12" t="str">
        <f aca="false">IF(OR(A2145="",D2145=""),"",D2145*G2145)</f>
        <v/>
      </c>
    </row>
    <row r="2146" customFormat="false" ht="15" hidden="false" customHeight="false" outlineLevel="0" collapsed="false">
      <c r="B2146" s="12" t="str">
        <f aca="false">IF(A2146="","",IFERROR(INDEX(Recipes!$B:$B,MATCH(A2146,Recipes!$A:$A,0)),"⚠ unknown recipe_id"))</f>
        <v/>
      </c>
      <c r="E2146" s="12" t="str">
        <f aca="false">IF(C2146="","",IFERROR(INDEX('Ingredient Catalog'!$C:$C,MATCH(C2146,'Ingredient Catalog'!$A:$A,0)),"⚠ not in catalog"))</f>
        <v/>
      </c>
      <c r="G2146" s="12" t="str">
        <f aca="false">IF(A2146="","",COUNTIFS('Weekly Log'!$A:$A,'Grocery List'!$B$3,'Weekly Log'!$C:$C,A2146,'Weekly Log'!$E:$E,"Yes"))</f>
        <v/>
      </c>
      <c r="H2146" s="12" t="str">
        <f aca="false">IF(OR(A2146="",D2146=""),"",D2146*G2146)</f>
        <v/>
      </c>
    </row>
    <row r="2147" customFormat="false" ht="15" hidden="false" customHeight="false" outlineLevel="0" collapsed="false">
      <c r="B2147" s="12" t="str">
        <f aca="false">IF(A2147="","",IFERROR(INDEX(Recipes!$B:$B,MATCH(A2147,Recipes!$A:$A,0)),"⚠ unknown recipe_id"))</f>
        <v/>
      </c>
      <c r="E2147" s="12" t="str">
        <f aca="false">IF(C2147="","",IFERROR(INDEX('Ingredient Catalog'!$C:$C,MATCH(C2147,'Ingredient Catalog'!$A:$A,0)),"⚠ not in catalog"))</f>
        <v/>
      </c>
      <c r="G2147" s="12" t="str">
        <f aca="false">IF(A2147="","",COUNTIFS('Weekly Log'!$A:$A,'Grocery List'!$B$3,'Weekly Log'!$C:$C,A2147,'Weekly Log'!$E:$E,"Yes"))</f>
        <v/>
      </c>
      <c r="H2147" s="12" t="str">
        <f aca="false">IF(OR(A2147="",D2147=""),"",D2147*G2147)</f>
        <v/>
      </c>
    </row>
    <row r="2148" customFormat="false" ht="15" hidden="false" customHeight="false" outlineLevel="0" collapsed="false">
      <c r="B2148" s="12" t="str">
        <f aca="false">IF(A2148="","",IFERROR(INDEX(Recipes!$B:$B,MATCH(A2148,Recipes!$A:$A,0)),"⚠ unknown recipe_id"))</f>
        <v/>
      </c>
      <c r="E2148" s="12" t="str">
        <f aca="false">IF(C2148="","",IFERROR(INDEX('Ingredient Catalog'!$C:$C,MATCH(C2148,'Ingredient Catalog'!$A:$A,0)),"⚠ not in catalog"))</f>
        <v/>
      </c>
      <c r="G2148" s="12" t="str">
        <f aca="false">IF(A2148="","",COUNTIFS('Weekly Log'!$A:$A,'Grocery List'!$B$3,'Weekly Log'!$C:$C,A2148,'Weekly Log'!$E:$E,"Yes"))</f>
        <v/>
      </c>
      <c r="H2148" s="12" t="str">
        <f aca="false">IF(OR(A2148="",D2148=""),"",D2148*G2148)</f>
        <v/>
      </c>
    </row>
    <row r="2149" customFormat="false" ht="15" hidden="false" customHeight="false" outlineLevel="0" collapsed="false">
      <c r="B2149" s="12" t="str">
        <f aca="false">IF(A2149="","",IFERROR(INDEX(Recipes!$B:$B,MATCH(A2149,Recipes!$A:$A,0)),"⚠ unknown recipe_id"))</f>
        <v/>
      </c>
      <c r="E2149" s="12" t="str">
        <f aca="false">IF(C2149="","",IFERROR(INDEX('Ingredient Catalog'!$C:$C,MATCH(C2149,'Ingredient Catalog'!$A:$A,0)),"⚠ not in catalog"))</f>
        <v/>
      </c>
      <c r="G2149" s="12" t="str">
        <f aca="false">IF(A2149="","",COUNTIFS('Weekly Log'!$A:$A,'Grocery List'!$B$3,'Weekly Log'!$C:$C,A2149,'Weekly Log'!$E:$E,"Yes"))</f>
        <v/>
      </c>
      <c r="H2149" s="12" t="str">
        <f aca="false">IF(OR(A2149="",D2149=""),"",D2149*G2149)</f>
        <v/>
      </c>
    </row>
    <row r="2150" customFormat="false" ht="15" hidden="false" customHeight="false" outlineLevel="0" collapsed="false">
      <c r="B2150" s="12" t="str">
        <f aca="false">IF(A2150="","",IFERROR(INDEX(Recipes!$B:$B,MATCH(A2150,Recipes!$A:$A,0)),"⚠ unknown recipe_id"))</f>
        <v/>
      </c>
      <c r="E2150" s="12" t="str">
        <f aca="false">IF(C2150="","",IFERROR(INDEX('Ingredient Catalog'!$C:$C,MATCH(C2150,'Ingredient Catalog'!$A:$A,0)),"⚠ not in catalog"))</f>
        <v/>
      </c>
      <c r="G2150" s="12" t="str">
        <f aca="false">IF(A2150="","",COUNTIFS('Weekly Log'!$A:$A,'Grocery List'!$B$3,'Weekly Log'!$C:$C,A2150,'Weekly Log'!$E:$E,"Yes"))</f>
        <v/>
      </c>
      <c r="H2150" s="12" t="str">
        <f aca="false">IF(OR(A2150="",D2150=""),"",D2150*G2150)</f>
        <v/>
      </c>
    </row>
    <row r="2151" customFormat="false" ht="15" hidden="false" customHeight="false" outlineLevel="0" collapsed="false">
      <c r="B2151" s="12" t="str">
        <f aca="false">IF(A2151="","",IFERROR(INDEX(Recipes!$B:$B,MATCH(A2151,Recipes!$A:$A,0)),"⚠ unknown recipe_id"))</f>
        <v/>
      </c>
      <c r="E2151" s="12" t="str">
        <f aca="false">IF(C2151="","",IFERROR(INDEX('Ingredient Catalog'!$C:$C,MATCH(C2151,'Ingredient Catalog'!$A:$A,0)),"⚠ not in catalog"))</f>
        <v/>
      </c>
      <c r="G2151" s="12" t="str">
        <f aca="false">IF(A2151="","",COUNTIFS('Weekly Log'!$A:$A,'Grocery List'!$B$3,'Weekly Log'!$C:$C,A2151,'Weekly Log'!$E:$E,"Yes"))</f>
        <v/>
      </c>
      <c r="H2151" s="12" t="str">
        <f aca="false">IF(OR(A2151="",D2151=""),"",D2151*G2151)</f>
        <v/>
      </c>
    </row>
    <row r="2152" customFormat="false" ht="15" hidden="false" customHeight="false" outlineLevel="0" collapsed="false">
      <c r="B2152" s="12" t="str">
        <f aca="false">IF(A2152="","",IFERROR(INDEX(Recipes!$B:$B,MATCH(A2152,Recipes!$A:$A,0)),"⚠ unknown recipe_id"))</f>
        <v/>
      </c>
      <c r="E2152" s="12" t="str">
        <f aca="false">IF(C2152="","",IFERROR(INDEX('Ingredient Catalog'!$C:$C,MATCH(C2152,'Ingredient Catalog'!$A:$A,0)),"⚠ not in catalog"))</f>
        <v/>
      </c>
      <c r="G2152" s="12" t="str">
        <f aca="false">IF(A2152="","",COUNTIFS('Weekly Log'!$A:$A,'Grocery List'!$B$3,'Weekly Log'!$C:$C,A2152,'Weekly Log'!$E:$E,"Yes"))</f>
        <v/>
      </c>
      <c r="H2152" s="12" t="str">
        <f aca="false">IF(OR(A2152="",D2152=""),"",D2152*G2152)</f>
        <v/>
      </c>
    </row>
    <row r="2153" customFormat="false" ht="15" hidden="false" customHeight="false" outlineLevel="0" collapsed="false">
      <c r="B2153" s="12" t="str">
        <f aca="false">IF(A2153="","",IFERROR(INDEX(Recipes!$B:$B,MATCH(A2153,Recipes!$A:$A,0)),"⚠ unknown recipe_id"))</f>
        <v/>
      </c>
      <c r="E2153" s="12" t="str">
        <f aca="false">IF(C2153="","",IFERROR(INDEX('Ingredient Catalog'!$C:$C,MATCH(C2153,'Ingredient Catalog'!$A:$A,0)),"⚠ not in catalog"))</f>
        <v/>
      </c>
      <c r="G2153" s="12" t="str">
        <f aca="false">IF(A2153="","",COUNTIFS('Weekly Log'!$A:$A,'Grocery List'!$B$3,'Weekly Log'!$C:$C,A2153,'Weekly Log'!$E:$E,"Yes"))</f>
        <v/>
      </c>
      <c r="H2153" s="12" t="str">
        <f aca="false">IF(OR(A2153="",D2153=""),"",D2153*G2153)</f>
        <v/>
      </c>
    </row>
    <row r="2154" customFormat="false" ht="15" hidden="false" customHeight="false" outlineLevel="0" collapsed="false">
      <c r="B2154" s="12" t="str">
        <f aca="false">IF(A2154="","",IFERROR(INDEX(Recipes!$B:$B,MATCH(A2154,Recipes!$A:$A,0)),"⚠ unknown recipe_id"))</f>
        <v/>
      </c>
      <c r="E2154" s="12" t="str">
        <f aca="false">IF(C2154="","",IFERROR(INDEX('Ingredient Catalog'!$C:$C,MATCH(C2154,'Ingredient Catalog'!$A:$A,0)),"⚠ not in catalog"))</f>
        <v/>
      </c>
      <c r="G2154" s="12" t="str">
        <f aca="false">IF(A2154="","",COUNTIFS('Weekly Log'!$A:$A,'Grocery List'!$B$3,'Weekly Log'!$C:$C,A2154,'Weekly Log'!$E:$E,"Yes"))</f>
        <v/>
      </c>
      <c r="H2154" s="12" t="str">
        <f aca="false">IF(OR(A2154="",D2154=""),"",D2154*G2154)</f>
        <v/>
      </c>
    </row>
    <row r="2155" customFormat="false" ht="15" hidden="false" customHeight="false" outlineLevel="0" collapsed="false">
      <c r="B2155" s="12" t="str">
        <f aca="false">IF(A2155="","",IFERROR(INDEX(Recipes!$B:$B,MATCH(A2155,Recipes!$A:$A,0)),"⚠ unknown recipe_id"))</f>
        <v/>
      </c>
      <c r="E2155" s="12" t="str">
        <f aca="false">IF(C2155="","",IFERROR(INDEX('Ingredient Catalog'!$C:$C,MATCH(C2155,'Ingredient Catalog'!$A:$A,0)),"⚠ not in catalog"))</f>
        <v/>
      </c>
      <c r="G2155" s="12" t="str">
        <f aca="false">IF(A2155="","",COUNTIFS('Weekly Log'!$A:$A,'Grocery List'!$B$3,'Weekly Log'!$C:$C,A2155,'Weekly Log'!$E:$E,"Yes"))</f>
        <v/>
      </c>
      <c r="H2155" s="12" t="str">
        <f aca="false">IF(OR(A2155="",D2155=""),"",D2155*G2155)</f>
        <v/>
      </c>
    </row>
    <row r="2156" customFormat="false" ht="15" hidden="false" customHeight="false" outlineLevel="0" collapsed="false">
      <c r="B2156" s="12" t="str">
        <f aca="false">IF(A2156="","",IFERROR(INDEX(Recipes!$B:$B,MATCH(A2156,Recipes!$A:$A,0)),"⚠ unknown recipe_id"))</f>
        <v/>
      </c>
      <c r="E2156" s="12" t="str">
        <f aca="false">IF(C2156="","",IFERROR(INDEX('Ingredient Catalog'!$C:$C,MATCH(C2156,'Ingredient Catalog'!$A:$A,0)),"⚠ not in catalog"))</f>
        <v/>
      </c>
      <c r="G2156" s="12" t="str">
        <f aca="false">IF(A2156="","",COUNTIFS('Weekly Log'!$A:$A,'Grocery List'!$B$3,'Weekly Log'!$C:$C,A2156,'Weekly Log'!$E:$E,"Yes"))</f>
        <v/>
      </c>
      <c r="H2156" s="12" t="str">
        <f aca="false">IF(OR(A2156="",D2156=""),"",D2156*G2156)</f>
        <v/>
      </c>
    </row>
    <row r="2157" customFormat="false" ht="15" hidden="false" customHeight="false" outlineLevel="0" collapsed="false">
      <c r="B2157" s="12" t="str">
        <f aca="false">IF(A2157="","",IFERROR(INDEX(Recipes!$B:$B,MATCH(A2157,Recipes!$A:$A,0)),"⚠ unknown recipe_id"))</f>
        <v/>
      </c>
      <c r="E2157" s="12" t="str">
        <f aca="false">IF(C2157="","",IFERROR(INDEX('Ingredient Catalog'!$C:$C,MATCH(C2157,'Ingredient Catalog'!$A:$A,0)),"⚠ not in catalog"))</f>
        <v/>
      </c>
      <c r="G2157" s="12" t="str">
        <f aca="false">IF(A2157="","",COUNTIFS('Weekly Log'!$A:$A,'Grocery List'!$B$3,'Weekly Log'!$C:$C,A2157,'Weekly Log'!$E:$E,"Yes"))</f>
        <v/>
      </c>
      <c r="H2157" s="12" t="str">
        <f aca="false">IF(OR(A2157="",D2157=""),"",D2157*G2157)</f>
        <v/>
      </c>
    </row>
    <row r="2158" customFormat="false" ht="15" hidden="false" customHeight="false" outlineLevel="0" collapsed="false">
      <c r="B2158" s="12" t="str">
        <f aca="false">IF(A2158="","",IFERROR(INDEX(Recipes!$B:$B,MATCH(A2158,Recipes!$A:$A,0)),"⚠ unknown recipe_id"))</f>
        <v/>
      </c>
      <c r="E2158" s="12" t="str">
        <f aca="false">IF(C2158="","",IFERROR(INDEX('Ingredient Catalog'!$C:$C,MATCH(C2158,'Ingredient Catalog'!$A:$A,0)),"⚠ not in catalog"))</f>
        <v/>
      </c>
      <c r="G2158" s="12" t="str">
        <f aca="false">IF(A2158="","",COUNTIFS('Weekly Log'!$A:$A,'Grocery List'!$B$3,'Weekly Log'!$C:$C,A2158,'Weekly Log'!$E:$E,"Yes"))</f>
        <v/>
      </c>
      <c r="H2158" s="12" t="str">
        <f aca="false">IF(OR(A2158="",D2158=""),"",D2158*G2158)</f>
        <v/>
      </c>
    </row>
    <row r="2159" customFormat="false" ht="15" hidden="false" customHeight="false" outlineLevel="0" collapsed="false">
      <c r="B2159" s="12" t="str">
        <f aca="false">IF(A2159="","",IFERROR(INDEX(Recipes!$B:$B,MATCH(A2159,Recipes!$A:$A,0)),"⚠ unknown recipe_id"))</f>
        <v/>
      </c>
      <c r="E2159" s="12" t="str">
        <f aca="false">IF(C2159="","",IFERROR(INDEX('Ingredient Catalog'!$C:$C,MATCH(C2159,'Ingredient Catalog'!$A:$A,0)),"⚠ not in catalog"))</f>
        <v/>
      </c>
      <c r="G2159" s="12" t="str">
        <f aca="false">IF(A2159="","",COUNTIFS('Weekly Log'!$A:$A,'Grocery List'!$B$3,'Weekly Log'!$C:$C,A2159,'Weekly Log'!$E:$E,"Yes"))</f>
        <v/>
      </c>
      <c r="H2159" s="12" t="str">
        <f aca="false">IF(OR(A2159="",D2159=""),"",D2159*G2159)</f>
        <v/>
      </c>
    </row>
    <row r="2160" customFormat="false" ht="15" hidden="false" customHeight="false" outlineLevel="0" collapsed="false">
      <c r="B2160" s="12" t="str">
        <f aca="false">IF(A2160="","",IFERROR(INDEX(Recipes!$B:$B,MATCH(A2160,Recipes!$A:$A,0)),"⚠ unknown recipe_id"))</f>
        <v/>
      </c>
      <c r="E2160" s="12" t="str">
        <f aca="false">IF(C2160="","",IFERROR(INDEX('Ingredient Catalog'!$C:$C,MATCH(C2160,'Ingredient Catalog'!$A:$A,0)),"⚠ not in catalog"))</f>
        <v/>
      </c>
      <c r="G2160" s="12" t="str">
        <f aca="false">IF(A2160="","",COUNTIFS('Weekly Log'!$A:$A,'Grocery List'!$B$3,'Weekly Log'!$C:$C,A2160,'Weekly Log'!$E:$E,"Yes"))</f>
        <v/>
      </c>
      <c r="H2160" s="12" t="str">
        <f aca="false">IF(OR(A2160="",D2160=""),"",D2160*G2160)</f>
        <v/>
      </c>
    </row>
    <row r="2161" customFormat="false" ht="15" hidden="false" customHeight="false" outlineLevel="0" collapsed="false">
      <c r="B2161" s="12" t="str">
        <f aca="false">IF(A2161="","",IFERROR(INDEX(Recipes!$B:$B,MATCH(A2161,Recipes!$A:$A,0)),"⚠ unknown recipe_id"))</f>
        <v/>
      </c>
      <c r="E2161" s="12" t="str">
        <f aca="false">IF(C2161="","",IFERROR(INDEX('Ingredient Catalog'!$C:$C,MATCH(C2161,'Ingredient Catalog'!$A:$A,0)),"⚠ not in catalog"))</f>
        <v/>
      </c>
      <c r="G2161" s="12" t="str">
        <f aca="false">IF(A2161="","",COUNTIFS('Weekly Log'!$A:$A,'Grocery List'!$B$3,'Weekly Log'!$C:$C,A2161,'Weekly Log'!$E:$E,"Yes"))</f>
        <v/>
      </c>
      <c r="H2161" s="12" t="str">
        <f aca="false">IF(OR(A2161="",D2161=""),"",D2161*G2161)</f>
        <v/>
      </c>
    </row>
    <row r="2162" customFormat="false" ht="15" hidden="false" customHeight="false" outlineLevel="0" collapsed="false">
      <c r="B2162" s="12" t="str">
        <f aca="false">IF(A2162="","",IFERROR(INDEX(Recipes!$B:$B,MATCH(A2162,Recipes!$A:$A,0)),"⚠ unknown recipe_id"))</f>
        <v/>
      </c>
      <c r="E2162" s="12" t="str">
        <f aca="false">IF(C2162="","",IFERROR(INDEX('Ingredient Catalog'!$C:$C,MATCH(C2162,'Ingredient Catalog'!$A:$A,0)),"⚠ not in catalog"))</f>
        <v/>
      </c>
      <c r="G2162" s="12" t="str">
        <f aca="false">IF(A2162="","",COUNTIFS('Weekly Log'!$A:$A,'Grocery List'!$B$3,'Weekly Log'!$C:$C,A2162,'Weekly Log'!$E:$E,"Yes"))</f>
        <v/>
      </c>
      <c r="H2162" s="12" t="str">
        <f aca="false">IF(OR(A2162="",D2162=""),"",D2162*G2162)</f>
        <v/>
      </c>
    </row>
    <row r="2163" customFormat="false" ht="15" hidden="false" customHeight="false" outlineLevel="0" collapsed="false">
      <c r="B2163" s="12" t="str">
        <f aca="false">IF(A2163="","",IFERROR(INDEX(Recipes!$B:$B,MATCH(A2163,Recipes!$A:$A,0)),"⚠ unknown recipe_id"))</f>
        <v/>
      </c>
      <c r="E2163" s="12" t="str">
        <f aca="false">IF(C2163="","",IFERROR(INDEX('Ingredient Catalog'!$C:$C,MATCH(C2163,'Ingredient Catalog'!$A:$A,0)),"⚠ not in catalog"))</f>
        <v/>
      </c>
      <c r="G2163" s="12" t="str">
        <f aca="false">IF(A2163="","",COUNTIFS('Weekly Log'!$A:$A,'Grocery List'!$B$3,'Weekly Log'!$C:$C,A2163,'Weekly Log'!$E:$E,"Yes"))</f>
        <v/>
      </c>
      <c r="H2163" s="12" t="str">
        <f aca="false">IF(OR(A2163="",D2163=""),"",D2163*G2163)</f>
        <v/>
      </c>
    </row>
    <row r="2164" customFormat="false" ht="15" hidden="false" customHeight="false" outlineLevel="0" collapsed="false">
      <c r="B2164" s="12" t="str">
        <f aca="false">IF(A2164="","",IFERROR(INDEX(Recipes!$B:$B,MATCH(A2164,Recipes!$A:$A,0)),"⚠ unknown recipe_id"))</f>
        <v/>
      </c>
      <c r="E2164" s="12" t="str">
        <f aca="false">IF(C2164="","",IFERROR(INDEX('Ingredient Catalog'!$C:$C,MATCH(C2164,'Ingredient Catalog'!$A:$A,0)),"⚠ not in catalog"))</f>
        <v/>
      </c>
      <c r="G2164" s="12" t="str">
        <f aca="false">IF(A2164="","",COUNTIFS('Weekly Log'!$A:$A,'Grocery List'!$B$3,'Weekly Log'!$C:$C,A2164,'Weekly Log'!$E:$E,"Yes"))</f>
        <v/>
      </c>
      <c r="H2164" s="12" t="str">
        <f aca="false">IF(OR(A2164="",D2164=""),"",D2164*G2164)</f>
        <v/>
      </c>
    </row>
    <row r="2165" customFormat="false" ht="15" hidden="false" customHeight="false" outlineLevel="0" collapsed="false">
      <c r="B2165" s="12" t="str">
        <f aca="false">IF(A2165="","",IFERROR(INDEX(Recipes!$B:$B,MATCH(A2165,Recipes!$A:$A,0)),"⚠ unknown recipe_id"))</f>
        <v/>
      </c>
      <c r="E2165" s="12" t="str">
        <f aca="false">IF(C2165="","",IFERROR(INDEX('Ingredient Catalog'!$C:$C,MATCH(C2165,'Ingredient Catalog'!$A:$A,0)),"⚠ not in catalog"))</f>
        <v/>
      </c>
      <c r="G2165" s="12" t="str">
        <f aca="false">IF(A2165="","",COUNTIFS('Weekly Log'!$A:$A,'Grocery List'!$B$3,'Weekly Log'!$C:$C,A2165,'Weekly Log'!$E:$E,"Yes"))</f>
        <v/>
      </c>
      <c r="H2165" s="12" t="str">
        <f aca="false">IF(OR(A2165="",D2165=""),"",D2165*G2165)</f>
        <v/>
      </c>
    </row>
    <row r="2166" customFormat="false" ht="15" hidden="false" customHeight="false" outlineLevel="0" collapsed="false">
      <c r="B2166" s="12" t="str">
        <f aca="false">IF(A2166="","",IFERROR(INDEX(Recipes!$B:$B,MATCH(A2166,Recipes!$A:$A,0)),"⚠ unknown recipe_id"))</f>
        <v/>
      </c>
      <c r="E2166" s="12" t="str">
        <f aca="false">IF(C2166="","",IFERROR(INDEX('Ingredient Catalog'!$C:$C,MATCH(C2166,'Ingredient Catalog'!$A:$A,0)),"⚠ not in catalog"))</f>
        <v/>
      </c>
      <c r="G2166" s="12" t="str">
        <f aca="false">IF(A2166="","",COUNTIFS('Weekly Log'!$A:$A,'Grocery List'!$B$3,'Weekly Log'!$C:$C,A2166,'Weekly Log'!$E:$E,"Yes"))</f>
        <v/>
      </c>
      <c r="H2166" s="12" t="str">
        <f aca="false">IF(OR(A2166="",D2166=""),"",D2166*G2166)</f>
        <v/>
      </c>
    </row>
    <row r="2167" customFormat="false" ht="15" hidden="false" customHeight="false" outlineLevel="0" collapsed="false">
      <c r="B2167" s="12" t="str">
        <f aca="false">IF(A2167="","",IFERROR(INDEX(Recipes!$B:$B,MATCH(A2167,Recipes!$A:$A,0)),"⚠ unknown recipe_id"))</f>
        <v/>
      </c>
      <c r="E2167" s="12" t="str">
        <f aca="false">IF(C2167="","",IFERROR(INDEX('Ingredient Catalog'!$C:$C,MATCH(C2167,'Ingredient Catalog'!$A:$A,0)),"⚠ not in catalog"))</f>
        <v/>
      </c>
      <c r="G2167" s="12" t="str">
        <f aca="false">IF(A2167="","",COUNTIFS('Weekly Log'!$A:$A,'Grocery List'!$B$3,'Weekly Log'!$C:$C,A2167,'Weekly Log'!$E:$E,"Yes"))</f>
        <v/>
      </c>
      <c r="H2167" s="12" t="str">
        <f aca="false">IF(OR(A2167="",D2167=""),"",D2167*G2167)</f>
        <v/>
      </c>
    </row>
    <row r="2168" customFormat="false" ht="15" hidden="false" customHeight="false" outlineLevel="0" collapsed="false">
      <c r="B2168" s="12" t="str">
        <f aca="false">IF(A2168="","",IFERROR(INDEX(Recipes!$B:$B,MATCH(A2168,Recipes!$A:$A,0)),"⚠ unknown recipe_id"))</f>
        <v/>
      </c>
      <c r="E2168" s="12" t="str">
        <f aca="false">IF(C2168="","",IFERROR(INDEX('Ingredient Catalog'!$C:$C,MATCH(C2168,'Ingredient Catalog'!$A:$A,0)),"⚠ not in catalog"))</f>
        <v/>
      </c>
      <c r="G2168" s="12" t="str">
        <f aca="false">IF(A2168="","",COUNTIFS('Weekly Log'!$A:$A,'Grocery List'!$B$3,'Weekly Log'!$C:$C,A2168,'Weekly Log'!$E:$E,"Yes"))</f>
        <v/>
      </c>
      <c r="H2168" s="12" t="str">
        <f aca="false">IF(OR(A2168="",D2168=""),"",D2168*G2168)</f>
        <v/>
      </c>
    </row>
    <row r="2169" customFormat="false" ht="15" hidden="false" customHeight="false" outlineLevel="0" collapsed="false">
      <c r="B2169" s="12" t="str">
        <f aca="false">IF(A2169="","",IFERROR(INDEX(Recipes!$B:$B,MATCH(A2169,Recipes!$A:$A,0)),"⚠ unknown recipe_id"))</f>
        <v/>
      </c>
      <c r="E2169" s="12" t="str">
        <f aca="false">IF(C2169="","",IFERROR(INDEX('Ingredient Catalog'!$C:$C,MATCH(C2169,'Ingredient Catalog'!$A:$A,0)),"⚠ not in catalog"))</f>
        <v/>
      </c>
      <c r="G2169" s="12" t="str">
        <f aca="false">IF(A2169="","",COUNTIFS('Weekly Log'!$A:$A,'Grocery List'!$B$3,'Weekly Log'!$C:$C,A2169,'Weekly Log'!$E:$E,"Yes"))</f>
        <v/>
      </c>
      <c r="H2169" s="12" t="str">
        <f aca="false">IF(OR(A2169="",D2169=""),"",D2169*G2169)</f>
        <v/>
      </c>
    </row>
    <row r="2170" customFormat="false" ht="15" hidden="false" customHeight="false" outlineLevel="0" collapsed="false">
      <c r="B2170" s="12" t="str">
        <f aca="false">IF(A2170="","",IFERROR(INDEX(Recipes!$B:$B,MATCH(A2170,Recipes!$A:$A,0)),"⚠ unknown recipe_id"))</f>
        <v/>
      </c>
      <c r="E2170" s="12" t="str">
        <f aca="false">IF(C2170="","",IFERROR(INDEX('Ingredient Catalog'!$C:$C,MATCH(C2170,'Ingredient Catalog'!$A:$A,0)),"⚠ not in catalog"))</f>
        <v/>
      </c>
      <c r="G2170" s="12" t="str">
        <f aca="false">IF(A2170="","",COUNTIFS('Weekly Log'!$A:$A,'Grocery List'!$B$3,'Weekly Log'!$C:$C,A2170,'Weekly Log'!$E:$E,"Yes"))</f>
        <v/>
      </c>
      <c r="H2170" s="12" t="str">
        <f aca="false">IF(OR(A2170="",D2170=""),"",D2170*G2170)</f>
        <v/>
      </c>
    </row>
    <row r="2171" customFormat="false" ht="15" hidden="false" customHeight="false" outlineLevel="0" collapsed="false">
      <c r="B2171" s="12" t="str">
        <f aca="false">IF(A2171="","",IFERROR(INDEX(Recipes!$B:$B,MATCH(A2171,Recipes!$A:$A,0)),"⚠ unknown recipe_id"))</f>
        <v/>
      </c>
      <c r="E2171" s="12" t="str">
        <f aca="false">IF(C2171="","",IFERROR(INDEX('Ingredient Catalog'!$C:$C,MATCH(C2171,'Ingredient Catalog'!$A:$A,0)),"⚠ not in catalog"))</f>
        <v/>
      </c>
      <c r="G2171" s="12" t="str">
        <f aca="false">IF(A2171="","",COUNTIFS('Weekly Log'!$A:$A,'Grocery List'!$B$3,'Weekly Log'!$C:$C,A2171,'Weekly Log'!$E:$E,"Yes"))</f>
        <v/>
      </c>
      <c r="H2171" s="12" t="str">
        <f aca="false">IF(OR(A2171="",D2171=""),"",D2171*G2171)</f>
        <v/>
      </c>
    </row>
    <row r="2172" customFormat="false" ht="15" hidden="false" customHeight="false" outlineLevel="0" collapsed="false">
      <c r="B2172" s="12" t="str">
        <f aca="false">IF(A2172="","",IFERROR(INDEX(Recipes!$B:$B,MATCH(A2172,Recipes!$A:$A,0)),"⚠ unknown recipe_id"))</f>
        <v/>
      </c>
      <c r="E2172" s="12" t="str">
        <f aca="false">IF(C2172="","",IFERROR(INDEX('Ingredient Catalog'!$C:$C,MATCH(C2172,'Ingredient Catalog'!$A:$A,0)),"⚠ not in catalog"))</f>
        <v/>
      </c>
      <c r="G2172" s="12" t="str">
        <f aca="false">IF(A2172="","",COUNTIFS('Weekly Log'!$A:$A,'Grocery List'!$B$3,'Weekly Log'!$C:$C,A2172,'Weekly Log'!$E:$E,"Yes"))</f>
        <v/>
      </c>
      <c r="H2172" s="12" t="str">
        <f aca="false">IF(OR(A2172="",D2172=""),"",D2172*G2172)</f>
        <v/>
      </c>
    </row>
    <row r="2173" customFormat="false" ht="15" hidden="false" customHeight="false" outlineLevel="0" collapsed="false">
      <c r="B2173" s="12" t="str">
        <f aca="false">IF(A2173="","",IFERROR(INDEX(Recipes!$B:$B,MATCH(A2173,Recipes!$A:$A,0)),"⚠ unknown recipe_id"))</f>
        <v/>
      </c>
      <c r="E2173" s="12" t="str">
        <f aca="false">IF(C2173="","",IFERROR(INDEX('Ingredient Catalog'!$C:$C,MATCH(C2173,'Ingredient Catalog'!$A:$A,0)),"⚠ not in catalog"))</f>
        <v/>
      </c>
      <c r="G2173" s="12" t="str">
        <f aca="false">IF(A2173="","",COUNTIFS('Weekly Log'!$A:$A,'Grocery List'!$B$3,'Weekly Log'!$C:$C,A2173,'Weekly Log'!$E:$E,"Yes"))</f>
        <v/>
      </c>
      <c r="H2173" s="12" t="str">
        <f aca="false">IF(OR(A2173="",D2173=""),"",D2173*G2173)</f>
        <v/>
      </c>
    </row>
    <row r="2174" customFormat="false" ht="15" hidden="false" customHeight="false" outlineLevel="0" collapsed="false">
      <c r="B2174" s="12" t="str">
        <f aca="false">IF(A2174="","",IFERROR(INDEX(Recipes!$B:$B,MATCH(A2174,Recipes!$A:$A,0)),"⚠ unknown recipe_id"))</f>
        <v/>
      </c>
      <c r="E2174" s="12" t="str">
        <f aca="false">IF(C2174="","",IFERROR(INDEX('Ingredient Catalog'!$C:$C,MATCH(C2174,'Ingredient Catalog'!$A:$A,0)),"⚠ not in catalog"))</f>
        <v/>
      </c>
      <c r="G2174" s="12" t="str">
        <f aca="false">IF(A2174="","",COUNTIFS('Weekly Log'!$A:$A,'Grocery List'!$B$3,'Weekly Log'!$C:$C,A2174,'Weekly Log'!$E:$E,"Yes"))</f>
        <v/>
      </c>
      <c r="H2174" s="12" t="str">
        <f aca="false">IF(OR(A2174="",D2174=""),"",D2174*G2174)</f>
        <v/>
      </c>
    </row>
    <row r="2175" customFormat="false" ht="15" hidden="false" customHeight="false" outlineLevel="0" collapsed="false">
      <c r="B2175" s="12" t="str">
        <f aca="false">IF(A2175="","",IFERROR(INDEX(Recipes!$B:$B,MATCH(A2175,Recipes!$A:$A,0)),"⚠ unknown recipe_id"))</f>
        <v/>
      </c>
      <c r="E2175" s="12" t="str">
        <f aca="false">IF(C2175="","",IFERROR(INDEX('Ingredient Catalog'!$C:$C,MATCH(C2175,'Ingredient Catalog'!$A:$A,0)),"⚠ not in catalog"))</f>
        <v/>
      </c>
      <c r="G2175" s="12" t="str">
        <f aca="false">IF(A2175="","",COUNTIFS('Weekly Log'!$A:$A,'Grocery List'!$B$3,'Weekly Log'!$C:$C,A2175,'Weekly Log'!$E:$E,"Yes"))</f>
        <v/>
      </c>
      <c r="H2175" s="12" t="str">
        <f aca="false">IF(OR(A2175="",D2175=""),"",D2175*G2175)</f>
        <v/>
      </c>
    </row>
    <row r="2176" customFormat="false" ht="15" hidden="false" customHeight="false" outlineLevel="0" collapsed="false">
      <c r="B2176" s="12" t="str">
        <f aca="false">IF(A2176="","",IFERROR(INDEX(Recipes!$B:$B,MATCH(A2176,Recipes!$A:$A,0)),"⚠ unknown recipe_id"))</f>
        <v/>
      </c>
      <c r="E2176" s="12" t="str">
        <f aca="false">IF(C2176="","",IFERROR(INDEX('Ingredient Catalog'!$C:$C,MATCH(C2176,'Ingredient Catalog'!$A:$A,0)),"⚠ not in catalog"))</f>
        <v/>
      </c>
      <c r="G2176" s="12" t="str">
        <f aca="false">IF(A2176="","",COUNTIFS('Weekly Log'!$A:$A,'Grocery List'!$B$3,'Weekly Log'!$C:$C,A2176,'Weekly Log'!$E:$E,"Yes"))</f>
        <v/>
      </c>
      <c r="H2176" s="12" t="str">
        <f aca="false">IF(OR(A2176="",D2176=""),"",D2176*G2176)</f>
        <v/>
      </c>
    </row>
    <row r="2177" customFormat="false" ht="15" hidden="false" customHeight="false" outlineLevel="0" collapsed="false">
      <c r="B2177" s="12" t="str">
        <f aca="false">IF(A2177="","",IFERROR(INDEX(Recipes!$B:$B,MATCH(A2177,Recipes!$A:$A,0)),"⚠ unknown recipe_id"))</f>
        <v/>
      </c>
      <c r="E2177" s="12" t="str">
        <f aca="false">IF(C2177="","",IFERROR(INDEX('Ingredient Catalog'!$C:$C,MATCH(C2177,'Ingredient Catalog'!$A:$A,0)),"⚠ not in catalog"))</f>
        <v/>
      </c>
      <c r="G2177" s="12" t="str">
        <f aca="false">IF(A2177="","",COUNTIFS('Weekly Log'!$A:$A,'Grocery List'!$B$3,'Weekly Log'!$C:$C,A2177,'Weekly Log'!$E:$E,"Yes"))</f>
        <v/>
      </c>
      <c r="H2177" s="12" t="str">
        <f aca="false">IF(OR(A2177="",D2177=""),"",D2177*G2177)</f>
        <v/>
      </c>
    </row>
    <row r="2178" customFormat="false" ht="15" hidden="false" customHeight="false" outlineLevel="0" collapsed="false">
      <c r="B2178" s="12" t="str">
        <f aca="false">IF(A2178="","",IFERROR(INDEX(Recipes!$B:$B,MATCH(A2178,Recipes!$A:$A,0)),"⚠ unknown recipe_id"))</f>
        <v/>
      </c>
      <c r="E2178" s="12" t="str">
        <f aca="false">IF(C2178="","",IFERROR(INDEX('Ingredient Catalog'!$C:$C,MATCH(C2178,'Ingredient Catalog'!$A:$A,0)),"⚠ not in catalog"))</f>
        <v/>
      </c>
      <c r="G2178" s="12" t="str">
        <f aca="false">IF(A2178="","",COUNTIFS('Weekly Log'!$A:$A,'Grocery List'!$B$3,'Weekly Log'!$C:$C,A2178,'Weekly Log'!$E:$E,"Yes"))</f>
        <v/>
      </c>
      <c r="H2178" s="12" t="str">
        <f aca="false">IF(OR(A2178="",D2178=""),"",D2178*G2178)</f>
        <v/>
      </c>
    </row>
    <row r="2179" customFormat="false" ht="15" hidden="false" customHeight="false" outlineLevel="0" collapsed="false">
      <c r="B2179" s="12" t="str">
        <f aca="false">IF(A2179="","",IFERROR(INDEX(Recipes!$B:$B,MATCH(A2179,Recipes!$A:$A,0)),"⚠ unknown recipe_id"))</f>
        <v/>
      </c>
      <c r="E2179" s="12" t="str">
        <f aca="false">IF(C2179="","",IFERROR(INDEX('Ingredient Catalog'!$C:$C,MATCH(C2179,'Ingredient Catalog'!$A:$A,0)),"⚠ not in catalog"))</f>
        <v/>
      </c>
      <c r="G2179" s="12" t="str">
        <f aca="false">IF(A2179="","",COUNTIFS('Weekly Log'!$A:$A,'Grocery List'!$B$3,'Weekly Log'!$C:$C,A2179,'Weekly Log'!$E:$E,"Yes"))</f>
        <v/>
      </c>
      <c r="H2179" s="12" t="str">
        <f aca="false">IF(OR(A2179="",D2179=""),"",D2179*G2179)</f>
        <v/>
      </c>
    </row>
    <row r="2180" customFormat="false" ht="15" hidden="false" customHeight="false" outlineLevel="0" collapsed="false">
      <c r="B2180" s="12" t="str">
        <f aca="false">IF(A2180="","",IFERROR(INDEX(Recipes!$B:$B,MATCH(A2180,Recipes!$A:$A,0)),"⚠ unknown recipe_id"))</f>
        <v/>
      </c>
      <c r="E2180" s="12" t="str">
        <f aca="false">IF(C2180="","",IFERROR(INDEX('Ingredient Catalog'!$C:$C,MATCH(C2180,'Ingredient Catalog'!$A:$A,0)),"⚠ not in catalog"))</f>
        <v/>
      </c>
      <c r="G2180" s="12" t="str">
        <f aca="false">IF(A2180="","",COUNTIFS('Weekly Log'!$A:$A,'Grocery List'!$B$3,'Weekly Log'!$C:$C,A2180,'Weekly Log'!$E:$E,"Yes"))</f>
        <v/>
      </c>
      <c r="H2180" s="12" t="str">
        <f aca="false">IF(OR(A2180="",D2180=""),"",D2180*G2180)</f>
        <v/>
      </c>
    </row>
    <row r="2181" customFormat="false" ht="15" hidden="false" customHeight="false" outlineLevel="0" collapsed="false">
      <c r="B2181" s="12" t="str">
        <f aca="false">IF(A2181="","",IFERROR(INDEX(Recipes!$B:$B,MATCH(A2181,Recipes!$A:$A,0)),"⚠ unknown recipe_id"))</f>
        <v/>
      </c>
      <c r="E2181" s="12" t="str">
        <f aca="false">IF(C2181="","",IFERROR(INDEX('Ingredient Catalog'!$C:$C,MATCH(C2181,'Ingredient Catalog'!$A:$A,0)),"⚠ not in catalog"))</f>
        <v/>
      </c>
      <c r="G2181" s="12" t="str">
        <f aca="false">IF(A2181="","",COUNTIFS('Weekly Log'!$A:$A,'Grocery List'!$B$3,'Weekly Log'!$C:$C,A2181,'Weekly Log'!$E:$E,"Yes"))</f>
        <v/>
      </c>
      <c r="H2181" s="12" t="str">
        <f aca="false">IF(OR(A2181="",D2181=""),"",D2181*G2181)</f>
        <v/>
      </c>
    </row>
    <row r="2182" customFormat="false" ht="15" hidden="false" customHeight="false" outlineLevel="0" collapsed="false">
      <c r="B2182" s="12" t="str">
        <f aca="false">IF(A2182="","",IFERROR(INDEX(Recipes!$B:$B,MATCH(A2182,Recipes!$A:$A,0)),"⚠ unknown recipe_id"))</f>
        <v/>
      </c>
      <c r="E2182" s="12" t="str">
        <f aca="false">IF(C2182="","",IFERROR(INDEX('Ingredient Catalog'!$C:$C,MATCH(C2182,'Ingredient Catalog'!$A:$A,0)),"⚠ not in catalog"))</f>
        <v/>
      </c>
      <c r="G2182" s="12" t="str">
        <f aca="false">IF(A2182="","",COUNTIFS('Weekly Log'!$A:$A,'Grocery List'!$B$3,'Weekly Log'!$C:$C,A2182,'Weekly Log'!$E:$E,"Yes"))</f>
        <v/>
      </c>
      <c r="H2182" s="12" t="str">
        <f aca="false">IF(OR(A2182="",D2182=""),"",D2182*G2182)</f>
        <v/>
      </c>
    </row>
    <row r="2183" customFormat="false" ht="15" hidden="false" customHeight="false" outlineLevel="0" collapsed="false">
      <c r="B2183" s="12" t="str">
        <f aca="false">IF(A2183="","",IFERROR(INDEX(Recipes!$B:$B,MATCH(A2183,Recipes!$A:$A,0)),"⚠ unknown recipe_id"))</f>
        <v/>
      </c>
      <c r="E2183" s="12" t="str">
        <f aca="false">IF(C2183="","",IFERROR(INDEX('Ingredient Catalog'!$C:$C,MATCH(C2183,'Ingredient Catalog'!$A:$A,0)),"⚠ not in catalog"))</f>
        <v/>
      </c>
      <c r="G2183" s="12" t="str">
        <f aca="false">IF(A2183="","",COUNTIFS('Weekly Log'!$A:$A,'Grocery List'!$B$3,'Weekly Log'!$C:$C,A2183,'Weekly Log'!$E:$E,"Yes"))</f>
        <v/>
      </c>
      <c r="H2183" s="12" t="str">
        <f aca="false">IF(OR(A2183="",D2183=""),"",D2183*G2183)</f>
        <v/>
      </c>
    </row>
    <row r="2184" customFormat="false" ht="15" hidden="false" customHeight="false" outlineLevel="0" collapsed="false">
      <c r="B2184" s="12" t="str">
        <f aca="false">IF(A2184="","",IFERROR(INDEX(Recipes!$B:$B,MATCH(A2184,Recipes!$A:$A,0)),"⚠ unknown recipe_id"))</f>
        <v/>
      </c>
      <c r="E2184" s="12" t="str">
        <f aca="false">IF(C2184="","",IFERROR(INDEX('Ingredient Catalog'!$C:$C,MATCH(C2184,'Ingredient Catalog'!$A:$A,0)),"⚠ not in catalog"))</f>
        <v/>
      </c>
      <c r="G2184" s="12" t="str">
        <f aca="false">IF(A2184="","",COUNTIFS('Weekly Log'!$A:$A,'Grocery List'!$B$3,'Weekly Log'!$C:$C,A2184,'Weekly Log'!$E:$E,"Yes"))</f>
        <v/>
      </c>
      <c r="H2184" s="12" t="str">
        <f aca="false">IF(OR(A2184="",D2184=""),"",D2184*G2184)</f>
        <v/>
      </c>
    </row>
    <row r="2185" customFormat="false" ht="15" hidden="false" customHeight="false" outlineLevel="0" collapsed="false">
      <c r="B2185" s="12" t="str">
        <f aca="false">IF(A2185="","",IFERROR(INDEX(Recipes!$B:$B,MATCH(A2185,Recipes!$A:$A,0)),"⚠ unknown recipe_id"))</f>
        <v/>
      </c>
      <c r="E2185" s="12" t="str">
        <f aca="false">IF(C2185="","",IFERROR(INDEX('Ingredient Catalog'!$C:$C,MATCH(C2185,'Ingredient Catalog'!$A:$A,0)),"⚠ not in catalog"))</f>
        <v/>
      </c>
      <c r="G2185" s="12" t="str">
        <f aca="false">IF(A2185="","",COUNTIFS('Weekly Log'!$A:$A,'Grocery List'!$B$3,'Weekly Log'!$C:$C,A2185,'Weekly Log'!$E:$E,"Yes"))</f>
        <v/>
      </c>
      <c r="H2185" s="12" t="str">
        <f aca="false">IF(OR(A2185="",D2185=""),"",D2185*G2185)</f>
        <v/>
      </c>
    </row>
    <row r="2186" customFormat="false" ht="15" hidden="false" customHeight="false" outlineLevel="0" collapsed="false">
      <c r="B2186" s="12" t="str">
        <f aca="false">IF(A2186="","",IFERROR(INDEX(Recipes!$B:$B,MATCH(A2186,Recipes!$A:$A,0)),"⚠ unknown recipe_id"))</f>
        <v/>
      </c>
      <c r="E2186" s="12" t="str">
        <f aca="false">IF(C2186="","",IFERROR(INDEX('Ingredient Catalog'!$C:$C,MATCH(C2186,'Ingredient Catalog'!$A:$A,0)),"⚠ not in catalog"))</f>
        <v/>
      </c>
      <c r="G2186" s="12" t="str">
        <f aca="false">IF(A2186="","",COUNTIFS('Weekly Log'!$A:$A,'Grocery List'!$B$3,'Weekly Log'!$C:$C,A2186,'Weekly Log'!$E:$E,"Yes"))</f>
        <v/>
      </c>
      <c r="H2186" s="12" t="str">
        <f aca="false">IF(OR(A2186="",D2186=""),"",D2186*G2186)</f>
        <v/>
      </c>
    </row>
    <row r="2187" customFormat="false" ht="15" hidden="false" customHeight="false" outlineLevel="0" collapsed="false">
      <c r="B2187" s="12" t="str">
        <f aca="false">IF(A2187="","",IFERROR(INDEX(Recipes!$B:$B,MATCH(A2187,Recipes!$A:$A,0)),"⚠ unknown recipe_id"))</f>
        <v/>
      </c>
      <c r="E2187" s="12" t="str">
        <f aca="false">IF(C2187="","",IFERROR(INDEX('Ingredient Catalog'!$C:$C,MATCH(C2187,'Ingredient Catalog'!$A:$A,0)),"⚠ not in catalog"))</f>
        <v/>
      </c>
      <c r="G2187" s="12" t="str">
        <f aca="false">IF(A2187="","",COUNTIFS('Weekly Log'!$A:$A,'Grocery List'!$B$3,'Weekly Log'!$C:$C,A2187,'Weekly Log'!$E:$E,"Yes"))</f>
        <v/>
      </c>
      <c r="H2187" s="12" t="str">
        <f aca="false">IF(OR(A2187="",D2187=""),"",D2187*G2187)</f>
        <v/>
      </c>
    </row>
    <row r="2188" customFormat="false" ht="15" hidden="false" customHeight="false" outlineLevel="0" collapsed="false">
      <c r="B2188" s="12" t="str">
        <f aca="false">IF(A2188="","",IFERROR(INDEX(Recipes!$B:$B,MATCH(A2188,Recipes!$A:$A,0)),"⚠ unknown recipe_id"))</f>
        <v/>
      </c>
      <c r="E2188" s="12" t="str">
        <f aca="false">IF(C2188="","",IFERROR(INDEX('Ingredient Catalog'!$C:$C,MATCH(C2188,'Ingredient Catalog'!$A:$A,0)),"⚠ not in catalog"))</f>
        <v/>
      </c>
      <c r="G2188" s="12" t="str">
        <f aca="false">IF(A2188="","",COUNTIFS('Weekly Log'!$A:$A,'Grocery List'!$B$3,'Weekly Log'!$C:$C,A2188,'Weekly Log'!$E:$E,"Yes"))</f>
        <v/>
      </c>
      <c r="H2188" s="12" t="str">
        <f aca="false">IF(OR(A2188="",D2188=""),"",D2188*G2188)</f>
        <v/>
      </c>
    </row>
    <row r="2189" customFormat="false" ht="15" hidden="false" customHeight="false" outlineLevel="0" collapsed="false">
      <c r="B2189" s="12" t="str">
        <f aca="false">IF(A2189="","",IFERROR(INDEX(Recipes!$B:$B,MATCH(A2189,Recipes!$A:$A,0)),"⚠ unknown recipe_id"))</f>
        <v/>
      </c>
      <c r="E2189" s="12" t="str">
        <f aca="false">IF(C2189="","",IFERROR(INDEX('Ingredient Catalog'!$C:$C,MATCH(C2189,'Ingredient Catalog'!$A:$A,0)),"⚠ not in catalog"))</f>
        <v/>
      </c>
      <c r="G2189" s="12" t="str">
        <f aca="false">IF(A2189="","",COUNTIFS('Weekly Log'!$A:$A,'Grocery List'!$B$3,'Weekly Log'!$C:$C,A2189,'Weekly Log'!$E:$E,"Yes"))</f>
        <v/>
      </c>
      <c r="H2189" s="12" t="str">
        <f aca="false">IF(OR(A2189="",D2189=""),"",D2189*G2189)</f>
        <v/>
      </c>
    </row>
    <row r="2190" customFormat="false" ht="15" hidden="false" customHeight="false" outlineLevel="0" collapsed="false">
      <c r="B2190" s="12" t="str">
        <f aca="false">IF(A2190="","",IFERROR(INDEX(Recipes!$B:$B,MATCH(A2190,Recipes!$A:$A,0)),"⚠ unknown recipe_id"))</f>
        <v/>
      </c>
      <c r="E2190" s="12" t="str">
        <f aca="false">IF(C2190="","",IFERROR(INDEX('Ingredient Catalog'!$C:$C,MATCH(C2190,'Ingredient Catalog'!$A:$A,0)),"⚠ not in catalog"))</f>
        <v/>
      </c>
      <c r="G2190" s="12" t="str">
        <f aca="false">IF(A2190="","",COUNTIFS('Weekly Log'!$A:$A,'Grocery List'!$B$3,'Weekly Log'!$C:$C,A2190,'Weekly Log'!$E:$E,"Yes"))</f>
        <v/>
      </c>
      <c r="H2190" s="12" t="str">
        <f aca="false">IF(OR(A2190="",D2190=""),"",D2190*G2190)</f>
        <v/>
      </c>
    </row>
    <row r="2191" customFormat="false" ht="15" hidden="false" customHeight="false" outlineLevel="0" collapsed="false">
      <c r="B2191" s="12" t="str">
        <f aca="false">IF(A2191="","",IFERROR(INDEX(Recipes!$B:$B,MATCH(A2191,Recipes!$A:$A,0)),"⚠ unknown recipe_id"))</f>
        <v/>
      </c>
      <c r="E2191" s="12" t="str">
        <f aca="false">IF(C2191="","",IFERROR(INDEX('Ingredient Catalog'!$C:$C,MATCH(C2191,'Ingredient Catalog'!$A:$A,0)),"⚠ not in catalog"))</f>
        <v/>
      </c>
      <c r="G2191" s="12" t="str">
        <f aca="false">IF(A2191="","",COUNTIFS('Weekly Log'!$A:$A,'Grocery List'!$B$3,'Weekly Log'!$C:$C,A2191,'Weekly Log'!$E:$E,"Yes"))</f>
        <v/>
      </c>
      <c r="H2191" s="12" t="str">
        <f aca="false">IF(OR(A2191="",D2191=""),"",D2191*G2191)</f>
        <v/>
      </c>
    </row>
    <row r="2192" customFormat="false" ht="15" hidden="false" customHeight="false" outlineLevel="0" collapsed="false">
      <c r="B2192" s="12" t="str">
        <f aca="false">IF(A2192="","",IFERROR(INDEX(Recipes!$B:$B,MATCH(A2192,Recipes!$A:$A,0)),"⚠ unknown recipe_id"))</f>
        <v/>
      </c>
      <c r="E2192" s="12" t="str">
        <f aca="false">IF(C2192="","",IFERROR(INDEX('Ingredient Catalog'!$C:$C,MATCH(C2192,'Ingredient Catalog'!$A:$A,0)),"⚠ not in catalog"))</f>
        <v/>
      </c>
      <c r="G2192" s="12" t="str">
        <f aca="false">IF(A2192="","",COUNTIFS('Weekly Log'!$A:$A,'Grocery List'!$B$3,'Weekly Log'!$C:$C,A2192,'Weekly Log'!$E:$E,"Yes"))</f>
        <v/>
      </c>
      <c r="H2192" s="12" t="str">
        <f aca="false">IF(OR(A2192="",D2192=""),"",D2192*G2192)</f>
        <v/>
      </c>
    </row>
    <row r="2193" customFormat="false" ht="15" hidden="false" customHeight="false" outlineLevel="0" collapsed="false">
      <c r="B2193" s="12" t="str">
        <f aca="false">IF(A2193="","",IFERROR(INDEX(Recipes!$B:$B,MATCH(A2193,Recipes!$A:$A,0)),"⚠ unknown recipe_id"))</f>
        <v/>
      </c>
      <c r="E2193" s="12" t="str">
        <f aca="false">IF(C2193="","",IFERROR(INDEX('Ingredient Catalog'!$C:$C,MATCH(C2193,'Ingredient Catalog'!$A:$A,0)),"⚠ not in catalog"))</f>
        <v/>
      </c>
      <c r="G2193" s="12" t="str">
        <f aca="false">IF(A2193="","",COUNTIFS('Weekly Log'!$A:$A,'Grocery List'!$B$3,'Weekly Log'!$C:$C,A2193,'Weekly Log'!$E:$E,"Yes"))</f>
        <v/>
      </c>
      <c r="H2193" s="12" t="str">
        <f aca="false">IF(OR(A2193="",D2193=""),"",D2193*G2193)</f>
        <v/>
      </c>
    </row>
    <row r="2194" customFormat="false" ht="15" hidden="false" customHeight="false" outlineLevel="0" collapsed="false">
      <c r="B2194" s="12" t="str">
        <f aca="false">IF(A2194="","",IFERROR(INDEX(Recipes!$B:$B,MATCH(A2194,Recipes!$A:$A,0)),"⚠ unknown recipe_id"))</f>
        <v/>
      </c>
      <c r="E2194" s="12" t="str">
        <f aca="false">IF(C2194="","",IFERROR(INDEX('Ingredient Catalog'!$C:$C,MATCH(C2194,'Ingredient Catalog'!$A:$A,0)),"⚠ not in catalog"))</f>
        <v/>
      </c>
      <c r="G2194" s="12" t="str">
        <f aca="false">IF(A2194="","",COUNTIFS('Weekly Log'!$A:$A,'Grocery List'!$B$3,'Weekly Log'!$C:$C,A2194,'Weekly Log'!$E:$E,"Yes"))</f>
        <v/>
      </c>
      <c r="H2194" s="12" t="str">
        <f aca="false">IF(OR(A2194="",D2194=""),"",D2194*G2194)</f>
        <v/>
      </c>
    </row>
    <row r="2195" customFormat="false" ht="15" hidden="false" customHeight="false" outlineLevel="0" collapsed="false">
      <c r="B2195" s="12" t="str">
        <f aca="false">IF(A2195="","",IFERROR(INDEX(Recipes!$B:$B,MATCH(A2195,Recipes!$A:$A,0)),"⚠ unknown recipe_id"))</f>
        <v/>
      </c>
      <c r="E2195" s="12" t="str">
        <f aca="false">IF(C2195="","",IFERROR(INDEX('Ingredient Catalog'!$C:$C,MATCH(C2195,'Ingredient Catalog'!$A:$A,0)),"⚠ not in catalog"))</f>
        <v/>
      </c>
      <c r="G2195" s="12" t="str">
        <f aca="false">IF(A2195="","",COUNTIFS('Weekly Log'!$A:$A,'Grocery List'!$B$3,'Weekly Log'!$C:$C,A2195,'Weekly Log'!$E:$E,"Yes"))</f>
        <v/>
      </c>
      <c r="H2195" s="12" t="str">
        <f aca="false">IF(OR(A2195="",D2195=""),"",D2195*G2195)</f>
        <v/>
      </c>
    </row>
    <row r="2196" customFormat="false" ht="15" hidden="false" customHeight="false" outlineLevel="0" collapsed="false">
      <c r="B2196" s="12" t="str">
        <f aca="false">IF(A2196="","",IFERROR(INDEX(Recipes!$B:$B,MATCH(A2196,Recipes!$A:$A,0)),"⚠ unknown recipe_id"))</f>
        <v/>
      </c>
      <c r="E2196" s="12" t="str">
        <f aca="false">IF(C2196="","",IFERROR(INDEX('Ingredient Catalog'!$C:$C,MATCH(C2196,'Ingredient Catalog'!$A:$A,0)),"⚠ not in catalog"))</f>
        <v/>
      </c>
      <c r="G2196" s="12" t="str">
        <f aca="false">IF(A2196="","",COUNTIFS('Weekly Log'!$A:$A,'Grocery List'!$B$3,'Weekly Log'!$C:$C,A2196,'Weekly Log'!$E:$E,"Yes"))</f>
        <v/>
      </c>
      <c r="H2196" s="12" t="str">
        <f aca="false">IF(OR(A2196="",D2196=""),"",D2196*G2196)</f>
        <v/>
      </c>
    </row>
    <row r="2197" customFormat="false" ht="15" hidden="false" customHeight="false" outlineLevel="0" collapsed="false">
      <c r="B2197" s="12" t="str">
        <f aca="false">IF(A2197="","",IFERROR(INDEX(Recipes!$B:$B,MATCH(A2197,Recipes!$A:$A,0)),"⚠ unknown recipe_id"))</f>
        <v/>
      </c>
      <c r="E2197" s="12" t="str">
        <f aca="false">IF(C2197="","",IFERROR(INDEX('Ingredient Catalog'!$C:$C,MATCH(C2197,'Ingredient Catalog'!$A:$A,0)),"⚠ not in catalog"))</f>
        <v/>
      </c>
      <c r="G2197" s="12" t="str">
        <f aca="false">IF(A2197="","",COUNTIFS('Weekly Log'!$A:$A,'Grocery List'!$B$3,'Weekly Log'!$C:$C,A2197,'Weekly Log'!$E:$E,"Yes"))</f>
        <v/>
      </c>
      <c r="H2197" s="12" t="str">
        <f aca="false">IF(OR(A2197="",D2197=""),"",D2197*G2197)</f>
        <v/>
      </c>
    </row>
    <row r="2198" customFormat="false" ht="15" hidden="false" customHeight="false" outlineLevel="0" collapsed="false">
      <c r="B2198" s="12" t="str">
        <f aca="false">IF(A2198="","",IFERROR(INDEX(Recipes!$B:$B,MATCH(A2198,Recipes!$A:$A,0)),"⚠ unknown recipe_id"))</f>
        <v/>
      </c>
      <c r="E2198" s="12" t="str">
        <f aca="false">IF(C2198="","",IFERROR(INDEX('Ingredient Catalog'!$C:$C,MATCH(C2198,'Ingredient Catalog'!$A:$A,0)),"⚠ not in catalog"))</f>
        <v/>
      </c>
      <c r="G2198" s="12" t="str">
        <f aca="false">IF(A2198="","",COUNTIFS('Weekly Log'!$A:$A,'Grocery List'!$B$3,'Weekly Log'!$C:$C,A2198,'Weekly Log'!$E:$E,"Yes"))</f>
        <v/>
      </c>
      <c r="H2198" s="12" t="str">
        <f aca="false">IF(OR(A2198="",D2198=""),"",D2198*G2198)</f>
        <v/>
      </c>
    </row>
    <row r="2199" customFormat="false" ht="15" hidden="false" customHeight="false" outlineLevel="0" collapsed="false">
      <c r="B2199" s="12" t="str">
        <f aca="false">IF(A2199="","",IFERROR(INDEX(Recipes!$B:$B,MATCH(A2199,Recipes!$A:$A,0)),"⚠ unknown recipe_id"))</f>
        <v/>
      </c>
      <c r="E2199" s="12" t="str">
        <f aca="false">IF(C2199="","",IFERROR(INDEX('Ingredient Catalog'!$C:$C,MATCH(C2199,'Ingredient Catalog'!$A:$A,0)),"⚠ not in catalog"))</f>
        <v/>
      </c>
      <c r="G2199" s="12" t="str">
        <f aca="false">IF(A2199="","",COUNTIFS('Weekly Log'!$A:$A,'Grocery List'!$B$3,'Weekly Log'!$C:$C,A2199,'Weekly Log'!$E:$E,"Yes"))</f>
        <v/>
      </c>
      <c r="H2199" s="12" t="str">
        <f aca="false">IF(OR(A2199="",D2199=""),"",D2199*G2199)</f>
        <v/>
      </c>
    </row>
    <row r="2200" customFormat="false" ht="15" hidden="false" customHeight="false" outlineLevel="0" collapsed="false">
      <c r="B2200" s="12" t="str">
        <f aca="false">IF(A2200="","",IFERROR(INDEX(Recipes!$B:$B,MATCH(A2200,Recipes!$A:$A,0)),"⚠ unknown recipe_id"))</f>
        <v/>
      </c>
      <c r="E2200" s="12" t="str">
        <f aca="false">IF(C2200="","",IFERROR(INDEX('Ingredient Catalog'!$C:$C,MATCH(C2200,'Ingredient Catalog'!$A:$A,0)),"⚠ not in catalog"))</f>
        <v/>
      </c>
      <c r="G2200" s="12" t="str">
        <f aca="false">IF(A2200="","",COUNTIFS('Weekly Log'!$A:$A,'Grocery List'!$B$3,'Weekly Log'!$C:$C,A2200,'Weekly Log'!$E:$E,"Yes"))</f>
        <v/>
      </c>
      <c r="H2200" s="12" t="str">
        <f aca="false">IF(OR(A2200="",D2200=""),"",D2200*G2200)</f>
        <v/>
      </c>
    </row>
    <row r="2201" customFormat="false" ht="15" hidden="false" customHeight="false" outlineLevel="0" collapsed="false">
      <c r="B2201" s="12" t="str">
        <f aca="false">IF(A2201="","",IFERROR(INDEX(Recipes!$B:$B,MATCH(A2201,Recipes!$A:$A,0)),"⚠ unknown recipe_id"))</f>
        <v/>
      </c>
      <c r="E2201" s="12" t="str">
        <f aca="false">IF(C2201="","",IFERROR(INDEX('Ingredient Catalog'!$C:$C,MATCH(C2201,'Ingredient Catalog'!$A:$A,0)),"⚠ not in catalog"))</f>
        <v/>
      </c>
      <c r="G2201" s="12" t="str">
        <f aca="false">IF(A2201="","",COUNTIFS('Weekly Log'!$A:$A,'Grocery List'!$B$3,'Weekly Log'!$C:$C,A2201,'Weekly Log'!$E:$E,"Yes"))</f>
        <v/>
      </c>
      <c r="H2201" s="12" t="str">
        <f aca="false">IF(OR(A2201="",D2201=""),"",D2201*G2201)</f>
        <v/>
      </c>
    </row>
    <row r="2202" customFormat="false" ht="15" hidden="false" customHeight="false" outlineLevel="0" collapsed="false">
      <c r="B2202" s="12" t="str">
        <f aca="false">IF(A2202="","",IFERROR(INDEX(Recipes!$B:$B,MATCH(A2202,Recipes!$A:$A,0)),"⚠ unknown recipe_id"))</f>
        <v/>
      </c>
      <c r="E2202" s="12" t="str">
        <f aca="false">IF(C2202="","",IFERROR(INDEX('Ingredient Catalog'!$C:$C,MATCH(C2202,'Ingredient Catalog'!$A:$A,0)),"⚠ not in catalog"))</f>
        <v/>
      </c>
      <c r="G2202" s="12" t="str">
        <f aca="false">IF(A2202="","",COUNTIFS('Weekly Log'!$A:$A,'Grocery List'!$B$3,'Weekly Log'!$C:$C,A2202,'Weekly Log'!$E:$E,"Yes"))</f>
        <v/>
      </c>
      <c r="H2202" s="12" t="str">
        <f aca="false">IF(OR(A2202="",D2202=""),"",D2202*G2202)</f>
        <v/>
      </c>
    </row>
    <row r="2203" customFormat="false" ht="15" hidden="false" customHeight="false" outlineLevel="0" collapsed="false">
      <c r="B2203" s="12" t="str">
        <f aca="false">IF(A2203="","",IFERROR(INDEX(Recipes!$B:$B,MATCH(A2203,Recipes!$A:$A,0)),"⚠ unknown recipe_id"))</f>
        <v/>
      </c>
      <c r="E2203" s="12" t="str">
        <f aca="false">IF(C2203="","",IFERROR(INDEX('Ingredient Catalog'!$C:$C,MATCH(C2203,'Ingredient Catalog'!$A:$A,0)),"⚠ not in catalog"))</f>
        <v/>
      </c>
      <c r="G2203" s="12" t="str">
        <f aca="false">IF(A2203="","",COUNTIFS('Weekly Log'!$A:$A,'Grocery List'!$B$3,'Weekly Log'!$C:$C,A2203,'Weekly Log'!$E:$E,"Yes"))</f>
        <v/>
      </c>
      <c r="H2203" s="12" t="str">
        <f aca="false">IF(OR(A2203="",D2203=""),"",D2203*G2203)</f>
        <v/>
      </c>
    </row>
    <row r="2204" customFormat="false" ht="15" hidden="false" customHeight="false" outlineLevel="0" collapsed="false">
      <c r="B2204" s="12" t="str">
        <f aca="false">IF(A2204="","",IFERROR(INDEX(Recipes!$B:$B,MATCH(A2204,Recipes!$A:$A,0)),"⚠ unknown recipe_id"))</f>
        <v/>
      </c>
      <c r="E2204" s="12" t="str">
        <f aca="false">IF(C2204="","",IFERROR(INDEX('Ingredient Catalog'!$C:$C,MATCH(C2204,'Ingredient Catalog'!$A:$A,0)),"⚠ not in catalog"))</f>
        <v/>
      </c>
      <c r="G2204" s="12" t="str">
        <f aca="false">IF(A2204="","",COUNTIFS('Weekly Log'!$A:$A,'Grocery List'!$B$3,'Weekly Log'!$C:$C,A2204,'Weekly Log'!$E:$E,"Yes"))</f>
        <v/>
      </c>
      <c r="H2204" s="12" t="str">
        <f aca="false">IF(OR(A2204="",D2204=""),"",D2204*G2204)</f>
        <v/>
      </c>
    </row>
    <row r="2205" customFormat="false" ht="15" hidden="false" customHeight="false" outlineLevel="0" collapsed="false">
      <c r="B2205" s="12" t="str">
        <f aca="false">IF(A2205="","",IFERROR(INDEX(Recipes!$B:$B,MATCH(A2205,Recipes!$A:$A,0)),"⚠ unknown recipe_id"))</f>
        <v/>
      </c>
      <c r="E2205" s="12" t="str">
        <f aca="false">IF(C2205="","",IFERROR(INDEX('Ingredient Catalog'!$C:$C,MATCH(C2205,'Ingredient Catalog'!$A:$A,0)),"⚠ not in catalog"))</f>
        <v/>
      </c>
      <c r="G2205" s="12" t="str">
        <f aca="false">IF(A2205="","",COUNTIFS('Weekly Log'!$A:$A,'Grocery List'!$B$3,'Weekly Log'!$C:$C,A2205,'Weekly Log'!$E:$E,"Yes"))</f>
        <v/>
      </c>
      <c r="H2205" s="12" t="str">
        <f aca="false">IF(OR(A2205="",D2205=""),"",D2205*G2205)</f>
        <v/>
      </c>
    </row>
    <row r="2206" customFormat="false" ht="15" hidden="false" customHeight="false" outlineLevel="0" collapsed="false">
      <c r="B2206" s="12" t="str">
        <f aca="false">IF(A2206="","",IFERROR(INDEX(Recipes!$B:$B,MATCH(A2206,Recipes!$A:$A,0)),"⚠ unknown recipe_id"))</f>
        <v/>
      </c>
      <c r="E2206" s="12" t="str">
        <f aca="false">IF(C2206="","",IFERROR(INDEX('Ingredient Catalog'!$C:$C,MATCH(C2206,'Ingredient Catalog'!$A:$A,0)),"⚠ not in catalog"))</f>
        <v/>
      </c>
      <c r="G2206" s="12" t="str">
        <f aca="false">IF(A2206="","",COUNTIFS('Weekly Log'!$A:$A,'Grocery List'!$B$3,'Weekly Log'!$C:$C,A2206,'Weekly Log'!$E:$E,"Yes"))</f>
        <v/>
      </c>
      <c r="H2206" s="12" t="str">
        <f aca="false">IF(OR(A2206="",D2206=""),"",D2206*G2206)</f>
        <v/>
      </c>
    </row>
    <row r="2207" customFormat="false" ht="15" hidden="false" customHeight="false" outlineLevel="0" collapsed="false">
      <c r="B2207" s="12" t="str">
        <f aca="false">IF(A2207="","",IFERROR(INDEX(Recipes!$B:$B,MATCH(A2207,Recipes!$A:$A,0)),"⚠ unknown recipe_id"))</f>
        <v/>
      </c>
      <c r="E2207" s="12" t="str">
        <f aca="false">IF(C2207="","",IFERROR(INDEX('Ingredient Catalog'!$C:$C,MATCH(C2207,'Ingredient Catalog'!$A:$A,0)),"⚠ not in catalog"))</f>
        <v/>
      </c>
      <c r="G2207" s="12" t="str">
        <f aca="false">IF(A2207="","",COUNTIFS('Weekly Log'!$A:$A,'Grocery List'!$B$3,'Weekly Log'!$C:$C,A2207,'Weekly Log'!$E:$E,"Yes"))</f>
        <v/>
      </c>
      <c r="H2207" s="12" t="str">
        <f aca="false">IF(OR(A2207="",D2207=""),"",D2207*G2207)</f>
        <v/>
      </c>
    </row>
    <row r="2208" customFormat="false" ht="15" hidden="false" customHeight="false" outlineLevel="0" collapsed="false">
      <c r="B2208" s="12" t="str">
        <f aca="false">IF(A2208="","",IFERROR(INDEX(Recipes!$B:$B,MATCH(A2208,Recipes!$A:$A,0)),"⚠ unknown recipe_id"))</f>
        <v/>
      </c>
      <c r="E2208" s="12" t="str">
        <f aca="false">IF(C2208="","",IFERROR(INDEX('Ingredient Catalog'!$C:$C,MATCH(C2208,'Ingredient Catalog'!$A:$A,0)),"⚠ not in catalog"))</f>
        <v/>
      </c>
      <c r="G2208" s="12" t="str">
        <f aca="false">IF(A2208="","",COUNTIFS('Weekly Log'!$A:$A,'Grocery List'!$B$3,'Weekly Log'!$C:$C,A2208,'Weekly Log'!$E:$E,"Yes"))</f>
        <v/>
      </c>
      <c r="H2208" s="12" t="str">
        <f aca="false">IF(OR(A2208="",D2208=""),"",D2208*G2208)</f>
        <v/>
      </c>
    </row>
    <row r="2209" customFormat="false" ht="15" hidden="false" customHeight="false" outlineLevel="0" collapsed="false">
      <c r="B2209" s="12" t="str">
        <f aca="false">IF(A2209="","",IFERROR(INDEX(Recipes!$B:$B,MATCH(A2209,Recipes!$A:$A,0)),"⚠ unknown recipe_id"))</f>
        <v/>
      </c>
      <c r="E2209" s="12" t="str">
        <f aca="false">IF(C2209="","",IFERROR(INDEX('Ingredient Catalog'!$C:$C,MATCH(C2209,'Ingredient Catalog'!$A:$A,0)),"⚠ not in catalog"))</f>
        <v/>
      </c>
      <c r="G2209" s="12" t="str">
        <f aca="false">IF(A2209="","",COUNTIFS('Weekly Log'!$A:$A,'Grocery List'!$B$3,'Weekly Log'!$C:$C,A2209,'Weekly Log'!$E:$E,"Yes"))</f>
        <v/>
      </c>
      <c r="H2209" s="12" t="str">
        <f aca="false">IF(OR(A2209="",D2209=""),"",D2209*G2209)</f>
        <v/>
      </c>
    </row>
    <row r="2210" customFormat="false" ht="15" hidden="false" customHeight="false" outlineLevel="0" collapsed="false">
      <c r="B2210" s="12" t="str">
        <f aca="false">IF(A2210="","",IFERROR(INDEX(Recipes!$B:$B,MATCH(A2210,Recipes!$A:$A,0)),"⚠ unknown recipe_id"))</f>
        <v/>
      </c>
      <c r="E2210" s="12" t="str">
        <f aca="false">IF(C2210="","",IFERROR(INDEX('Ingredient Catalog'!$C:$C,MATCH(C2210,'Ingredient Catalog'!$A:$A,0)),"⚠ not in catalog"))</f>
        <v/>
      </c>
      <c r="G2210" s="12" t="str">
        <f aca="false">IF(A2210="","",COUNTIFS('Weekly Log'!$A:$A,'Grocery List'!$B$3,'Weekly Log'!$C:$C,A2210,'Weekly Log'!$E:$E,"Yes"))</f>
        <v/>
      </c>
      <c r="H2210" s="12" t="str">
        <f aca="false">IF(OR(A2210="",D2210=""),"",D2210*G2210)</f>
        <v/>
      </c>
    </row>
    <row r="2211" customFormat="false" ht="15" hidden="false" customHeight="false" outlineLevel="0" collapsed="false">
      <c r="B2211" s="12" t="str">
        <f aca="false">IF(A2211="","",IFERROR(INDEX(Recipes!$B:$B,MATCH(A2211,Recipes!$A:$A,0)),"⚠ unknown recipe_id"))</f>
        <v/>
      </c>
      <c r="E2211" s="12" t="str">
        <f aca="false">IF(C2211="","",IFERROR(INDEX('Ingredient Catalog'!$C:$C,MATCH(C2211,'Ingredient Catalog'!$A:$A,0)),"⚠ not in catalog"))</f>
        <v/>
      </c>
      <c r="G2211" s="12" t="str">
        <f aca="false">IF(A2211="","",COUNTIFS('Weekly Log'!$A:$A,'Grocery List'!$B$3,'Weekly Log'!$C:$C,A2211,'Weekly Log'!$E:$E,"Yes"))</f>
        <v/>
      </c>
      <c r="H2211" s="12" t="str">
        <f aca="false">IF(OR(A2211="",D2211=""),"",D2211*G2211)</f>
        <v/>
      </c>
    </row>
    <row r="2212" customFormat="false" ht="15" hidden="false" customHeight="false" outlineLevel="0" collapsed="false">
      <c r="B2212" s="12" t="str">
        <f aca="false">IF(A2212="","",IFERROR(INDEX(Recipes!$B:$B,MATCH(A2212,Recipes!$A:$A,0)),"⚠ unknown recipe_id"))</f>
        <v/>
      </c>
      <c r="E2212" s="12" t="str">
        <f aca="false">IF(C2212="","",IFERROR(INDEX('Ingredient Catalog'!$C:$C,MATCH(C2212,'Ingredient Catalog'!$A:$A,0)),"⚠ not in catalog"))</f>
        <v/>
      </c>
      <c r="G2212" s="12" t="str">
        <f aca="false">IF(A2212="","",COUNTIFS('Weekly Log'!$A:$A,'Grocery List'!$B$3,'Weekly Log'!$C:$C,A2212,'Weekly Log'!$E:$E,"Yes"))</f>
        <v/>
      </c>
      <c r="H2212" s="12" t="str">
        <f aca="false">IF(OR(A2212="",D2212=""),"",D2212*G2212)</f>
        <v/>
      </c>
    </row>
    <row r="2213" customFormat="false" ht="15" hidden="false" customHeight="false" outlineLevel="0" collapsed="false">
      <c r="B2213" s="12" t="str">
        <f aca="false">IF(A2213="","",IFERROR(INDEX(Recipes!$B:$B,MATCH(A2213,Recipes!$A:$A,0)),"⚠ unknown recipe_id"))</f>
        <v/>
      </c>
      <c r="E2213" s="12" t="str">
        <f aca="false">IF(C2213="","",IFERROR(INDEX('Ingredient Catalog'!$C:$C,MATCH(C2213,'Ingredient Catalog'!$A:$A,0)),"⚠ not in catalog"))</f>
        <v/>
      </c>
      <c r="G2213" s="12" t="str">
        <f aca="false">IF(A2213="","",COUNTIFS('Weekly Log'!$A:$A,'Grocery List'!$B$3,'Weekly Log'!$C:$C,A2213,'Weekly Log'!$E:$E,"Yes"))</f>
        <v/>
      </c>
      <c r="H2213" s="12" t="str">
        <f aca="false">IF(OR(A2213="",D2213=""),"",D2213*G2213)</f>
        <v/>
      </c>
    </row>
    <row r="2214" customFormat="false" ht="15" hidden="false" customHeight="false" outlineLevel="0" collapsed="false">
      <c r="B2214" s="12" t="str">
        <f aca="false">IF(A2214="","",IFERROR(INDEX(Recipes!$B:$B,MATCH(A2214,Recipes!$A:$A,0)),"⚠ unknown recipe_id"))</f>
        <v/>
      </c>
      <c r="E2214" s="12" t="str">
        <f aca="false">IF(C2214="","",IFERROR(INDEX('Ingredient Catalog'!$C:$C,MATCH(C2214,'Ingredient Catalog'!$A:$A,0)),"⚠ not in catalog"))</f>
        <v/>
      </c>
      <c r="G2214" s="12" t="str">
        <f aca="false">IF(A2214="","",COUNTIFS('Weekly Log'!$A:$A,'Grocery List'!$B$3,'Weekly Log'!$C:$C,A2214,'Weekly Log'!$E:$E,"Yes"))</f>
        <v/>
      </c>
      <c r="H2214" s="12" t="str">
        <f aca="false">IF(OR(A2214="",D2214=""),"",D2214*G2214)</f>
        <v/>
      </c>
    </row>
    <row r="2215" customFormat="false" ht="15" hidden="false" customHeight="false" outlineLevel="0" collapsed="false">
      <c r="B2215" s="12" t="str">
        <f aca="false">IF(A2215="","",IFERROR(INDEX(Recipes!$B:$B,MATCH(A2215,Recipes!$A:$A,0)),"⚠ unknown recipe_id"))</f>
        <v/>
      </c>
      <c r="E2215" s="12" t="str">
        <f aca="false">IF(C2215="","",IFERROR(INDEX('Ingredient Catalog'!$C:$C,MATCH(C2215,'Ingredient Catalog'!$A:$A,0)),"⚠ not in catalog"))</f>
        <v/>
      </c>
      <c r="G2215" s="12" t="str">
        <f aca="false">IF(A2215="","",COUNTIFS('Weekly Log'!$A:$A,'Grocery List'!$B$3,'Weekly Log'!$C:$C,A2215,'Weekly Log'!$E:$E,"Yes"))</f>
        <v/>
      </c>
      <c r="H2215" s="12" t="str">
        <f aca="false">IF(OR(A2215="",D2215=""),"",D2215*G2215)</f>
        <v/>
      </c>
    </row>
    <row r="2216" customFormat="false" ht="15" hidden="false" customHeight="false" outlineLevel="0" collapsed="false">
      <c r="B2216" s="12" t="str">
        <f aca="false">IF(A2216="","",IFERROR(INDEX(Recipes!$B:$B,MATCH(A2216,Recipes!$A:$A,0)),"⚠ unknown recipe_id"))</f>
        <v/>
      </c>
      <c r="E2216" s="12" t="str">
        <f aca="false">IF(C2216="","",IFERROR(INDEX('Ingredient Catalog'!$C:$C,MATCH(C2216,'Ingredient Catalog'!$A:$A,0)),"⚠ not in catalog"))</f>
        <v/>
      </c>
      <c r="G2216" s="12" t="str">
        <f aca="false">IF(A2216="","",COUNTIFS('Weekly Log'!$A:$A,'Grocery List'!$B$3,'Weekly Log'!$C:$C,A2216,'Weekly Log'!$E:$E,"Yes"))</f>
        <v/>
      </c>
      <c r="H2216" s="12" t="str">
        <f aca="false">IF(OR(A2216="",D2216=""),"",D2216*G2216)</f>
        <v/>
      </c>
    </row>
    <row r="2217" customFormat="false" ht="15" hidden="false" customHeight="false" outlineLevel="0" collapsed="false">
      <c r="B2217" s="12" t="str">
        <f aca="false">IF(A2217="","",IFERROR(INDEX(Recipes!$B:$B,MATCH(A2217,Recipes!$A:$A,0)),"⚠ unknown recipe_id"))</f>
        <v/>
      </c>
      <c r="E2217" s="12" t="str">
        <f aca="false">IF(C2217="","",IFERROR(INDEX('Ingredient Catalog'!$C:$C,MATCH(C2217,'Ingredient Catalog'!$A:$A,0)),"⚠ not in catalog"))</f>
        <v/>
      </c>
      <c r="G2217" s="12" t="str">
        <f aca="false">IF(A2217="","",COUNTIFS('Weekly Log'!$A:$A,'Grocery List'!$B$3,'Weekly Log'!$C:$C,A2217,'Weekly Log'!$E:$E,"Yes"))</f>
        <v/>
      </c>
      <c r="H2217" s="12" t="str">
        <f aca="false">IF(OR(A2217="",D2217=""),"",D2217*G2217)</f>
        <v/>
      </c>
    </row>
    <row r="2218" customFormat="false" ht="15" hidden="false" customHeight="false" outlineLevel="0" collapsed="false">
      <c r="B2218" s="12" t="str">
        <f aca="false">IF(A2218="","",IFERROR(INDEX(Recipes!$B:$B,MATCH(A2218,Recipes!$A:$A,0)),"⚠ unknown recipe_id"))</f>
        <v/>
      </c>
      <c r="E2218" s="12" t="str">
        <f aca="false">IF(C2218="","",IFERROR(INDEX('Ingredient Catalog'!$C:$C,MATCH(C2218,'Ingredient Catalog'!$A:$A,0)),"⚠ not in catalog"))</f>
        <v/>
      </c>
      <c r="G2218" s="12" t="str">
        <f aca="false">IF(A2218="","",COUNTIFS('Weekly Log'!$A:$A,'Grocery List'!$B$3,'Weekly Log'!$C:$C,A2218,'Weekly Log'!$E:$E,"Yes"))</f>
        <v/>
      </c>
      <c r="H2218" s="12" t="str">
        <f aca="false">IF(OR(A2218="",D2218=""),"",D2218*G2218)</f>
        <v/>
      </c>
    </row>
    <row r="2219" customFormat="false" ht="15" hidden="false" customHeight="false" outlineLevel="0" collapsed="false">
      <c r="B2219" s="12" t="str">
        <f aca="false">IF(A2219="","",IFERROR(INDEX(Recipes!$B:$B,MATCH(A2219,Recipes!$A:$A,0)),"⚠ unknown recipe_id"))</f>
        <v/>
      </c>
      <c r="E2219" s="12" t="str">
        <f aca="false">IF(C2219="","",IFERROR(INDEX('Ingredient Catalog'!$C:$C,MATCH(C2219,'Ingredient Catalog'!$A:$A,0)),"⚠ not in catalog"))</f>
        <v/>
      </c>
      <c r="G2219" s="12" t="str">
        <f aca="false">IF(A2219="","",COUNTIFS('Weekly Log'!$A:$A,'Grocery List'!$B$3,'Weekly Log'!$C:$C,A2219,'Weekly Log'!$E:$E,"Yes"))</f>
        <v/>
      </c>
      <c r="H2219" s="12" t="str">
        <f aca="false">IF(OR(A2219="",D2219=""),"",D2219*G2219)</f>
        <v/>
      </c>
    </row>
    <row r="2220" customFormat="false" ht="15" hidden="false" customHeight="false" outlineLevel="0" collapsed="false">
      <c r="B2220" s="12" t="str">
        <f aca="false">IF(A2220="","",IFERROR(INDEX(Recipes!$B:$B,MATCH(A2220,Recipes!$A:$A,0)),"⚠ unknown recipe_id"))</f>
        <v/>
      </c>
      <c r="E2220" s="12" t="str">
        <f aca="false">IF(C2220="","",IFERROR(INDEX('Ingredient Catalog'!$C:$C,MATCH(C2220,'Ingredient Catalog'!$A:$A,0)),"⚠ not in catalog"))</f>
        <v/>
      </c>
      <c r="G2220" s="12" t="str">
        <f aca="false">IF(A2220="","",COUNTIFS('Weekly Log'!$A:$A,'Grocery List'!$B$3,'Weekly Log'!$C:$C,A2220,'Weekly Log'!$E:$E,"Yes"))</f>
        <v/>
      </c>
      <c r="H2220" s="12" t="str">
        <f aca="false">IF(OR(A2220="",D2220=""),"",D2220*G2220)</f>
        <v/>
      </c>
    </row>
    <row r="2221" customFormat="false" ht="15" hidden="false" customHeight="false" outlineLevel="0" collapsed="false">
      <c r="B2221" s="12" t="str">
        <f aca="false">IF(A2221="","",IFERROR(INDEX(Recipes!$B:$B,MATCH(A2221,Recipes!$A:$A,0)),"⚠ unknown recipe_id"))</f>
        <v/>
      </c>
      <c r="E2221" s="12" t="str">
        <f aca="false">IF(C2221="","",IFERROR(INDEX('Ingredient Catalog'!$C:$C,MATCH(C2221,'Ingredient Catalog'!$A:$A,0)),"⚠ not in catalog"))</f>
        <v/>
      </c>
      <c r="G2221" s="12" t="str">
        <f aca="false">IF(A2221="","",COUNTIFS('Weekly Log'!$A:$A,'Grocery List'!$B$3,'Weekly Log'!$C:$C,A2221,'Weekly Log'!$E:$E,"Yes"))</f>
        <v/>
      </c>
      <c r="H2221" s="12" t="str">
        <f aca="false">IF(OR(A2221="",D2221=""),"",D2221*G2221)</f>
        <v/>
      </c>
    </row>
    <row r="2222" customFormat="false" ht="15" hidden="false" customHeight="false" outlineLevel="0" collapsed="false">
      <c r="B2222" s="12" t="str">
        <f aca="false">IF(A2222="","",IFERROR(INDEX(Recipes!$B:$B,MATCH(A2222,Recipes!$A:$A,0)),"⚠ unknown recipe_id"))</f>
        <v/>
      </c>
      <c r="E2222" s="12" t="str">
        <f aca="false">IF(C2222="","",IFERROR(INDEX('Ingredient Catalog'!$C:$C,MATCH(C2222,'Ingredient Catalog'!$A:$A,0)),"⚠ not in catalog"))</f>
        <v/>
      </c>
      <c r="G2222" s="12" t="str">
        <f aca="false">IF(A2222="","",COUNTIFS('Weekly Log'!$A:$A,'Grocery List'!$B$3,'Weekly Log'!$C:$C,A2222,'Weekly Log'!$E:$E,"Yes"))</f>
        <v/>
      </c>
      <c r="H2222" s="12" t="str">
        <f aca="false">IF(OR(A2222="",D2222=""),"",D2222*G2222)</f>
        <v/>
      </c>
    </row>
    <row r="2223" customFormat="false" ht="15" hidden="false" customHeight="false" outlineLevel="0" collapsed="false">
      <c r="B2223" s="12" t="str">
        <f aca="false">IF(A2223="","",IFERROR(INDEX(Recipes!$B:$B,MATCH(A2223,Recipes!$A:$A,0)),"⚠ unknown recipe_id"))</f>
        <v/>
      </c>
      <c r="E2223" s="12" t="str">
        <f aca="false">IF(C2223="","",IFERROR(INDEX('Ingredient Catalog'!$C:$C,MATCH(C2223,'Ingredient Catalog'!$A:$A,0)),"⚠ not in catalog"))</f>
        <v/>
      </c>
      <c r="G2223" s="12" t="str">
        <f aca="false">IF(A2223="","",COUNTIFS('Weekly Log'!$A:$A,'Grocery List'!$B$3,'Weekly Log'!$C:$C,A2223,'Weekly Log'!$E:$E,"Yes"))</f>
        <v/>
      </c>
      <c r="H2223" s="12" t="str">
        <f aca="false">IF(OR(A2223="",D2223=""),"",D2223*G2223)</f>
        <v/>
      </c>
    </row>
    <row r="2224" customFormat="false" ht="15" hidden="false" customHeight="false" outlineLevel="0" collapsed="false">
      <c r="B2224" s="12" t="str">
        <f aca="false">IF(A2224="","",IFERROR(INDEX(Recipes!$B:$B,MATCH(A2224,Recipes!$A:$A,0)),"⚠ unknown recipe_id"))</f>
        <v/>
      </c>
      <c r="E2224" s="12" t="str">
        <f aca="false">IF(C2224="","",IFERROR(INDEX('Ingredient Catalog'!$C:$C,MATCH(C2224,'Ingredient Catalog'!$A:$A,0)),"⚠ not in catalog"))</f>
        <v/>
      </c>
      <c r="G2224" s="12" t="str">
        <f aca="false">IF(A2224="","",COUNTIFS('Weekly Log'!$A:$A,'Grocery List'!$B$3,'Weekly Log'!$C:$C,A2224,'Weekly Log'!$E:$E,"Yes"))</f>
        <v/>
      </c>
      <c r="H2224" s="12" t="str">
        <f aca="false">IF(OR(A2224="",D2224=""),"",D2224*G2224)</f>
        <v/>
      </c>
    </row>
    <row r="2225" customFormat="false" ht="15" hidden="false" customHeight="false" outlineLevel="0" collapsed="false">
      <c r="B2225" s="12" t="str">
        <f aca="false">IF(A2225="","",IFERROR(INDEX(Recipes!$B:$B,MATCH(A2225,Recipes!$A:$A,0)),"⚠ unknown recipe_id"))</f>
        <v/>
      </c>
      <c r="E2225" s="12" t="str">
        <f aca="false">IF(C2225="","",IFERROR(INDEX('Ingredient Catalog'!$C:$C,MATCH(C2225,'Ingredient Catalog'!$A:$A,0)),"⚠ not in catalog"))</f>
        <v/>
      </c>
      <c r="G2225" s="12" t="str">
        <f aca="false">IF(A2225="","",COUNTIFS('Weekly Log'!$A:$A,'Grocery List'!$B$3,'Weekly Log'!$C:$C,A2225,'Weekly Log'!$E:$E,"Yes"))</f>
        <v/>
      </c>
      <c r="H2225" s="12" t="str">
        <f aca="false">IF(OR(A2225="",D2225=""),"",D2225*G2225)</f>
        <v/>
      </c>
    </row>
    <row r="2226" customFormat="false" ht="15" hidden="false" customHeight="false" outlineLevel="0" collapsed="false">
      <c r="B2226" s="12" t="str">
        <f aca="false">IF(A2226="","",IFERROR(INDEX(Recipes!$B:$B,MATCH(A2226,Recipes!$A:$A,0)),"⚠ unknown recipe_id"))</f>
        <v/>
      </c>
      <c r="E2226" s="12" t="str">
        <f aca="false">IF(C2226="","",IFERROR(INDEX('Ingredient Catalog'!$C:$C,MATCH(C2226,'Ingredient Catalog'!$A:$A,0)),"⚠ not in catalog"))</f>
        <v/>
      </c>
      <c r="G2226" s="12" t="str">
        <f aca="false">IF(A2226="","",COUNTIFS('Weekly Log'!$A:$A,'Grocery List'!$B$3,'Weekly Log'!$C:$C,A2226,'Weekly Log'!$E:$E,"Yes"))</f>
        <v/>
      </c>
      <c r="H2226" s="12" t="str">
        <f aca="false">IF(OR(A2226="",D2226=""),"",D2226*G2226)</f>
        <v/>
      </c>
    </row>
    <row r="2227" customFormat="false" ht="15" hidden="false" customHeight="false" outlineLevel="0" collapsed="false">
      <c r="B2227" s="12" t="str">
        <f aca="false">IF(A2227="","",IFERROR(INDEX(Recipes!$B:$B,MATCH(A2227,Recipes!$A:$A,0)),"⚠ unknown recipe_id"))</f>
        <v/>
      </c>
      <c r="E2227" s="12" t="str">
        <f aca="false">IF(C2227="","",IFERROR(INDEX('Ingredient Catalog'!$C:$C,MATCH(C2227,'Ingredient Catalog'!$A:$A,0)),"⚠ not in catalog"))</f>
        <v/>
      </c>
      <c r="G2227" s="12" t="str">
        <f aca="false">IF(A2227="","",COUNTIFS('Weekly Log'!$A:$A,'Grocery List'!$B$3,'Weekly Log'!$C:$C,A2227,'Weekly Log'!$E:$E,"Yes"))</f>
        <v/>
      </c>
      <c r="H2227" s="12" t="str">
        <f aca="false">IF(OR(A2227="",D2227=""),"",D2227*G2227)</f>
        <v/>
      </c>
    </row>
    <row r="2228" customFormat="false" ht="15" hidden="false" customHeight="false" outlineLevel="0" collapsed="false">
      <c r="B2228" s="12" t="str">
        <f aca="false">IF(A2228="","",IFERROR(INDEX(Recipes!$B:$B,MATCH(A2228,Recipes!$A:$A,0)),"⚠ unknown recipe_id"))</f>
        <v/>
      </c>
      <c r="E2228" s="12" t="str">
        <f aca="false">IF(C2228="","",IFERROR(INDEX('Ingredient Catalog'!$C:$C,MATCH(C2228,'Ingredient Catalog'!$A:$A,0)),"⚠ not in catalog"))</f>
        <v/>
      </c>
      <c r="G2228" s="12" t="str">
        <f aca="false">IF(A2228="","",COUNTIFS('Weekly Log'!$A:$A,'Grocery List'!$B$3,'Weekly Log'!$C:$C,A2228,'Weekly Log'!$E:$E,"Yes"))</f>
        <v/>
      </c>
      <c r="H2228" s="12" t="str">
        <f aca="false">IF(OR(A2228="",D2228=""),"",D2228*G2228)</f>
        <v/>
      </c>
    </row>
    <row r="2229" customFormat="false" ht="15" hidden="false" customHeight="false" outlineLevel="0" collapsed="false">
      <c r="B2229" s="12" t="str">
        <f aca="false">IF(A2229="","",IFERROR(INDEX(Recipes!$B:$B,MATCH(A2229,Recipes!$A:$A,0)),"⚠ unknown recipe_id"))</f>
        <v/>
      </c>
      <c r="E2229" s="12" t="str">
        <f aca="false">IF(C2229="","",IFERROR(INDEX('Ingredient Catalog'!$C:$C,MATCH(C2229,'Ingredient Catalog'!$A:$A,0)),"⚠ not in catalog"))</f>
        <v/>
      </c>
      <c r="G2229" s="12" t="str">
        <f aca="false">IF(A2229="","",COUNTIFS('Weekly Log'!$A:$A,'Grocery List'!$B$3,'Weekly Log'!$C:$C,A2229,'Weekly Log'!$E:$E,"Yes"))</f>
        <v/>
      </c>
      <c r="H2229" s="12" t="str">
        <f aca="false">IF(OR(A2229="",D2229=""),"",D2229*G2229)</f>
        <v/>
      </c>
    </row>
    <row r="2230" customFormat="false" ht="15" hidden="false" customHeight="false" outlineLevel="0" collapsed="false">
      <c r="B2230" s="12" t="str">
        <f aca="false">IF(A2230="","",IFERROR(INDEX(Recipes!$B:$B,MATCH(A2230,Recipes!$A:$A,0)),"⚠ unknown recipe_id"))</f>
        <v/>
      </c>
      <c r="E2230" s="12" t="str">
        <f aca="false">IF(C2230="","",IFERROR(INDEX('Ingredient Catalog'!$C:$C,MATCH(C2230,'Ingredient Catalog'!$A:$A,0)),"⚠ not in catalog"))</f>
        <v/>
      </c>
      <c r="G2230" s="12" t="str">
        <f aca="false">IF(A2230="","",COUNTIFS('Weekly Log'!$A:$A,'Grocery List'!$B$3,'Weekly Log'!$C:$C,A2230,'Weekly Log'!$E:$E,"Yes"))</f>
        <v/>
      </c>
      <c r="H2230" s="12" t="str">
        <f aca="false">IF(OR(A2230="",D2230=""),"",D2230*G2230)</f>
        <v/>
      </c>
    </row>
    <row r="2231" customFormat="false" ht="15" hidden="false" customHeight="false" outlineLevel="0" collapsed="false">
      <c r="B2231" s="12" t="str">
        <f aca="false">IF(A2231="","",IFERROR(INDEX(Recipes!$B:$B,MATCH(A2231,Recipes!$A:$A,0)),"⚠ unknown recipe_id"))</f>
        <v/>
      </c>
      <c r="E2231" s="12" t="str">
        <f aca="false">IF(C2231="","",IFERROR(INDEX('Ingredient Catalog'!$C:$C,MATCH(C2231,'Ingredient Catalog'!$A:$A,0)),"⚠ not in catalog"))</f>
        <v/>
      </c>
      <c r="G2231" s="12" t="str">
        <f aca="false">IF(A2231="","",COUNTIFS('Weekly Log'!$A:$A,'Grocery List'!$B$3,'Weekly Log'!$C:$C,A2231,'Weekly Log'!$E:$E,"Yes"))</f>
        <v/>
      </c>
      <c r="H2231" s="12" t="str">
        <f aca="false">IF(OR(A2231="",D2231=""),"",D2231*G2231)</f>
        <v/>
      </c>
    </row>
    <row r="2232" customFormat="false" ht="15" hidden="false" customHeight="false" outlineLevel="0" collapsed="false">
      <c r="B2232" s="12" t="str">
        <f aca="false">IF(A2232="","",IFERROR(INDEX(Recipes!$B:$B,MATCH(A2232,Recipes!$A:$A,0)),"⚠ unknown recipe_id"))</f>
        <v/>
      </c>
      <c r="E2232" s="12" t="str">
        <f aca="false">IF(C2232="","",IFERROR(INDEX('Ingredient Catalog'!$C:$C,MATCH(C2232,'Ingredient Catalog'!$A:$A,0)),"⚠ not in catalog"))</f>
        <v/>
      </c>
      <c r="G2232" s="12" t="str">
        <f aca="false">IF(A2232="","",COUNTIFS('Weekly Log'!$A:$A,'Grocery List'!$B$3,'Weekly Log'!$C:$C,A2232,'Weekly Log'!$E:$E,"Yes"))</f>
        <v/>
      </c>
      <c r="H2232" s="12" t="str">
        <f aca="false">IF(OR(A2232="",D2232=""),"",D2232*G2232)</f>
        <v/>
      </c>
    </row>
    <row r="2233" customFormat="false" ht="15" hidden="false" customHeight="false" outlineLevel="0" collapsed="false">
      <c r="B2233" s="12" t="str">
        <f aca="false">IF(A2233="","",IFERROR(INDEX(Recipes!$B:$B,MATCH(A2233,Recipes!$A:$A,0)),"⚠ unknown recipe_id"))</f>
        <v/>
      </c>
      <c r="E2233" s="12" t="str">
        <f aca="false">IF(C2233="","",IFERROR(INDEX('Ingredient Catalog'!$C:$C,MATCH(C2233,'Ingredient Catalog'!$A:$A,0)),"⚠ not in catalog"))</f>
        <v/>
      </c>
      <c r="G2233" s="12" t="str">
        <f aca="false">IF(A2233="","",COUNTIFS('Weekly Log'!$A:$A,'Grocery List'!$B$3,'Weekly Log'!$C:$C,A2233,'Weekly Log'!$E:$E,"Yes"))</f>
        <v/>
      </c>
      <c r="H2233" s="12" t="str">
        <f aca="false">IF(OR(A2233="",D2233=""),"",D2233*G2233)</f>
        <v/>
      </c>
    </row>
    <row r="2234" customFormat="false" ht="15" hidden="false" customHeight="false" outlineLevel="0" collapsed="false">
      <c r="B2234" s="12" t="str">
        <f aca="false">IF(A2234="","",IFERROR(INDEX(Recipes!$B:$B,MATCH(A2234,Recipes!$A:$A,0)),"⚠ unknown recipe_id"))</f>
        <v/>
      </c>
      <c r="E2234" s="12" t="str">
        <f aca="false">IF(C2234="","",IFERROR(INDEX('Ingredient Catalog'!$C:$C,MATCH(C2234,'Ingredient Catalog'!$A:$A,0)),"⚠ not in catalog"))</f>
        <v/>
      </c>
      <c r="G2234" s="12" t="str">
        <f aca="false">IF(A2234="","",COUNTIFS('Weekly Log'!$A:$A,'Grocery List'!$B$3,'Weekly Log'!$C:$C,A2234,'Weekly Log'!$E:$E,"Yes"))</f>
        <v/>
      </c>
      <c r="H2234" s="12" t="str">
        <f aca="false">IF(OR(A2234="",D2234=""),"",D2234*G2234)</f>
        <v/>
      </c>
    </row>
    <row r="2235" customFormat="false" ht="15" hidden="false" customHeight="false" outlineLevel="0" collapsed="false">
      <c r="B2235" s="12" t="str">
        <f aca="false">IF(A2235="","",IFERROR(INDEX(Recipes!$B:$B,MATCH(A2235,Recipes!$A:$A,0)),"⚠ unknown recipe_id"))</f>
        <v/>
      </c>
      <c r="E2235" s="12" t="str">
        <f aca="false">IF(C2235="","",IFERROR(INDEX('Ingredient Catalog'!$C:$C,MATCH(C2235,'Ingredient Catalog'!$A:$A,0)),"⚠ not in catalog"))</f>
        <v/>
      </c>
      <c r="G2235" s="12" t="str">
        <f aca="false">IF(A2235="","",COUNTIFS('Weekly Log'!$A:$A,'Grocery List'!$B$3,'Weekly Log'!$C:$C,A2235,'Weekly Log'!$E:$E,"Yes"))</f>
        <v/>
      </c>
      <c r="H2235" s="12" t="str">
        <f aca="false">IF(OR(A2235="",D2235=""),"",D2235*G2235)</f>
        <v/>
      </c>
    </row>
    <row r="2236" customFormat="false" ht="15" hidden="false" customHeight="false" outlineLevel="0" collapsed="false">
      <c r="B2236" s="12" t="str">
        <f aca="false">IF(A2236="","",IFERROR(INDEX(Recipes!$B:$B,MATCH(A2236,Recipes!$A:$A,0)),"⚠ unknown recipe_id"))</f>
        <v/>
      </c>
      <c r="E2236" s="12" t="str">
        <f aca="false">IF(C2236="","",IFERROR(INDEX('Ingredient Catalog'!$C:$C,MATCH(C2236,'Ingredient Catalog'!$A:$A,0)),"⚠ not in catalog"))</f>
        <v/>
      </c>
      <c r="G2236" s="12" t="str">
        <f aca="false">IF(A2236="","",COUNTIFS('Weekly Log'!$A:$A,'Grocery List'!$B$3,'Weekly Log'!$C:$C,A2236,'Weekly Log'!$E:$E,"Yes"))</f>
        <v/>
      </c>
      <c r="H2236" s="12" t="str">
        <f aca="false">IF(OR(A2236="",D2236=""),"",D2236*G2236)</f>
        <v/>
      </c>
    </row>
    <row r="2237" customFormat="false" ht="15" hidden="false" customHeight="false" outlineLevel="0" collapsed="false">
      <c r="B2237" s="12" t="str">
        <f aca="false">IF(A2237="","",IFERROR(INDEX(Recipes!$B:$B,MATCH(A2237,Recipes!$A:$A,0)),"⚠ unknown recipe_id"))</f>
        <v/>
      </c>
      <c r="E2237" s="12" t="str">
        <f aca="false">IF(C2237="","",IFERROR(INDEX('Ingredient Catalog'!$C:$C,MATCH(C2237,'Ingredient Catalog'!$A:$A,0)),"⚠ not in catalog"))</f>
        <v/>
      </c>
      <c r="G2237" s="12" t="str">
        <f aca="false">IF(A2237="","",COUNTIFS('Weekly Log'!$A:$A,'Grocery List'!$B$3,'Weekly Log'!$C:$C,A2237,'Weekly Log'!$E:$E,"Yes"))</f>
        <v/>
      </c>
      <c r="H2237" s="12" t="str">
        <f aca="false">IF(OR(A2237="",D2237=""),"",D2237*G2237)</f>
        <v/>
      </c>
    </row>
    <row r="2238" customFormat="false" ht="15" hidden="false" customHeight="false" outlineLevel="0" collapsed="false">
      <c r="B2238" s="12" t="str">
        <f aca="false">IF(A2238="","",IFERROR(INDEX(Recipes!$B:$B,MATCH(A2238,Recipes!$A:$A,0)),"⚠ unknown recipe_id"))</f>
        <v/>
      </c>
      <c r="E2238" s="12" t="str">
        <f aca="false">IF(C2238="","",IFERROR(INDEX('Ingredient Catalog'!$C:$C,MATCH(C2238,'Ingredient Catalog'!$A:$A,0)),"⚠ not in catalog"))</f>
        <v/>
      </c>
      <c r="G2238" s="12" t="str">
        <f aca="false">IF(A2238="","",COUNTIFS('Weekly Log'!$A:$A,'Grocery List'!$B$3,'Weekly Log'!$C:$C,A2238,'Weekly Log'!$E:$E,"Yes"))</f>
        <v/>
      </c>
      <c r="H2238" s="12" t="str">
        <f aca="false">IF(OR(A2238="",D2238=""),"",D2238*G2238)</f>
        <v/>
      </c>
    </row>
    <row r="2239" customFormat="false" ht="15" hidden="false" customHeight="false" outlineLevel="0" collapsed="false">
      <c r="B2239" s="12" t="str">
        <f aca="false">IF(A2239="","",IFERROR(INDEX(Recipes!$B:$B,MATCH(A2239,Recipes!$A:$A,0)),"⚠ unknown recipe_id"))</f>
        <v/>
      </c>
      <c r="E2239" s="12" t="str">
        <f aca="false">IF(C2239="","",IFERROR(INDEX('Ingredient Catalog'!$C:$C,MATCH(C2239,'Ingredient Catalog'!$A:$A,0)),"⚠ not in catalog"))</f>
        <v/>
      </c>
      <c r="G2239" s="12" t="str">
        <f aca="false">IF(A2239="","",COUNTIFS('Weekly Log'!$A:$A,'Grocery List'!$B$3,'Weekly Log'!$C:$C,A2239,'Weekly Log'!$E:$E,"Yes"))</f>
        <v/>
      </c>
      <c r="H2239" s="12" t="str">
        <f aca="false">IF(OR(A2239="",D2239=""),"",D2239*G2239)</f>
        <v/>
      </c>
    </row>
    <row r="2240" customFormat="false" ht="15" hidden="false" customHeight="false" outlineLevel="0" collapsed="false">
      <c r="B2240" s="12" t="str">
        <f aca="false">IF(A2240="","",IFERROR(INDEX(Recipes!$B:$B,MATCH(A2240,Recipes!$A:$A,0)),"⚠ unknown recipe_id"))</f>
        <v/>
      </c>
      <c r="E2240" s="12" t="str">
        <f aca="false">IF(C2240="","",IFERROR(INDEX('Ingredient Catalog'!$C:$C,MATCH(C2240,'Ingredient Catalog'!$A:$A,0)),"⚠ not in catalog"))</f>
        <v/>
      </c>
      <c r="G2240" s="12" t="str">
        <f aca="false">IF(A2240="","",COUNTIFS('Weekly Log'!$A:$A,'Grocery List'!$B$3,'Weekly Log'!$C:$C,A2240,'Weekly Log'!$E:$E,"Yes"))</f>
        <v/>
      </c>
      <c r="H2240" s="12" t="str">
        <f aca="false">IF(OR(A2240="",D2240=""),"",D2240*G2240)</f>
        <v/>
      </c>
    </row>
    <row r="2241" customFormat="false" ht="15" hidden="false" customHeight="false" outlineLevel="0" collapsed="false">
      <c r="B2241" s="12" t="str">
        <f aca="false">IF(A2241="","",IFERROR(INDEX(Recipes!$B:$B,MATCH(A2241,Recipes!$A:$A,0)),"⚠ unknown recipe_id"))</f>
        <v/>
      </c>
      <c r="E2241" s="12" t="str">
        <f aca="false">IF(C2241="","",IFERROR(INDEX('Ingredient Catalog'!$C:$C,MATCH(C2241,'Ingredient Catalog'!$A:$A,0)),"⚠ not in catalog"))</f>
        <v/>
      </c>
      <c r="G2241" s="12" t="str">
        <f aca="false">IF(A2241="","",COUNTIFS('Weekly Log'!$A:$A,'Grocery List'!$B$3,'Weekly Log'!$C:$C,A2241,'Weekly Log'!$E:$E,"Yes"))</f>
        <v/>
      </c>
      <c r="H2241" s="12" t="str">
        <f aca="false">IF(OR(A2241="",D2241=""),"",D2241*G2241)</f>
        <v/>
      </c>
    </row>
    <row r="2242" customFormat="false" ht="15" hidden="false" customHeight="false" outlineLevel="0" collapsed="false">
      <c r="B2242" s="12" t="str">
        <f aca="false">IF(A2242="","",IFERROR(INDEX(Recipes!$B:$B,MATCH(A2242,Recipes!$A:$A,0)),"⚠ unknown recipe_id"))</f>
        <v/>
      </c>
      <c r="E2242" s="12" t="str">
        <f aca="false">IF(C2242="","",IFERROR(INDEX('Ingredient Catalog'!$C:$C,MATCH(C2242,'Ingredient Catalog'!$A:$A,0)),"⚠ not in catalog"))</f>
        <v/>
      </c>
      <c r="G2242" s="12" t="str">
        <f aca="false">IF(A2242="","",COUNTIFS('Weekly Log'!$A:$A,'Grocery List'!$B$3,'Weekly Log'!$C:$C,A2242,'Weekly Log'!$E:$E,"Yes"))</f>
        <v/>
      </c>
      <c r="H2242" s="12" t="str">
        <f aca="false">IF(OR(A2242="",D2242=""),"",D2242*G2242)</f>
        <v/>
      </c>
    </row>
    <row r="2243" customFormat="false" ht="15" hidden="false" customHeight="false" outlineLevel="0" collapsed="false">
      <c r="B2243" s="12" t="str">
        <f aca="false">IF(A2243="","",IFERROR(INDEX(Recipes!$B:$B,MATCH(A2243,Recipes!$A:$A,0)),"⚠ unknown recipe_id"))</f>
        <v/>
      </c>
      <c r="E2243" s="12" t="str">
        <f aca="false">IF(C2243="","",IFERROR(INDEX('Ingredient Catalog'!$C:$C,MATCH(C2243,'Ingredient Catalog'!$A:$A,0)),"⚠ not in catalog"))</f>
        <v/>
      </c>
      <c r="G2243" s="12" t="str">
        <f aca="false">IF(A2243="","",COUNTIFS('Weekly Log'!$A:$A,'Grocery List'!$B$3,'Weekly Log'!$C:$C,A2243,'Weekly Log'!$E:$E,"Yes"))</f>
        <v/>
      </c>
      <c r="H2243" s="12" t="str">
        <f aca="false">IF(OR(A2243="",D2243=""),"",D2243*G2243)</f>
        <v/>
      </c>
    </row>
    <row r="2244" customFormat="false" ht="15" hidden="false" customHeight="false" outlineLevel="0" collapsed="false">
      <c r="B2244" s="12" t="str">
        <f aca="false">IF(A2244="","",IFERROR(INDEX(Recipes!$B:$B,MATCH(A2244,Recipes!$A:$A,0)),"⚠ unknown recipe_id"))</f>
        <v/>
      </c>
      <c r="E2244" s="12" t="str">
        <f aca="false">IF(C2244="","",IFERROR(INDEX('Ingredient Catalog'!$C:$C,MATCH(C2244,'Ingredient Catalog'!$A:$A,0)),"⚠ not in catalog"))</f>
        <v/>
      </c>
      <c r="G2244" s="12" t="str">
        <f aca="false">IF(A2244="","",COUNTIFS('Weekly Log'!$A:$A,'Grocery List'!$B$3,'Weekly Log'!$C:$C,A2244,'Weekly Log'!$E:$E,"Yes"))</f>
        <v/>
      </c>
      <c r="H2244" s="12" t="str">
        <f aca="false">IF(OR(A2244="",D2244=""),"",D2244*G2244)</f>
        <v/>
      </c>
    </row>
    <row r="2245" customFormat="false" ht="15" hidden="false" customHeight="false" outlineLevel="0" collapsed="false">
      <c r="B2245" s="12" t="str">
        <f aca="false">IF(A2245="","",IFERROR(INDEX(Recipes!$B:$B,MATCH(A2245,Recipes!$A:$A,0)),"⚠ unknown recipe_id"))</f>
        <v/>
      </c>
      <c r="E2245" s="12" t="str">
        <f aca="false">IF(C2245="","",IFERROR(INDEX('Ingredient Catalog'!$C:$C,MATCH(C2245,'Ingredient Catalog'!$A:$A,0)),"⚠ not in catalog"))</f>
        <v/>
      </c>
      <c r="G2245" s="12" t="str">
        <f aca="false">IF(A2245="","",COUNTIFS('Weekly Log'!$A:$A,'Grocery List'!$B$3,'Weekly Log'!$C:$C,A2245,'Weekly Log'!$E:$E,"Yes"))</f>
        <v/>
      </c>
      <c r="H2245" s="12" t="str">
        <f aca="false">IF(OR(A2245="",D2245=""),"",D2245*G2245)</f>
        <v/>
      </c>
    </row>
    <row r="2246" customFormat="false" ht="15" hidden="false" customHeight="false" outlineLevel="0" collapsed="false">
      <c r="B2246" s="12" t="str">
        <f aca="false">IF(A2246="","",IFERROR(INDEX(Recipes!$B:$B,MATCH(A2246,Recipes!$A:$A,0)),"⚠ unknown recipe_id"))</f>
        <v/>
      </c>
      <c r="E2246" s="12" t="str">
        <f aca="false">IF(C2246="","",IFERROR(INDEX('Ingredient Catalog'!$C:$C,MATCH(C2246,'Ingredient Catalog'!$A:$A,0)),"⚠ not in catalog"))</f>
        <v/>
      </c>
      <c r="G2246" s="12" t="str">
        <f aca="false">IF(A2246="","",COUNTIFS('Weekly Log'!$A:$A,'Grocery List'!$B$3,'Weekly Log'!$C:$C,A2246,'Weekly Log'!$E:$E,"Yes"))</f>
        <v/>
      </c>
      <c r="H2246" s="12" t="str">
        <f aca="false">IF(OR(A2246="",D2246=""),"",D2246*G2246)</f>
        <v/>
      </c>
    </row>
    <row r="2247" customFormat="false" ht="15" hidden="false" customHeight="false" outlineLevel="0" collapsed="false">
      <c r="B2247" s="12" t="str">
        <f aca="false">IF(A2247="","",IFERROR(INDEX(Recipes!$B:$B,MATCH(A2247,Recipes!$A:$A,0)),"⚠ unknown recipe_id"))</f>
        <v/>
      </c>
      <c r="E2247" s="12" t="str">
        <f aca="false">IF(C2247="","",IFERROR(INDEX('Ingredient Catalog'!$C:$C,MATCH(C2247,'Ingredient Catalog'!$A:$A,0)),"⚠ not in catalog"))</f>
        <v/>
      </c>
      <c r="G2247" s="12" t="str">
        <f aca="false">IF(A2247="","",COUNTIFS('Weekly Log'!$A:$A,'Grocery List'!$B$3,'Weekly Log'!$C:$C,A2247,'Weekly Log'!$E:$E,"Yes"))</f>
        <v/>
      </c>
      <c r="H2247" s="12" t="str">
        <f aca="false">IF(OR(A2247="",D2247=""),"",D2247*G2247)</f>
        <v/>
      </c>
    </row>
    <row r="2248" customFormat="false" ht="15" hidden="false" customHeight="false" outlineLevel="0" collapsed="false">
      <c r="B2248" s="12" t="str">
        <f aca="false">IF(A2248="","",IFERROR(INDEX(Recipes!$B:$B,MATCH(A2248,Recipes!$A:$A,0)),"⚠ unknown recipe_id"))</f>
        <v/>
      </c>
      <c r="E2248" s="12" t="str">
        <f aca="false">IF(C2248="","",IFERROR(INDEX('Ingredient Catalog'!$C:$C,MATCH(C2248,'Ingredient Catalog'!$A:$A,0)),"⚠ not in catalog"))</f>
        <v/>
      </c>
      <c r="G2248" s="12" t="str">
        <f aca="false">IF(A2248="","",COUNTIFS('Weekly Log'!$A:$A,'Grocery List'!$B$3,'Weekly Log'!$C:$C,A2248,'Weekly Log'!$E:$E,"Yes"))</f>
        <v/>
      </c>
      <c r="H2248" s="12" t="str">
        <f aca="false">IF(OR(A2248="",D2248=""),"",D2248*G2248)</f>
        <v/>
      </c>
    </row>
    <row r="2249" customFormat="false" ht="15" hidden="false" customHeight="false" outlineLevel="0" collapsed="false">
      <c r="B2249" s="12" t="str">
        <f aca="false">IF(A2249="","",IFERROR(INDEX(Recipes!$B:$B,MATCH(A2249,Recipes!$A:$A,0)),"⚠ unknown recipe_id"))</f>
        <v/>
      </c>
      <c r="E2249" s="12" t="str">
        <f aca="false">IF(C2249="","",IFERROR(INDEX('Ingredient Catalog'!$C:$C,MATCH(C2249,'Ingredient Catalog'!$A:$A,0)),"⚠ not in catalog"))</f>
        <v/>
      </c>
      <c r="G2249" s="12" t="str">
        <f aca="false">IF(A2249="","",COUNTIFS('Weekly Log'!$A:$A,'Grocery List'!$B$3,'Weekly Log'!$C:$C,A2249,'Weekly Log'!$E:$E,"Yes"))</f>
        <v/>
      </c>
      <c r="H2249" s="12" t="str">
        <f aca="false">IF(OR(A2249="",D2249=""),"",D2249*G2249)</f>
        <v/>
      </c>
    </row>
    <row r="2250" customFormat="false" ht="15" hidden="false" customHeight="false" outlineLevel="0" collapsed="false">
      <c r="B2250" s="12" t="str">
        <f aca="false">IF(A2250="","",IFERROR(INDEX(Recipes!$B:$B,MATCH(A2250,Recipes!$A:$A,0)),"⚠ unknown recipe_id"))</f>
        <v/>
      </c>
      <c r="E2250" s="12" t="str">
        <f aca="false">IF(C2250="","",IFERROR(INDEX('Ingredient Catalog'!$C:$C,MATCH(C2250,'Ingredient Catalog'!$A:$A,0)),"⚠ not in catalog"))</f>
        <v/>
      </c>
      <c r="G2250" s="12" t="str">
        <f aca="false">IF(A2250="","",COUNTIFS('Weekly Log'!$A:$A,'Grocery List'!$B$3,'Weekly Log'!$C:$C,A2250,'Weekly Log'!$E:$E,"Yes"))</f>
        <v/>
      </c>
      <c r="H2250" s="12" t="str">
        <f aca="false">IF(OR(A2250="",D2250=""),"",D2250*G2250)</f>
        <v/>
      </c>
    </row>
    <row r="2251" customFormat="false" ht="15" hidden="false" customHeight="false" outlineLevel="0" collapsed="false">
      <c r="B2251" s="12" t="str">
        <f aca="false">IF(A2251="","",IFERROR(INDEX(Recipes!$B:$B,MATCH(A2251,Recipes!$A:$A,0)),"⚠ unknown recipe_id"))</f>
        <v/>
      </c>
      <c r="E2251" s="12" t="str">
        <f aca="false">IF(C2251="","",IFERROR(INDEX('Ingredient Catalog'!$C:$C,MATCH(C2251,'Ingredient Catalog'!$A:$A,0)),"⚠ not in catalog"))</f>
        <v/>
      </c>
      <c r="G2251" s="12" t="str">
        <f aca="false">IF(A2251="","",COUNTIFS('Weekly Log'!$A:$A,'Grocery List'!$B$3,'Weekly Log'!$C:$C,A2251,'Weekly Log'!$E:$E,"Yes"))</f>
        <v/>
      </c>
      <c r="H2251" s="12" t="str">
        <f aca="false">IF(OR(A2251="",D2251=""),"",D2251*G2251)</f>
        <v/>
      </c>
    </row>
    <row r="2252" customFormat="false" ht="15" hidden="false" customHeight="false" outlineLevel="0" collapsed="false">
      <c r="B2252" s="12" t="str">
        <f aca="false">IF(A2252="","",IFERROR(INDEX(Recipes!$B:$B,MATCH(A2252,Recipes!$A:$A,0)),"⚠ unknown recipe_id"))</f>
        <v/>
      </c>
      <c r="E2252" s="12" t="str">
        <f aca="false">IF(C2252="","",IFERROR(INDEX('Ingredient Catalog'!$C:$C,MATCH(C2252,'Ingredient Catalog'!$A:$A,0)),"⚠ not in catalog"))</f>
        <v/>
      </c>
      <c r="G2252" s="12" t="str">
        <f aca="false">IF(A2252="","",COUNTIFS('Weekly Log'!$A:$A,'Grocery List'!$B$3,'Weekly Log'!$C:$C,A2252,'Weekly Log'!$E:$E,"Yes"))</f>
        <v/>
      </c>
      <c r="H2252" s="12" t="str">
        <f aca="false">IF(OR(A2252="",D2252=""),"",D2252*G2252)</f>
        <v/>
      </c>
    </row>
    <row r="2253" customFormat="false" ht="15" hidden="false" customHeight="false" outlineLevel="0" collapsed="false">
      <c r="B2253" s="12" t="str">
        <f aca="false">IF(A2253="","",IFERROR(INDEX(Recipes!$B:$B,MATCH(A2253,Recipes!$A:$A,0)),"⚠ unknown recipe_id"))</f>
        <v/>
      </c>
      <c r="E2253" s="12" t="str">
        <f aca="false">IF(C2253="","",IFERROR(INDEX('Ingredient Catalog'!$C:$C,MATCH(C2253,'Ingredient Catalog'!$A:$A,0)),"⚠ not in catalog"))</f>
        <v/>
      </c>
      <c r="G2253" s="12" t="str">
        <f aca="false">IF(A2253="","",COUNTIFS('Weekly Log'!$A:$A,'Grocery List'!$B$3,'Weekly Log'!$C:$C,A2253,'Weekly Log'!$E:$E,"Yes"))</f>
        <v/>
      </c>
      <c r="H2253" s="12" t="str">
        <f aca="false">IF(OR(A2253="",D2253=""),"",D2253*G2253)</f>
        <v/>
      </c>
    </row>
    <row r="2254" customFormat="false" ht="15" hidden="false" customHeight="false" outlineLevel="0" collapsed="false">
      <c r="B2254" s="12" t="str">
        <f aca="false">IF(A2254="","",IFERROR(INDEX(Recipes!$B:$B,MATCH(A2254,Recipes!$A:$A,0)),"⚠ unknown recipe_id"))</f>
        <v/>
      </c>
      <c r="E2254" s="12" t="str">
        <f aca="false">IF(C2254="","",IFERROR(INDEX('Ingredient Catalog'!$C:$C,MATCH(C2254,'Ingredient Catalog'!$A:$A,0)),"⚠ not in catalog"))</f>
        <v/>
      </c>
      <c r="G2254" s="12" t="str">
        <f aca="false">IF(A2254="","",COUNTIFS('Weekly Log'!$A:$A,'Grocery List'!$B$3,'Weekly Log'!$C:$C,A2254,'Weekly Log'!$E:$E,"Yes"))</f>
        <v/>
      </c>
      <c r="H2254" s="12" t="str">
        <f aca="false">IF(OR(A2254="",D2254=""),"",D2254*G2254)</f>
        <v/>
      </c>
    </row>
    <row r="2255" customFormat="false" ht="15" hidden="false" customHeight="false" outlineLevel="0" collapsed="false">
      <c r="B2255" s="12" t="str">
        <f aca="false">IF(A2255="","",IFERROR(INDEX(Recipes!$B:$B,MATCH(A2255,Recipes!$A:$A,0)),"⚠ unknown recipe_id"))</f>
        <v/>
      </c>
      <c r="E2255" s="12" t="str">
        <f aca="false">IF(C2255="","",IFERROR(INDEX('Ingredient Catalog'!$C:$C,MATCH(C2255,'Ingredient Catalog'!$A:$A,0)),"⚠ not in catalog"))</f>
        <v/>
      </c>
      <c r="G2255" s="12" t="str">
        <f aca="false">IF(A2255="","",COUNTIFS('Weekly Log'!$A:$A,'Grocery List'!$B$3,'Weekly Log'!$C:$C,A2255,'Weekly Log'!$E:$E,"Yes"))</f>
        <v/>
      </c>
      <c r="H2255" s="12" t="str">
        <f aca="false">IF(OR(A2255="",D2255=""),"",D2255*G2255)</f>
        <v/>
      </c>
    </row>
    <row r="2256" customFormat="false" ht="15" hidden="false" customHeight="false" outlineLevel="0" collapsed="false">
      <c r="B2256" s="12" t="str">
        <f aca="false">IF(A2256="","",IFERROR(INDEX(Recipes!$B:$B,MATCH(A2256,Recipes!$A:$A,0)),"⚠ unknown recipe_id"))</f>
        <v/>
      </c>
      <c r="E2256" s="12" t="str">
        <f aca="false">IF(C2256="","",IFERROR(INDEX('Ingredient Catalog'!$C:$C,MATCH(C2256,'Ingredient Catalog'!$A:$A,0)),"⚠ not in catalog"))</f>
        <v/>
      </c>
      <c r="G2256" s="12" t="str">
        <f aca="false">IF(A2256="","",COUNTIFS('Weekly Log'!$A:$A,'Grocery List'!$B$3,'Weekly Log'!$C:$C,A2256,'Weekly Log'!$E:$E,"Yes"))</f>
        <v/>
      </c>
      <c r="H2256" s="12" t="str">
        <f aca="false">IF(OR(A2256="",D2256=""),"",D2256*G2256)</f>
        <v/>
      </c>
    </row>
    <row r="2257" customFormat="false" ht="15" hidden="false" customHeight="false" outlineLevel="0" collapsed="false">
      <c r="B2257" s="12" t="str">
        <f aca="false">IF(A2257="","",IFERROR(INDEX(Recipes!$B:$B,MATCH(A2257,Recipes!$A:$A,0)),"⚠ unknown recipe_id"))</f>
        <v/>
      </c>
      <c r="E2257" s="12" t="str">
        <f aca="false">IF(C2257="","",IFERROR(INDEX('Ingredient Catalog'!$C:$C,MATCH(C2257,'Ingredient Catalog'!$A:$A,0)),"⚠ not in catalog"))</f>
        <v/>
      </c>
      <c r="G2257" s="12" t="str">
        <f aca="false">IF(A2257="","",COUNTIFS('Weekly Log'!$A:$A,'Grocery List'!$B$3,'Weekly Log'!$C:$C,A2257,'Weekly Log'!$E:$E,"Yes"))</f>
        <v/>
      </c>
      <c r="H2257" s="12" t="str">
        <f aca="false">IF(OR(A2257="",D2257=""),"",D2257*G2257)</f>
        <v/>
      </c>
    </row>
    <row r="2258" customFormat="false" ht="15" hidden="false" customHeight="false" outlineLevel="0" collapsed="false">
      <c r="B2258" s="12" t="str">
        <f aca="false">IF(A2258="","",IFERROR(INDEX(Recipes!$B:$B,MATCH(A2258,Recipes!$A:$A,0)),"⚠ unknown recipe_id"))</f>
        <v/>
      </c>
      <c r="E2258" s="12" t="str">
        <f aca="false">IF(C2258="","",IFERROR(INDEX('Ingredient Catalog'!$C:$C,MATCH(C2258,'Ingredient Catalog'!$A:$A,0)),"⚠ not in catalog"))</f>
        <v/>
      </c>
      <c r="G2258" s="12" t="str">
        <f aca="false">IF(A2258="","",COUNTIFS('Weekly Log'!$A:$A,'Grocery List'!$B$3,'Weekly Log'!$C:$C,A2258,'Weekly Log'!$E:$E,"Yes"))</f>
        <v/>
      </c>
      <c r="H2258" s="12" t="str">
        <f aca="false">IF(OR(A2258="",D2258=""),"",D2258*G2258)</f>
        <v/>
      </c>
    </row>
    <row r="2259" customFormat="false" ht="15" hidden="false" customHeight="false" outlineLevel="0" collapsed="false">
      <c r="B2259" s="12" t="str">
        <f aca="false">IF(A2259="","",IFERROR(INDEX(Recipes!$B:$B,MATCH(A2259,Recipes!$A:$A,0)),"⚠ unknown recipe_id"))</f>
        <v/>
      </c>
      <c r="E2259" s="12" t="str">
        <f aca="false">IF(C2259="","",IFERROR(INDEX('Ingredient Catalog'!$C:$C,MATCH(C2259,'Ingredient Catalog'!$A:$A,0)),"⚠ not in catalog"))</f>
        <v/>
      </c>
      <c r="G2259" s="12" t="str">
        <f aca="false">IF(A2259="","",COUNTIFS('Weekly Log'!$A:$A,'Grocery List'!$B$3,'Weekly Log'!$C:$C,A2259,'Weekly Log'!$E:$E,"Yes"))</f>
        <v/>
      </c>
      <c r="H2259" s="12" t="str">
        <f aca="false">IF(OR(A2259="",D2259=""),"",D2259*G2259)</f>
        <v/>
      </c>
    </row>
    <row r="2260" customFormat="false" ht="15" hidden="false" customHeight="false" outlineLevel="0" collapsed="false">
      <c r="B2260" s="12" t="str">
        <f aca="false">IF(A2260="","",IFERROR(INDEX(Recipes!$B:$B,MATCH(A2260,Recipes!$A:$A,0)),"⚠ unknown recipe_id"))</f>
        <v/>
      </c>
      <c r="E2260" s="12" t="str">
        <f aca="false">IF(C2260="","",IFERROR(INDEX('Ingredient Catalog'!$C:$C,MATCH(C2260,'Ingredient Catalog'!$A:$A,0)),"⚠ not in catalog"))</f>
        <v/>
      </c>
      <c r="G2260" s="12" t="str">
        <f aca="false">IF(A2260="","",COUNTIFS('Weekly Log'!$A:$A,'Grocery List'!$B$3,'Weekly Log'!$C:$C,A2260,'Weekly Log'!$E:$E,"Yes"))</f>
        <v/>
      </c>
      <c r="H2260" s="12" t="str">
        <f aca="false">IF(OR(A2260="",D2260=""),"",D2260*G2260)</f>
        <v/>
      </c>
    </row>
    <row r="2261" customFormat="false" ht="15" hidden="false" customHeight="false" outlineLevel="0" collapsed="false">
      <c r="B2261" s="12" t="str">
        <f aca="false">IF(A2261="","",IFERROR(INDEX(Recipes!$B:$B,MATCH(A2261,Recipes!$A:$A,0)),"⚠ unknown recipe_id"))</f>
        <v/>
      </c>
      <c r="E2261" s="12" t="str">
        <f aca="false">IF(C2261="","",IFERROR(INDEX('Ingredient Catalog'!$C:$C,MATCH(C2261,'Ingredient Catalog'!$A:$A,0)),"⚠ not in catalog"))</f>
        <v/>
      </c>
      <c r="G2261" s="12" t="str">
        <f aca="false">IF(A2261="","",COUNTIFS('Weekly Log'!$A:$A,'Grocery List'!$B$3,'Weekly Log'!$C:$C,A2261,'Weekly Log'!$E:$E,"Yes"))</f>
        <v/>
      </c>
      <c r="H2261" s="12" t="str">
        <f aca="false">IF(OR(A2261="",D2261=""),"",D2261*G2261)</f>
        <v/>
      </c>
    </row>
    <row r="2262" customFormat="false" ht="15" hidden="false" customHeight="false" outlineLevel="0" collapsed="false">
      <c r="B2262" s="12" t="str">
        <f aca="false">IF(A2262="","",IFERROR(INDEX(Recipes!$B:$B,MATCH(A2262,Recipes!$A:$A,0)),"⚠ unknown recipe_id"))</f>
        <v/>
      </c>
      <c r="E2262" s="12" t="str">
        <f aca="false">IF(C2262="","",IFERROR(INDEX('Ingredient Catalog'!$C:$C,MATCH(C2262,'Ingredient Catalog'!$A:$A,0)),"⚠ not in catalog"))</f>
        <v/>
      </c>
      <c r="G2262" s="12" t="str">
        <f aca="false">IF(A2262="","",COUNTIFS('Weekly Log'!$A:$A,'Grocery List'!$B$3,'Weekly Log'!$C:$C,A2262,'Weekly Log'!$E:$E,"Yes"))</f>
        <v/>
      </c>
      <c r="H2262" s="12" t="str">
        <f aca="false">IF(OR(A2262="",D2262=""),"",D2262*G2262)</f>
        <v/>
      </c>
    </row>
    <row r="2263" customFormat="false" ht="15" hidden="false" customHeight="false" outlineLevel="0" collapsed="false">
      <c r="B2263" s="12" t="str">
        <f aca="false">IF(A2263="","",IFERROR(INDEX(Recipes!$B:$B,MATCH(A2263,Recipes!$A:$A,0)),"⚠ unknown recipe_id"))</f>
        <v/>
      </c>
      <c r="E2263" s="12" t="str">
        <f aca="false">IF(C2263="","",IFERROR(INDEX('Ingredient Catalog'!$C:$C,MATCH(C2263,'Ingredient Catalog'!$A:$A,0)),"⚠ not in catalog"))</f>
        <v/>
      </c>
      <c r="G2263" s="12" t="str">
        <f aca="false">IF(A2263="","",COUNTIFS('Weekly Log'!$A:$A,'Grocery List'!$B$3,'Weekly Log'!$C:$C,A2263,'Weekly Log'!$E:$E,"Yes"))</f>
        <v/>
      </c>
      <c r="H2263" s="12" t="str">
        <f aca="false">IF(OR(A2263="",D2263=""),"",D2263*G2263)</f>
        <v/>
      </c>
    </row>
    <row r="2264" customFormat="false" ht="15" hidden="false" customHeight="false" outlineLevel="0" collapsed="false">
      <c r="B2264" s="12" t="str">
        <f aca="false">IF(A2264="","",IFERROR(INDEX(Recipes!$B:$B,MATCH(A2264,Recipes!$A:$A,0)),"⚠ unknown recipe_id"))</f>
        <v/>
      </c>
      <c r="E2264" s="12" t="str">
        <f aca="false">IF(C2264="","",IFERROR(INDEX('Ingredient Catalog'!$C:$C,MATCH(C2264,'Ingredient Catalog'!$A:$A,0)),"⚠ not in catalog"))</f>
        <v/>
      </c>
      <c r="G2264" s="12" t="str">
        <f aca="false">IF(A2264="","",COUNTIFS('Weekly Log'!$A:$A,'Grocery List'!$B$3,'Weekly Log'!$C:$C,A2264,'Weekly Log'!$E:$E,"Yes"))</f>
        <v/>
      </c>
      <c r="H2264" s="12" t="str">
        <f aca="false">IF(OR(A2264="",D2264=""),"",D2264*G2264)</f>
        <v/>
      </c>
    </row>
    <row r="2265" customFormat="false" ht="15" hidden="false" customHeight="false" outlineLevel="0" collapsed="false">
      <c r="B2265" s="12" t="str">
        <f aca="false">IF(A2265="","",IFERROR(INDEX(Recipes!$B:$B,MATCH(A2265,Recipes!$A:$A,0)),"⚠ unknown recipe_id"))</f>
        <v/>
      </c>
      <c r="E2265" s="12" t="str">
        <f aca="false">IF(C2265="","",IFERROR(INDEX('Ingredient Catalog'!$C:$C,MATCH(C2265,'Ingredient Catalog'!$A:$A,0)),"⚠ not in catalog"))</f>
        <v/>
      </c>
      <c r="G2265" s="12" t="str">
        <f aca="false">IF(A2265="","",COUNTIFS('Weekly Log'!$A:$A,'Grocery List'!$B$3,'Weekly Log'!$C:$C,A2265,'Weekly Log'!$E:$E,"Yes"))</f>
        <v/>
      </c>
      <c r="H2265" s="12" t="str">
        <f aca="false">IF(OR(A2265="",D2265=""),"",D2265*G2265)</f>
        <v/>
      </c>
    </row>
    <row r="2266" customFormat="false" ht="15" hidden="false" customHeight="false" outlineLevel="0" collapsed="false">
      <c r="B2266" s="12" t="str">
        <f aca="false">IF(A2266="","",IFERROR(INDEX(Recipes!$B:$B,MATCH(A2266,Recipes!$A:$A,0)),"⚠ unknown recipe_id"))</f>
        <v/>
      </c>
      <c r="E2266" s="12" t="str">
        <f aca="false">IF(C2266="","",IFERROR(INDEX('Ingredient Catalog'!$C:$C,MATCH(C2266,'Ingredient Catalog'!$A:$A,0)),"⚠ not in catalog"))</f>
        <v/>
      </c>
      <c r="G2266" s="12" t="str">
        <f aca="false">IF(A2266="","",COUNTIFS('Weekly Log'!$A:$A,'Grocery List'!$B$3,'Weekly Log'!$C:$C,A2266,'Weekly Log'!$E:$E,"Yes"))</f>
        <v/>
      </c>
      <c r="H2266" s="12" t="str">
        <f aca="false">IF(OR(A2266="",D2266=""),"",D2266*G2266)</f>
        <v/>
      </c>
    </row>
    <row r="2267" customFormat="false" ht="15" hidden="false" customHeight="false" outlineLevel="0" collapsed="false">
      <c r="B2267" s="12" t="str">
        <f aca="false">IF(A2267="","",IFERROR(INDEX(Recipes!$B:$B,MATCH(A2267,Recipes!$A:$A,0)),"⚠ unknown recipe_id"))</f>
        <v/>
      </c>
      <c r="E2267" s="12" t="str">
        <f aca="false">IF(C2267="","",IFERROR(INDEX('Ingredient Catalog'!$C:$C,MATCH(C2267,'Ingredient Catalog'!$A:$A,0)),"⚠ not in catalog"))</f>
        <v/>
      </c>
      <c r="G2267" s="12" t="str">
        <f aca="false">IF(A2267="","",COUNTIFS('Weekly Log'!$A:$A,'Grocery List'!$B$3,'Weekly Log'!$C:$C,A2267,'Weekly Log'!$E:$E,"Yes"))</f>
        <v/>
      </c>
      <c r="H2267" s="12" t="str">
        <f aca="false">IF(OR(A2267="",D2267=""),"",D2267*G2267)</f>
        <v/>
      </c>
    </row>
    <row r="2268" customFormat="false" ht="15" hidden="false" customHeight="false" outlineLevel="0" collapsed="false">
      <c r="B2268" s="12" t="str">
        <f aca="false">IF(A2268="","",IFERROR(INDEX(Recipes!$B:$B,MATCH(A2268,Recipes!$A:$A,0)),"⚠ unknown recipe_id"))</f>
        <v/>
      </c>
      <c r="E2268" s="12" t="str">
        <f aca="false">IF(C2268="","",IFERROR(INDEX('Ingredient Catalog'!$C:$C,MATCH(C2268,'Ingredient Catalog'!$A:$A,0)),"⚠ not in catalog"))</f>
        <v/>
      </c>
      <c r="G2268" s="12" t="str">
        <f aca="false">IF(A2268="","",COUNTIFS('Weekly Log'!$A:$A,'Grocery List'!$B$3,'Weekly Log'!$C:$C,A2268,'Weekly Log'!$E:$E,"Yes"))</f>
        <v/>
      </c>
      <c r="H2268" s="12" t="str">
        <f aca="false">IF(OR(A2268="",D2268=""),"",D2268*G2268)</f>
        <v/>
      </c>
    </row>
    <row r="2269" customFormat="false" ht="15" hidden="false" customHeight="false" outlineLevel="0" collapsed="false">
      <c r="B2269" s="12" t="str">
        <f aca="false">IF(A2269="","",IFERROR(INDEX(Recipes!$B:$B,MATCH(A2269,Recipes!$A:$A,0)),"⚠ unknown recipe_id"))</f>
        <v/>
      </c>
      <c r="E2269" s="12" t="str">
        <f aca="false">IF(C2269="","",IFERROR(INDEX('Ingredient Catalog'!$C:$C,MATCH(C2269,'Ingredient Catalog'!$A:$A,0)),"⚠ not in catalog"))</f>
        <v/>
      </c>
      <c r="G2269" s="12" t="str">
        <f aca="false">IF(A2269="","",COUNTIFS('Weekly Log'!$A:$A,'Grocery List'!$B$3,'Weekly Log'!$C:$C,A2269,'Weekly Log'!$E:$E,"Yes"))</f>
        <v/>
      </c>
      <c r="H2269" s="12" t="str">
        <f aca="false">IF(OR(A2269="",D2269=""),"",D2269*G2269)</f>
        <v/>
      </c>
    </row>
    <row r="2270" customFormat="false" ht="15" hidden="false" customHeight="false" outlineLevel="0" collapsed="false">
      <c r="B2270" s="12" t="str">
        <f aca="false">IF(A2270="","",IFERROR(INDEX(Recipes!$B:$B,MATCH(A2270,Recipes!$A:$A,0)),"⚠ unknown recipe_id"))</f>
        <v/>
      </c>
      <c r="E2270" s="12" t="str">
        <f aca="false">IF(C2270="","",IFERROR(INDEX('Ingredient Catalog'!$C:$C,MATCH(C2270,'Ingredient Catalog'!$A:$A,0)),"⚠ not in catalog"))</f>
        <v/>
      </c>
      <c r="G2270" s="12" t="str">
        <f aca="false">IF(A2270="","",COUNTIFS('Weekly Log'!$A:$A,'Grocery List'!$B$3,'Weekly Log'!$C:$C,A2270,'Weekly Log'!$E:$E,"Yes"))</f>
        <v/>
      </c>
      <c r="H2270" s="12" t="str">
        <f aca="false">IF(OR(A2270="",D2270=""),"",D2270*G2270)</f>
        <v/>
      </c>
    </row>
    <row r="2271" customFormat="false" ht="15" hidden="false" customHeight="false" outlineLevel="0" collapsed="false">
      <c r="B2271" s="12" t="str">
        <f aca="false">IF(A2271="","",IFERROR(INDEX(Recipes!$B:$B,MATCH(A2271,Recipes!$A:$A,0)),"⚠ unknown recipe_id"))</f>
        <v/>
      </c>
      <c r="E2271" s="12" t="str">
        <f aca="false">IF(C2271="","",IFERROR(INDEX('Ingredient Catalog'!$C:$C,MATCH(C2271,'Ingredient Catalog'!$A:$A,0)),"⚠ not in catalog"))</f>
        <v/>
      </c>
      <c r="G2271" s="12" t="str">
        <f aca="false">IF(A2271="","",COUNTIFS('Weekly Log'!$A:$A,'Grocery List'!$B$3,'Weekly Log'!$C:$C,A2271,'Weekly Log'!$E:$E,"Yes"))</f>
        <v/>
      </c>
      <c r="H2271" s="12" t="str">
        <f aca="false">IF(OR(A2271="",D2271=""),"",D2271*G2271)</f>
        <v/>
      </c>
    </row>
    <row r="2272" customFormat="false" ht="15" hidden="false" customHeight="false" outlineLevel="0" collapsed="false">
      <c r="B2272" s="12" t="str">
        <f aca="false">IF(A2272="","",IFERROR(INDEX(Recipes!$B:$B,MATCH(A2272,Recipes!$A:$A,0)),"⚠ unknown recipe_id"))</f>
        <v/>
      </c>
      <c r="E2272" s="12" t="str">
        <f aca="false">IF(C2272="","",IFERROR(INDEX('Ingredient Catalog'!$C:$C,MATCH(C2272,'Ingredient Catalog'!$A:$A,0)),"⚠ not in catalog"))</f>
        <v/>
      </c>
      <c r="G2272" s="12" t="str">
        <f aca="false">IF(A2272="","",COUNTIFS('Weekly Log'!$A:$A,'Grocery List'!$B$3,'Weekly Log'!$C:$C,A2272,'Weekly Log'!$E:$E,"Yes"))</f>
        <v/>
      </c>
      <c r="H2272" s="12" t="str">
        <f aca="false">IF(OR(A2272="",D2272=""),"",D2272*G2272)</f>
        <v/>
      </c>
    </row>
    <row r="2273" customFormat="false" ht="15" hidden="false" customHeight="false" outlineLevel="0" collapsed="false">
      <c r="B2273" s="12" t="str">
        <f aca="false">IF(A2273="","",IFERROR(INDEX(Recipes!$B:$B,MATCH(A2273,Recipes!$A:$A,0)),"⚠ unknown recipe_id"))</f>
        <v/>
      </c>
      <c r="E2273" s="12" t="str">
        <f aca="false">IF(C2273="","",IFERROR(INDEX('Ingredient Catalog'!$C:$C,MATCH(C2273,'Ingredient Catalog'!$A:$A,0)),"⚠ not in catalog"))</f>
        <v/>
      </c>
      <c r="G2273" s="12" t="str">
        <f aca="false">IF(A2273="","",COUNTIFS('Weekly Log'!$A:$A,'Grocery List'!$B$3,'Weekly Log'!$C:$C,A2273,'Weekly Log'!$E:$E,"Yes"))</f>
        <v/>
      </c>
      <c r="H2273" s="12" t="str">
        <f aca="false">IF(OR(A2273="",D2273=""),"",D2273*G2273)</f>
        <v/>
      </c>
    </row>
    <row r="2274" customFormat="false" ht="15" hidden="false" customHeight="false" outlineLevel="0" collapsed="false">
      <c r="B2274" s="12" t="str">
        <f aca="false">IF(A2274="","",IFERROR(INDEX(Recipes!$B:$B,MATCH(A2274,Recipes!$A:$A,0)),"⚠ unknown recipe_id"))</f>
        <v/>
      </c>
      <c r="E2274" s="12" t="str">
        <f aca="false">IF(C2274="","",IFERROR(INDEX('Ingredient Catalog'!$C:$C,MATCH(C2274,'Ingredient Catalog'!$A:$A,0)),"⚠ not in catalog"))</f>
        <v/>
      </c>
      <c r="G2274" s="12" t="str">
        <f aca="false">IF(A2274="","",COUNTIFS('Weekly Log'!$A:$A,'Grocery List'!$B$3,'Weekly Log'!$C:$C,A2274,'Weekly Log'!$E:$E,"Yes"))</f>
        <v/>
      </c>
      <c r="H2274" s="12" t="str">
        <f aca="false">IF(OR(A2274="",D2274=""),"",D2274*G2274)</f>
        <v/>
      </c>
    </row>
    <row r="2275" customFormat="false" ht="15" hidden="false" customHeight="false" outlineLevel="0" collapsed="false">
      <c r="B2275" s="12" t="str">
        <f aca="false">IF(A2275="","",IFERROR(INDEX(Recipes!$B:$B,MATCH(A2275,Recipes!$A:$A,0)),"⚠ unknown recipe_id"))</f>
        <v/>
      </c>
      <c r="E2275" s="12" t="str">
        <f aca="false">IF(C2275="","",IFERROR(INDEX('Ingredient Catalog'!$C:$C,MATCH(C2275,'Ingredient Catalog'!$A:$A,0)),"⚠ not in catalog"))</f>
        <v/>
      </c>
      <c r="G2275" s="12" t="str">
        <f aca="false">IF(A2275="","",COUNTIFS('Weekly Log'!$A:$A,'Grocery List'!$B$3,'Weekly Log'!$C:$C,A2275,'Weekly Log'!$E:$E,"Yes"))</f>
        <v/>
      </c>
      <c r="H2275" s="12" t="str">
        <f aca="false">IF(OR(A2275="",D2275=""),"",D2275*G2275)</f>
        <v/>
      </c>
    </row>
    <row r="2276" customFormat="false" ht="15" hidden="false" customHeight="false" outlineLevel="0" collapsed="false">
      <c r="B2276" s="12" t="str">
        <f aca="false">IF(A2276="","",IFERROR(INDEX(Recipes!$B:$B,MATCH(A2276,Recipes!$A:$A,0)),"⚠ unknown recipe_id"))</f>
        <v/>
      </c>
      <c r="E2276" s="12" t="str">
        <f aca="false">IF(C2276="","",IFERROR(INDEX('Ingredient Catalog'!$C:$C,MATCH(C2276,'Ingredient Catalog'!$A:$A,0)),"⚠ not in catalog"))</f>
        <v/>
      </c>
      <c r="G2276" s="12" t="str">
        <f aca="false">IF(A2276="","",COUNTIFS('Weekly Log'!$A:$A,'Grocery List'!$B$3,'Weekly Log'!$C:$C,A2276,'Weekly Log'!$E:$E,"Yes"))</f>
        <v/>
      </c>
      <c r="H2276" s="12" t="str">
        <f aca="false">IF(OR(A2276="",D2276=""),"",D2276*G2276)</f>
        <v/>
      </c>
    </row>
    <row r="2277" customFormat="false" ht="15" hidden="false" customHeight="false" outlineLevel="0" collapsed="false">
      <c r="B2277" s="12" t="str">
        <f aca="false">IF(A2277="","",IFERROR(INDEX(Recipes!$B:$B,MATCH(A2277,Recipes!$A:$A,0)),"⚠ unknown recipe_id"))</f>
        <v/>
      </c>
      <c r="E2277" s="12" t="str">
        <f aca="false">IF(C2277="","",IFERROR(INDEX('Ingredient Catalog'!$C:$C,MATCH(C2277,'Ingredient Catalog'!$A:$A,0)),"⚠ not in catalog"))</f>
        <v/>
      </c>
      <c r="G2277" s="12" t="str">
        <f aca="false">IF(A2277="","",COUNTIFS('Weekly Log'!$A:$A,'Grocery List'!$B$3,'Weekly Log'!$C:$C,A2277,'Weekly Log'!$E:$E,"Yes"))</f>
        <v/>
      </c>
      <c r="H2277" s="12" t="str">
        <f aca="false">IF(OR(A2277="",D2277=""),"",D2277*G2277)</f>
        <v/>
      </c>
    </row>
    <row r="2278" customFormat="false" ht="15" hidden="false" customHeight="false" outlineLevel="0" collapsed="false">
      <c r="B2278" s="12" t="str">
        <f aca="false">IF(A2278="","",IFERROR(INDEX(Recipes!$B:$B,MATCH(A2278,Recipes!$A:$A,0)),"⚠ unknown recipe_id"))</f>
        <v/>
      </c>
      <c r="E2278" s="12" t="str">
        <f aca="false">IF(C2278="","",IFERROR(INDEX('Ingredient Catalog'!$C:$C,MATCH(C2278,'Ingredient Catalog'!$A:$A,0)),"⚠ not in catalog"))</f>
        <v/>
      </c>
      <c r="G2278" s="12" t="str">
        <f aca="false">IF(A2278="","",COUNTIFS('Weekly Log'!$A:$A,'Grocery List'!$B$3,'Weekly Log'!$C:$C,A2278,'Weekly Log'!$E:$E,"Yes"))</f>
        <v/>
      </c>
      <c r="H2278" s="12" t="str">
        <f aca="false">IF(OR(A2278="",D2278=""),"",D2278*G2278)</f>
        <v/>
      </c>
    </row>
    <row r="2279" customFormat="false" ht="15" hidden="false" customHeight="false" outlineLevel="0" collapsed="false">
      <c r="B2279" s="12" t="str">
        <f aca="false">IF(A2279="","",IFERROR(INDEX(Recipes!$B:$B,MATCH(A2279,Recipes!$A:$A,0)),"⚠ unknown recipe_id"))</f>
        <v/>
      </c>
      <c r="E2279" s="12" t="str">
        <f aca="false">IF(C2279="","",IFERROR(INDEX('Ingredient Catalog'!$C:$C,MATCH(C2279,'Ingredient Catalog'!$A:$A,0)),"⚠ not in catalog"))</f>
        <v/>
      </c>
      <c r="G2279" s="12" t="str">
        <f aca="false">IF(A2279="","",COUNTIFS('Weekly Log'!$A:$A,'Grocery List'!$B$3,'Weekly Log'!$C:$C,A2279,'Weekly Log'!$E:$E,"Yes"))</f>
        <v/>
      </c>
      <c r="H2279" s="12" t="str">
        <f aca="false">IF(OR(A2279="",D2279=""),"",D2279*G2279)</f>
        <v/>
      </c>
    </row>
    <row r="2280" customFormat="false" ht="15" hidden="false" customHeight="false" outlineLevel="0" collapsed="false">
      <c r="B2280" s="12" t="str">
        <f aca="false">IF(A2280="","",IFERROR(INDEX(Recipes!$B:$B,MATCH(A2280,Recipes!$A:$A,0)),"⚠ unknown recipe_id"))</f>
        <v/>
      </c>
      <c r="E2280" s="12" t="str">
        <f aca="false">IF(C2280="","",IFERROR(INDEX('Ingredient Catalog'!$C:$C,MATCH(C2280,'Ingredient Catalog'!$A:$A,0)),"⚠ not in catalog"))</f>
        <v/>
      </c>
      <c r="G2280" s="12" t="str">
        <f aca="false">IF(A2280="","",COUNTIFS('Weekly Log'!$A:$A,'Grocery List'!$B$3,'Weekly Log'!$C:$C,A2280,'Weekly Log'!$E:$E,"Yes"))</f>
        <v/>
      </c>
      <c r="H2280" s="12" t="str">
        <f aca="false">IF(OR(A2280="",D2280=""),"",D2280*G2280)</f>
        <v/>
      </c>
    </row>
    <row r="2281" customFormat="false" ht="15" hidden="false" customHeight="false" outlineLevel="0" collapsed="false">
      <c r="B2281" s="12" t="str">
        <f aca="false">IF(A2281="","",IFERROR(INDEX(Recipes!$B:$B,MATCH(A2281,Recipes!$A:$A,0)),"⚠ unknown recipe_id"))</f>
        <v/>
      </c>
      <c r="E2281" s="12" t="str">
        <f aca="false">IF(C2281="","",IFERROR(INDEX('Ingredient Catalog'!$C:$C,MATCH(C2281,'Ingredient Catalog'!$A:$A,0)),"⚠ not in catalog"))</f>
        <v/>
      </c>
      <c r="G2281" s="12" t="str">
        <f aca="false">IF(A2281="","",COUNTIFS('Weekly Log'!$A:$A,'Grocery List'!$B$3,'Weekly Log'!$C:$C,A2281,'Weekly Log'!$E:$E,"Yes"))</f>
        <v/>
      </c>
      <c r="H2281" s="12" t="str">
        <f aca="false">IF(OR(A2281="",D2281=""),"",D2281*G2281)</f>
        <v/>
      </c>
    </row>
    <row r="2282" customFormat="false" ht="15" hidden="false" customHeight="false" outlineLevel="0" collapsed="false">
      <c r="B2282" s="12" t="str">
        <f aca="false">IF(A2282="","",IFERROR(INDEX(Recipes!$B:$B,MATCH(A2282,Recipes!$A:$A,0)),"⚠ unknown recipe_id"))</f>
        <v/>
      </c>
      <c r="E2282" s="12" t="str">
        <f aca="false">IF(C2282="","",IFERROR(INDEX('Ingredient Catalog'!$C:$C,MATCH(C2282,'Ingredient Catalog'!$A:$A,0)),"⚠ not in catalog"))</f>
        <v/>
      </c>
      <c r="G2282" s="12" t="str">
        <f aca="false">IF(A2282="","",COUNTIFS('Weekly Log'!$A:$A,'Grocery List'!$B$3,'Weekly Log'!$C:$C,A2282,'Weekly Log'!$E:$E,"Yes"))</f>
        <v/>
      </c>
      <c r="H2282" s="12" t="str">
        <f aca="false">IF(OR(A2282="",D2282=""),"",D2282*G2282)</f>
        <v/>
      </c>
    </row>
    <row r="2283" customFormat="false" ht="15" hidden="false" customHeight="false" outlineLevel="0" collapsed="false">
      <c r="B2283" s="12" t="str">
        <f aca="false">IF(A2283="","",IFERROR(INDEX(Recipes!$B:$B,MATCH(A2283,Recipes!$A:$A,0)),"⚠ unknown recipe_id"))</f>
        <v/>
      </c>
      <c r="E2283" s="12" t="str">
        <f aca="false">IF(C2283="","",IFERROR(INDEX('Ingredient Catalog'!$C:$C,MATCH(C2283,'Ingredient Catalog'!$A:$A,0)),"⚠ not in catalog"))</f>
        <v/>
      </c>
      <c r="G2283" s="12" t="str">
        <f aca="false">IF(A2283="","",COUNTIFS('Weekly Log'!$A:$A,'Grocery List'!$B$3,'Weekly Log'!$C:$C,A2283,'Weekly Log'!$E:$E,"Yes"))</f>
        <v/>
      </c>
      <c r="H2283" s="12" t="str">
        <f aca="false">IF(OR(A2283="",D2283=""),"",D2283*G2283)</f>
        <v/>
      </c>
    </row>
    <row r="2284" customFormat="false" ht="15" hidden="false" customHeight="false" outlineLevel="0" collapsed="false">
      <c r="B2284" s="12" t="str">
        <f aca="false">IF(A2284="","",IFERROR(INDEX(Recipes!$B:$B,MATCH(A2284,Recipes!$A:$A,0)),"⚠ unknown recipe_id"))</f>
        <v/>
      </c>
      <c r="E2284" s="12" t="str">
        <f aca="false">IF(C2284="","",IFERROR(INDEX('Ingredient Catalog'!$C:$C,MATCH(C2284,'Ingredient Catalog'!$A:$A,0)),"⚠ not in catalog"))</f>
        <v/>
      </c>
      <c r="G2284" s="12" t="str">
        <f aca="false">IF(A2284="","",COUNTIFS('Weekly Log'!$A:$A,'Grocery List'!$B$3,'Weekly Log'!$C:$C,A2284,'Weekly Log'!$E:$E,"Yes"))</f>
        <v/>
      </c>
      <c r="H2284" s="12" t="str">
        <f aca="false">IF(OR(A2284="",D2284=""),"",D2284*G2284)</f>
        <v/>
      </c>
    </row>
    <row r="2285" customFormat="false" ht="15" hidden="false" customHeight="false" outlineLevel="0" collapsed="false">
      <c r="B2285" s="12" t="str">
        <f aca="false">IF(A2285="","",IFERROR(INDEX(Recipes!$B:$B,MATCH(A2285,Recipes!$A:$A,0)),"⚠ unknown recipe_id"))</f>
        <v/>
      </c>
      <c r="E2285" s="12" t="str">
        <f aca="false">IF(C2285="","",IFERROR(INDEX('Ingredient Catalog'!$C:$C,MATCH(C2285,'Ingredient Catalog'!$A:$A,0)),"⚠ not in catalog"))</f>
        <v/>
      </c>
      <c r="G2285" s="12" t="str">
        <f aca="false">IF(A2285="","",COUNTIFS('Weekly Log'!$A:$A,'Grocery List'!$B$3,'Weekly Log'!$C:$C,A2285,'Weekly Log'!$E:$E,"Yes"))</f>
        <v/>
      </c>
      <c r="H2285" s="12" t="str">
        <f aca="false">IF(OR(A2285="",D2285=""),"",D2285*G2285)</f>
        <v/>
      </c>
    </row>
    <row r="2286" customFormat="false" ht="15" hidden="false" customHeight="false" outlineLevel="0" collapsed="false">
      <c r="B2286" s="12" t="str">
        <f aca="false">IF(A2286="","",IFERROR(INDEX(Recipes!$B:$B,MATCH(A2286,Recipes!$A:$A,0)),"⚠ unknown recipe_id"))</f>
        <v/>
      </c>
      <c r="E2286" s="12" t="str">
        <f aca="false">IF(C2286="","",IFERROR(INDEX('Ingredient Catalog'!$C:$C,MATCH(C2286,'Ingredient Catalog'!$A:$A,0)),"⚠ not in catalog"))</f>
        <v/>
      </c>
      <c r="G2286" s="12" t="str">
        <f aca="false">IF(A2286="","",COUNTIFS('Weekly Log'!$A:$A,'Grocery List'!$B$3,'Weekly Log'!$C:$C,A2286,'Weekly Log'!$E:$E,"Yes"))</f>
        <v/>
      </c>
      <c r="H2286" s="12" t="str">
        <f aca="false">IF(OR(A2286="",D2286=""),"",D2286*G2286)</f>
        <v/>
      </c>
    </row>
    <row r="2287" customFormat="false" ht="15" hidden="false" customHeight="false" outlineLevel="0" collapsed="false">
      <c r="B2287" s="12" t="str">
        <f aca="false">IF(A2287="","",IFERROR(INDEX(Recipes!$B:$B,MATCH(A2287,Recipes!$A:$A,0)),"⚠ unknown recipe_id"))</f>
        <v/>
      </c>
      <c r="E2287" s="12" t="str">
        <f aca="false">IF(C2287="","",IFERROR(INDEX('Ingredient Catalog'!$C:$C,MATCH(C2287,'Ingredient Catalog'!$A:$A,0)),"⚠ not in catalog"))</f>
        <v/>
      </c>
      <c r="G2287" s="12" t="str">
        <f aca="false">IF(A2287="","",COUNTIFS('Weekly Log'!$A:$A,'Grocery List'!$B$3,'Weekly Log'!$C:$C,A2287,'Weekly Log'!$E:$E,"Yes"))</f>
        <v/>
      </c>
      <c r="H2287" s="12" t="str">
        <f aca="false">IF(OR(A2287="",D2287=""),"",D2287*G2287)</f>
        <v/>
      </c>
    </row>
    <row r="2288" customFormat="false" ht="15" hidden="false" customHeight="false" outlineLevel="0" collapsed="false">
      <c r="B2288" s="12" t="str">
        <f aca="false">IF(A2288="","",IFERROR(INDEX(Recipes!$B:$B,MATCH(A2288,Recipes!$A:$A,0)),"⚠ unknown recipe_id"))</f>
        <v/>
      </c>
      <c r="E2288" s="12" t="str">
        <f aca="false">IF(C2288="","",IFERROR(INDEX('Ingredient Catalog'!$C:$C,MATCH(C2288,'Ingredient Catalog'!$A:$A,0)),"⚠ not in catalog"))</f>
        <v/>
      </c>
      <c r="G2288" s="12" t="str">
        <f aca="false">IF(A2288="","",COUNTIFS('Weekly Log'!$A:$A,'Grocery List'!$B$3,'Weekly Log'!$C:$C,A2288,'Weekly Log'!$E:$E,"Yes"))</f>
        <v/>
      </c>
      <c r="H2288" s="12" t="str">
        <f aca="false">IF(OR(A2288="",D2288=""),"",D2288*G2288)</f>
        <v/>
      </c>
    </row>
    <row r="2289" customFormat="false" ht="15" hidden="false" customHeight="false" outlineLevel="0" collapsed="false">
      <c r="B2289" s="12" t="str">
        <f aca="false">IF(A2289="","",IFERROR(INDEX(Recipes!$B:$B,MATCH(A2289,Recipes!$A:$A,0)),"⚠ unknown recipe_id"))</f>
        <v/>
      </c>
      <c r="E2289" s="12" t="str">
        <f aca="false">IF(C2289="","",IFERROR(INDEX('Ingredient Catalog'!$C:$C,MATCH(C2289,'Ingredient Catalog'!$A:$A,0)),"⚠ not in catalog"))</f>
        <v/>
      </c>
      <c r="G2289" s="12" t="str">
        <f aca="false">IF(A2289="","",COUNTIFS('Weekly Log'!$A:$A,'Grocery List'!$B$3,'Weekly Log'!$C:$C,A2289,'Weekly Log'!$E:$E,"Yes"))</f>
        <v/>
      </c>
      <c r="H2289" s="12" t="str">
        <f aca="false">IF(OR(A2289="",D2289=""),"",D2289*G2289)</f>
        <v/>
      </c>
    </row>
    <row r="2290" customFormat="false" ht="15" hidden="false" customHeight="false" outlineLevel="0" collapsed="false">
      <c r="B2290" s="12" t="str">
        <f aca="false">IF(A2290="","",IFERROR(INDEX(Recipes!$B:$B,MATCH(A2290,Recipes!$A:$A,0)),"⚠ unknown recipe_id"))</f>
        <v/>
      </c>
      <c r="E2290" s="12" t="str">
        <f aca="false">IF(C2290="","",IFERROR(INDEX('Ingredient Catalog'!$C:$C,MATCH(C2290,'Ingredient Catalog'!$A:$A,0)),"⚠ not in catalog"))</f>
        <v/>
      </c>
      <c r="G2290" s="12" t="str">
        <f aca="false">IF(A2290="","",COUNTIFS('Weekly Log'!$A:$A,'Grocery List'!$B$3,'Weekly Log'!$C:$C,A2290,'Weekly Log'!$E:$E,"Yes"))</f>
        <v/>
      </c>
      <c r="H2290" s="12" t="str">
        <f aca="false">IF(OR(A2290="",D2290=""),"",D2290*G2290)</f>
        <v/>
      </c>
    </row>
    <row r="2291" customFormat="false" ht="15" hidden="false" customHeight="false" outlineLevel="0" collapsed="false">
      <c r="B2291" s="12" t="str">
        <f aca="false">IF(A2291="","",IFERROR(INDEX(Recipes!$B:$B,MATCH(A2291,Recipes!$A:$A,0)),"⚠ unknown recipe_id"))</f>
        <v/>
      </c>
      <c r="E2291" s="12" t="str">
        <f aca="false">IF(C2291="","",IFERROR(INDEX('Ingredient Catalog'!$C:$C,MATCH(C2291,'Ingredient Catalog'!$A:$A,0)),"⚠ not in catalog"))</f>
        <v/>
      </c>
      <c r="G2291" s="12" t="str">
        <f aca="false">IF(A2291="","",COUNTIFS('Weekly Log'!$A:$A,'Grocery List'!$B$3,'Weekly Log'!$C:$C,A2291,'Weekly Log'!$E:$E,"Yes"))</f>
        <v/>
      </c>
      <c r="H2291" s="12" t="str">
        <f aca="false">IF(OR(A2291="",D2291=""),"",D2291*G2291)</f>
        <v/>
      </c>
    </row>
    <row r="2292" customFormat="false" ht="15" hidden="false" customHeight="false" outlineLevel="0" collapsed="false">
      <c r="B2292" s="12" t="str">
        <f aca="false">IF(A2292="","",IFERROR(INDEX(Recipes!$B:$B,MATCH(A2292,Recipes!$A:$A,0)),"⚠ unknown recipe_id"))</f>
        <v/>
      </c>
      <c r="E2292" s="12" t="str">
        <f aca="false">IF(C2292="","",IFERROR(INDEX('Ingredient Catalog'!$C:$C,MATCH(C2292,'Ingredient Catalog'!$A:$A,0)),"⚠ not in catalog"))</f>
        <v/>
      </c>
      <c r="G2292" s="12" t="str">
        <f aca="false">IF(A2292="","",COUNTIFS('Weekly Log'!$A:$A,'Grocery List'!$B$3,'Weekly Log'!$C:$C,A2292,'Weekly Log'!$E:$E,"Yes"))</f>
        <v/>
      </c>
      <c r="H2292" s="12" t="str">
        <f aca="false">IF(OR(A2292="",D2292=""),"",D2292*G2292)</f>
        <v/>
      </c>
    </row>
    <row r="2293" customFormat="false" ht="15" hidden="false" customHeight="false" outlineLevel="0" collapsed="false">
      <c r="B2293" s="12" t="str">
        <f aca="false">IF(A2293="","",IFERROR(INDEX(Recipes!$B:$B,MATCH(A2293,Recipes!$A:$A,0)),"⚠ unknown recipe_id"))</f>
        <v/>
      </c>
      <c r="E2293" s="12" t="str">
        <f aca="false">IF(C2293="","",IFERROR(INDEX('Ingredient Catalog'!$C:$C,MATCH(C2293,'Ingredient Catalog'!$A:$A,0)),"⚠ not in catalog"))</f>
        <v/>
      </c>
      <c r="G2293" s="12" t="str">
        <f aca="false">IF(A2293="","",COUNTIFS('Weekly Log'!$A:$A,'Grocery List'!$B$3,'Weekly Log'!$C:$C,A2293,'Weekly Log'!$E:$E,"Yes"))</f>
        <v/>
      </c>
      <c r="H2293" s="12" t="str">
        <f aca="false">IF(OR(A2293="",D2293=""),"",D2293*G2293)</f>
        <v/>
      </c>
    </row>
    <row r="2294" customFormat="false" ht="15" hidden="false" customHeight="false" outlineLevel="0" collapsed="false">
      <c r="B2294" s="12" t="str">
        <f aca="false">IF(A2294="","",IFERROR(INDEX(Recipes!$B:$B,MATCH(A2294,Recipes!$A:$A,0)),"⚠ unknown recipe_id"))</f>
        <v/>
      </c>
      <c r="E2294" s="12" t="str">
        <f aca="false">IF(C2294="","",IFERROR(INDEX('Ingredient Catalog'!$C:$C,MATCH(C2294,'Ingredient Catalog'!$A:$A,0)),"⚠ not in catalog"))</f>
        <v/>
      </c>
      <c r="G2294" s="12" t="str">
        <f aca="false">IF(A2294="","",COUNTIFS('Weekly Log'!$A:$A,'Grocery List'!$B$3,'Weekly Log'!$C:$C,A2294,'Weekly Log'!$E:$E,"Yes"))</f>
        <v/>
      </c>
      <c r="H2294" s="12" t="str">
        <f aca="false">IF(OR(A2294="",D2294=""),"",D2294*G2294)</f>
        <v/>
      </c>
    </row>
    <row r="2295" customFormat="false" ht="15" hidden="false" customHeight="false" outlineLevel="0" collapsed="false">
      <c r="B2295" s="12" t="str">
        <f aca="false">IF(A2295="","",IFERROR(INDEX(Recipes!$B:$B,MATCH(A2295,Recipes!$A:$A,0)),"⚠ unknown recipe_id"))</f>
        <v/>
      </c>
      <c r="E2295" s="12" t="str">
        <f aca="false">IF(C2295="","",IFERROR(INDEX('Ingredient Catalog'!$C:$C,MATCH(C2295,'Ingredient Catalog'!$A:$A,0)),"⚠ not in catalog"))</f>
        <v/>
      </c>
      <c r="G2295" s="12" t="str">
        <f aca="false">IF(A2295="","",COUNTIFS('Weekly Log'!$A:$A,'Grocery List'!$B$3,'Weekly Log'!$C:$C,A2295,'Weekly Log'!$E:$E,"Yes"))</f>
        <v/>
      </c>
      <c r="H2295" s="12" t="str">
        <f aca="false">IF(OR(A2295="",D2295=""),"",D2295*G2295)</f>
        <v/>
      </c>
    </row>
    <row r="2296" customFormat="false" ht="15" hidden="false" customHeight="false" outlineLevel="0" collapsed="false">
      <c r="B2296" s="12" t="str">
        <f aca="false">IF(A2296="","",IFERROR(INDEX(Recipes!$B:$B,MATCH(A2296,Recipes!$A:$A,0)),"⚠ unknown recipe_id"))</f>
        <v/>
      </c>
      <c r="E2296" s="12" t="str">
        <f aca="false">IF(C2296="","",IFERROR(INDEX('Ingredient Catalog'!$C:$C,MATCH(C2296,'Ingredient Catalog'!$A:$A,0)),"⚠ not in catalog"))</f>
        <v/>
      </c>
      <c r="G2296" s="12" t="str">
        <f aca="false">IF(A2296="","",COUNTIFS('Weekly Log'!$A:$A,'Grocery List'!$B$3,'Weekly Log'!$C:$C,A2296,'Weekly Log'!$E:$E,"Yes"))</f>
        <v/>
      </c>
      <c r="H2296" s="12" t="str">
        <f aca="false">IF(OR(A2296="",D2296=""),"",D2296*G2296)</f>
        <v/>
      </c>
    </row>
    <row r="2297" customFormat="false" ht="15" hidden="false" customHeight="false" outlineLevel="0" collapsed="false">
      <c r="B2297" s="12" t="str">
        <f aca="false">IF(A2297="","",IFERROR(INDEX(Recipes!$B:$B,MATCH(A2297,Recipes!$A:$A,0)),"⚠ unknown recipe_id"))</f>
        <v/>
      </c>
      <c r="E2297" s="12" t="str">
        <f aca="false">IF(C2297="","",IFERROR(INDEX('Ingredient Catalog'!$C:$C,MATCH(C2297,'Ingredient Catalog'!$A:$A,0)),"⚠ not in catalog"))</f>
        <v/>
      </c>
      <c r="G2297" s="12" t="str">
        <f aca="false">IF(A2297="","",COUNTIFS('Weekly Log'!$A:$A,'Grocery List'!$B$3,'Weekly Log'!$C:$C,A2297,'Weekly Log'!$E:$E,"Yes"))</f>
        <v/>
      </c>
      <c r="H2297" s="12" t="str">
        <f aca="false">IF(OR(A2297="",D2297=""),"",D2297*G2297)</f>
        <v/>
      </c>
    </row>
    <row r="2298" customFormat="false" ht="15" hidden="false" customHeight="false" outlineLevel="0" collapsed="false">
      <c r="B2298" s="12" t="str">
        <f aca="false">IF(A2298="","",IFERROR(INDEX(Recipes!$B:$B,MATCH(A2298,Recipes!$A:$A,0)),"⚠ unknown recipe_id"))</f>
        <v/>
      </c>
      <c r="E2298" s="12" t="str">
        <f aca="false">IF(C2298="","",IFERROR(INDEX('Ingredient Catalog'!$C:$C,MATCH(C2298,'Ingredient Catalog'!$A:$A,0)),"⚠ not in catalog"))</f>
        <v/>
      </c>
      <c r="G2298" s="12" t="str">
        <f aca="false">IF(A2298="","",COUNTIFS('Weekly Log'!$A:$A,'Grocery List'!$B$3,'Weekly Log'!$C:$C,A2298,'Weekly Log'!$E:$E,"Yes"))</f>
        <v/>
      </c>
      <c r="H2298" s="12" t="str">
        <f aca="false">IF(OR(A2298="",D2298=""),"",D2298*G2298)</f>
        <v/>
      </c>
    </row>
    <row r="2299" customFormat="false" ht="15" hidden="false" customHeight="false" outlineLevel="0" collapsed="false">
      <c r="B2299" s="12" t="str">
        <f aca="false">IF(A2299="","",IFERROR(INDEX(Recipes!$B:$B,MATCH(A2299,Recipes!$A:$A,0)),"⚠ unknown recipe_id"))</f>
        <v/>
      </c>
      <c r="E2299" s="12" t="str">
        <f aca="false">IF(C2299="","",IFERROR(INDEX('Ingredient Catalog'!$C:$C,MATCH(C2299,'Ingredient Catalog'!$A:$A,0)),"⚠ not in catalog"))</f>
        <v/>
      </c>
      <c r="G2299" s="12" t="str">
        <f aca="false">IF(A2299="","",COUNTIFS('Weekly Log'!$A:$A,'Grocery List'!$B$3,'Weekly Log'!$C:$C,A2299,'Weekly Log'!$E:$E,"Yes"))</f>
        <v/>
      </c>
      <c r="H2299" s="12" t="str">
        <f aca="false">IF(OR(A2299="",D2299=""),"",D2299*G2299)</f>
        <v/>
      </c>
    </row>
    <row r="2300" customFormat="false" ht="15" hidden="false" customHeight="false" outlineLevel="0" collapsed="false">
      <c r="B2300" s="12" t="str">
        <f aca="false">IF(A2300="","",IFERROR(INDEX(Recipes!$B:$B,MATCH(A2300,Recipes!$A:$A,0)),"⚠ unknown recipe_id"))</f>
        <v/>
      </c>
      <c r="E2300" s="12" t="str">
        <f aca="false">IF(C2300="","",IFERROR(INDEX('Ingredient Catalog'!$C:$C,MATCH(C2300,'Ingredient Catalog'!$A:$A,0)),"⚠ not in catalog"))</f>
        <v/>
      </c>
      <c r="G2300" s="12" t="str">
        <f aca="false">IF(A2300="","",COUNTIFS('Weekly Log'!$A:$A,'Grocery List'!$B$3,'Weekly Log'!$C:$C,A2300,'Weekly Log'!$E:$E,"Yes"))</f>
        <v/>
      </c>
      <c r="H2300" s="12" t="str">
        <f aca="false">IF(OR(A2300="",D2300=""),"",D2300*G2300)</f>
        <v/>
      </c>
    </row>
    <row r="2301" customFormat="false" ht="15" hidden="false" customHeight="false" outlineLevel="0" collapsed="false">
      <c r="B2301" s="12" t="str">
        <f aca="false">IF(A2301="","",IFERROR(INDEX(Recipes!$B:$B,MATCH(A2301,Recipes!$A:$A,0)),"⚠ unknown recipe_id"))</f>
        <v/>
      </c>
      <c r="E2301" s="12" t="str">
        <f aca="false">IF(C2301="","",IFERROR(INDEX('Ingredient Catalog'!$C:$C,MATCH(C2301,'Ingredient Catalog'!$A:$A,0)),"⚠ not in catalog"))</f>
        <v/>
      </c>
      <c r="G2301" s="12" t="str">
        <f aca="false">IF(A2301="","",COUNTIFS('Weekly Log'!$A:$A,'Grocery List'!$B$3,'Weekly Log'!$C:$C,A2301,'Weekly Log'!$E:$E,"Yes"))</f>
        <v/>
      </c>
      <c r="H2301" s="12" t="str">
        <f aca="false">IF(OR(A2301="",D2301=""),"",D2301*G2301)</f>
        <v/>
      </c>
    </row>
    <row r="2302" customFormat="false" ht="15" hidden="false" customHeight="false" outlineLevel="0" collapsed="false">
      <c r="B2302" s="12" t="str">
        <f aca="false">IF(A2302="","",IFERROR(INDEX(Recipes!$B:$B,MATCH(A2302,Recipes!$A:$A,0)),"⚠ unknown recipe_id"))</f>
        <v/>
      </c>
      <c r="E2302" s="12" t="str">
        <f aca="false">IF(C2302="","",IFERROR(INDEX('Ingredient Catalog'!$C:$C,MATCH(C2302,'Ingredient Catalog'!$A:$A,0)),"⚠ not in catalog"))</f>
        <v/>
      </c>
      <c r="G2302" s="12" t="str">
        <f aca="false">IF(A2302="","",COUNTIFS('Weekly Log'!$A:$A,'Grocery List'!$B$3,'Weekly Log'!$C:$C,A2302,'Weekly Log'!$E:$E,"Yes"))</f>
        <v/>
      </c>
      <c r="H2302" s="12" t="str">
        <f aca="false">IF(OR(A2302="",D2302=""),"",D2302*G2302)</f>
        <v/>
      </c>
    </row>
    <row r="2303" customFormat="false" ht="15" hidden="false" customHeight="false" outlineLevel="0" collapsed="false">
      <c r="B2303" s="12" t="str">
        <f aca="false">IF(A2303="","",IFERROR(INDEX(Recipes!$B:$B,MATCH(A2303,Recipes!$A:$A,0)),"⚠ unknown recipe_id"))</f>
        <v/>
      </c>
      <c r="E2303" s="12" t="str">
        <f aca="false">IF(C2303="","",IFERROR(INDEX('Ingredient Catalog'!$C:$C,MATCH(C2303,'Ingredient Catalog'!$A:$A,0)),"⚠ not in catalog"))</f>
        <v/>
      </c>
      <c r="G2303" s="12" t="str">
        <f aca="false">IF(A2303="","",COUNTIFS('Weekly Log'!$A:$A,'Grocery List'!$B$3,'Weekly Log'!$C:$C,A2303,'Weekly Log'!$E:$E,"Yes"))</f>
        <v/>
      </c>
      <c r="H2303" s="12" t="str">
        <f aca="false">IF(OR(A2303="",D2303=""),"",D2303*G2303)</f>
        <v/>
      </c>
    </row>
    <row r="2304" customFormat="false" ht="15" hidden="false" customHeight="false" outlineLevel="0" collapsed="false">
      <c r="B2304" s="12" t="str">
        <f aca="false">IF(A2304="","",IFERROR(INDEX(Recipes!$B:$B,MATCH(A2304,Recipes!$A:$A,0)),"⚠ unknown recipe_id"))</f>
        <v/>
      </c>
      <c r="E2304" s="12" t="str">
        <f aca="false">IF(C2304="","",IFERROR(INDEX('Ingredient Catalog'!$C:$C,MATCH(C2304,'Ingredient Catalog'!$A:$A,0)),"⚠ not in catalog"))</f>
        <v/>
      </c>
      <c r="G2304" s="12" t="str">
        <f aca="false">IF(A2304="","",COUNTIFS('Weekly Log'!$A:$A,'Grocery List'!$B$3,'Weekly Log'!$C:$C,A2304,'Weekly Log'!$E:$E,"Yes"))</f>
        <v/>
      </c>
      <c r="H2304" s="12" t="str">
        <f aca="false">IF(OR(A2304="",D2304=""),"",D2304*G2304)</f>
        <v/>
      </c>
    </row>
    <row r="2305" customFormat="false" ht="15" hidden="false" customHeight="false" outlineLevel="0" collapsed="false">
      <c r="B2305" s="12" t="str">
        <f aca="false">IF(A2305="","",IFERROR(INDEX(Recipes!$B:$B,MATCH(A2305,Recipes!$A:$A,0)),"⚠ unknown recipe_id"))</f>
        <v/>
      </c>
      <c r="E2305" s="12" t="str">
        <f aca="false">IF(C2305="","",IFERROR(INDEX('Ingredient Catalog'!$C:$C,MATCH(C2305,'Ingredient Catalog'!$A:$A,0)),"⚠ not in catalog"))</f>
        <v/>
      </c>
      <c r="G2305" s="12" t="str">
        <f aca="false">IF(A2305="","",COUNTIFS('Weekly Log'!$A:$A,'Grocery List'!$B$3,'Weekly Log'!$C:$C,A2305,'Weekly Log'!$E:$E,"Yes"))</f>
        <v/>
      </c>
      <c r="H2305" s="12" t="str">
        <f aca="false">IF(OR(A2305="",D2305=""),"",D2305*G2305)</f>
        <v/>
      </c>
    </row>
    <row r="2306" customFormat="false" ht="15" hidden="false" customHeight="false" outlineLevel="0" collapsed="false">
      <c r="B2306" s="12" t="str">
        <f aca="false">IF(A2306="","",IFERROR(INDEX(Recipes!$B:$B,MATCH(A2306,Recipes!$A:$A,0)),"⚠ unknown recipe_id"))</f>
        <v/>
      </c>
      <c r="E2306" s="12" t="str">
        <f aca="false">IF(C2306="","",IFERROR(INDEX('Ingredient Catalog'!$C:$C,MATCH(C2306,'Ingredient Catalog'!$A:$A,0)),"⚠ not in catalog"))</f>
        <v/>
      </c>
      <c r="G2306" s="12" t="str">
        <f aca="false">IF(A2306="","",COUNTIFS('Weekly Log'!$A:$A,'Grocery List'!$B$3,'Weekly Log'!$C:$C,A2306,'Weekly Log'!$E:$E,"Yes"))</f>
        <v/>
      </c>
      <c r="H2306" s="12" t="str">
        <f aca="false">IF(OR(A2306="",D2306=""),"",D2306*G2306)</f>
        <v/>
      </c>
    </row>
    <row r="2307" customFormat="false" ht="15" hidden="false" customHeight="false" outlineLevel="0" collapsed="false">
      <c r="B2307" s="12" t="str">
        <f aca="false">IF(A2307="","",IFERROR(INDEX(Recipes!$B:$B,MATCH(A2307,Recipes!$A:$A,0)),"⚠ unknown recipe_id"))</f>
        <v/>
      </c>
      <c r="E2307" s="12" t="str">
        <f aca="false">IF(C2307="","",IFERROR(INDEX('Ingredient Catalog'!$C:$C,MATCH(C2307,'Ingredient Catalog'!$A:$A,0)),"⚠ not in catalog"))</f>
        <v/>
      </c>
      <c r="G2307" s="12" t="str">
        <f aca="false">IF(A2307="","",COUNTIFS('Weekly Log'!$A:$A,'Grocery List'!$B$3,'Weekly Log'!$C:$C,A2307,'Weekly Log'!$E:$E,"Yes"))</f>
        <v/>
      </c>
      <c r="H2307" s="12" t="str">
        <f aca="false">IF(OR(A2307="",D2307=""),"",D2307*G2307)</f>
        <v/>
      </c>
    </row>
    <row r="2308" customFormat="false" ht="15" hidden="false" customHeight="false" outlineLevel="0" collapsed="false">
      <c r="B2308" s="12" t="str">
        <f aca="false">IF(A2308="","",IFERROR(INDEX(Recipes!$B:$B,MATCH(A2308,Recipes!$A:$A,0)),"⚠ unknown recipe_id"))</f>
        <v/>
      </c>
      <c r="E2308" s="12" t="str">
        <f aca="false">IF(C2308="","",IFERROR(INDEX('Ingredient Catalog'!$C:$C,MATCH(C2308,'Ingredient Catalog'!$A:$A,0)),"⚠ not in catalog"))</f>
        <v/>
      </c>
      <c r="G2308" s="12" t="str">
        <f aca="false">IF(A2308="","",COUNTIFS('Weekly Log'!$A:$A,'Grocery List'!$B$3,'Weekly Log'!$C:$C,A2308,'Weekly Log'!$E:$E,"Yes"))</f>
        <v/>
      </c>
      <c r="H2308" s="12" t="str">
        <f aca="false">IF(OR(A2308="",D2308=""),"",D2308*G2308)</f>
        <v/>
      </c>
    </row>
    <row r="2309" customFormat="false" ht="15" hidden="false" customHeight="false" outlineLevel="0" collapsed="false">
      <c r="B2309" s="12" t="str">
        <f aca="false">IF(A2309="","",IFERROR(INDEX(Recipes!$B:$B,MATCH(A2309,Recipes!$A:$A,0)),"⚠ unknown recipe_id"))</f>
        <v/>
      </c>
      <c r="E2309" s="12" t="str">
        <f aca="false">IF(C2309="","",IFERROR(INDEX('Ingredient Catalog'!$C:$C,MATCH(C2309,'Ingredient Catalog'!$A:$A,0)),"⚠ not in catalog"))</f>
        <v/>
      </c>
      <c r="G2309" s="12" t="str">
        <f aca="false">IF(A2309="","",COUNTIFS('Weekly Log'!$A:$A,'Grocery List'!$B$3,'Weekly Log'!$C:$C,A2309,'Weekly Log'!$E:$E,"Yes"))</f>
        <v/>
      </c>
      <c r="H2309" s="12" t="str">
        <f aca="false">IF(OR(A2309="",D2309=""),"",D2309*G2309)</f>
        <v/>
      </c>
    </row>
    <row r="2310" customFormat="false" ht="15" hidden="false" customHeight="false" outlineLevel="0" collapsed="false">
      <c r="B2310" s="12" t="str">
        <f aca="false">IF(A2310="","",IFERROR(INDEX(Recipes!$B:$B,MATCH(A2310,Recipes!$A:$A,0)),"⚠ unknown recipe_id"))</f>
        <v/>
      </c>
      <c r="E2310" s="12" t="str">
        <f aca="false">IF(C2310="","",IFERROR(INDEX('Ingredient Catalog'!$C:$C,MATCH(C2310,'Ingredient Catalog'!$A:$A,0)),"⚠ not in catalog"))</f>
        <v/>
      </c>
      <c r="G2310" s="12" t="str">
        <f aca="false">IF(A2310="","",COUNTIFS('Weekly Log'!$A:$A,'Grocery List'!$B$3,'Weekly Log'!$C:$C,A2310,'Weekly Log'!$E:$E,"Yes"))</f>
        <v/>
      </c>
      <c r="H2310" s="12" t="str">
        <f aca="false">IF(OR(A2310="",D2310=""),"",D2310*G2310)</f>
        <v/>
      </c>
    </row>
    <row r="2311" customFormat="false" ht="15" hidden="false" customHeight="false" outlineLevel="0" collapsed="false">
      <c r="B2311" s="12" t="str">
        <f aca="false">IF(A2311="","",IFERROR(INDEX(Recipes!$B:$B,MATCH(A2311,Recipes!$A:$A,0)),"⚠ unknown recipe_id"))</f>
        <v/>
      </c>
      <c r="E2311" s="12" t="str">
        <f aca="false">IF(C2311="","",IFERROR(INDEX('Ingredient Catalog'!$C:$C,MATCH(C2311,'Ingredient Catalog'!$A:$A,0)),"⚠ not in catalog"))</f>
        <v/>
      </c>
      <c r="G2311" s="12" t="str">
        <f aca="false">IF(A2311="","",COUNTIFS('Weekly Log'!$A:$A,'Grocery List'!$B$3,'Weekly Log'!$C:$C,A2311,'Weekly Log'!$E:$E,"Yes"))</f>
        <v/>
      </c>
      <c r="H2311" s="12" t="str">
        <f aca="false">IF(OR(A2311="",D2311=""),"",D2311*G2311)</f>
        <v/>
      </c>
    </row>
    <row r="2312" customFormat="false" ht="15" hidden="false" customHeight="false" outlineLevel="0" collapsed="false">
      <c r="B2312" s="12" t="str">
        <f aca="false">IF(A2312="","",IFERROR(INDEX(Recipes!$B:$B,MATCH(A2312,Recipes!$A:$A,0)),"⚠ unknown recipe_id"))</f>
        <v/>
      </c>
      <c r="E2312" s="12" t="str">
        <f aca="false">IF(C2312="","",IFERROR(INDEX('Ingredient Catalog'!$C:$C,MATCH(C2312,'Ingredient Catalog'!$A:$A,0)),"⚠ not in catalog"))</f>
        <v/>
      </c>
      <c r="G2312" s="12" t="str">
        <f aca="false">IF(A2312="","",COUNTIFS('Weekly Log'!$A:$A,'Grocery List'!$B$3,'Weekly Log'!$C:$C,A2312,'Weekly Log'!$E:$E,"Yes"))</f>
        <v/>
      </c>
      <c r="H2312" s="12" t="str">
        <f aca="false">IF(OR(A2312="",D2312=""),"",D2312*G2312)</f>
        <v/>
      </c>
    </row>
    <row r="2313" customFormat="false" ht="15" hidden="false" customHeight="false" outlineLevel="0" collapsed="false">
      <c r="B2313" s="12" t="str">
        <f aca="false">IF(A2313="","",IFERROR(INDEX(Recipes!$B:$B,MATCH(A2313,Recipes!$A:$A,0)),"⚠ unknown recipe_id"))</f>
        <v/>
      </c>
      <c r="E2313" s="12" t="str">
        <f aca="false">IF(C2313="","",IFERROR(INDEX('Ingredient Catalog'!$C:$C,MATCH(C2313,'Ingredient Catalog'!$A:$A,0)),"⚠ not in catalog"))</f>
        <v/>
      </c>
      <c r="G2313" s="12" t="str">
        <f aca="false">IF(A2313="","",COUNTIFS('Weekly Log'!$A:$A,'Grocery List'!$B$3,'Weekly Log'!$C:$C,A2313,'Weekly Log'!$E:$E,"Yes"))</f>
        <v/>
      </c>
      <c r="H2313" s="12" t="str">
        <f aca="false">IF(OR(A2313="",D2313=""),"",D2313*G2313)</f>
        <v/>
      </c>
    </row>
    <row r="2314" customFormat="false" ht="15" hidden="false" customHeight="false" outlineLevel="0" collapsed="false">
      <c r="B2314" s="12" t="str">
        <f aca="false">IF(A2314="","",IFERROR(INDEX(Recipes!$B:$B,MATCH(A2314,Recipes!$A:$A,0)),"⚠ unknown recipe_id"))</f>
        <v/>
      </c>
      <c r="E2314" s="12" t="str">
        <f aca="false">IF(C2314="","",IFERROR(INDEX('Ingredient Catalog'!$C:$C,MATCH(C2314,'Ingredient Catalog'!$A:$A,0)),"⚠ not in catalog"))</f>
        <v/>
      </c>
      <c r="G2314" s="12" t="str">
        <f aca="false">IF(A2314="","",COUNTIFS('Weekly Log'!$A:$A,'Grocery List'!$B$3,'Weekly Log'!$C:$C,A2314,'Weekly Log'!$E:$E,"Yes"))</f>
        <v/>
      </c>
      <c r="H2314" s="12" t="str">
        <f aca="false">IF(OR(A2314="",D2314=""),"",D2314*G2314)</f>
        <v/>
      </c>
    </row>
    <row r="2315" customFormat="false" ht="15" hidden="false" customHeight="false" outlineLevel="0" collapsed="false">
      <c r="B2315" s="12" t="str">
        <f aca="false">IF(A2315="","",IFERROR(INDEX(Recipes!$B:$B,MATCH(A2315,Recipes!$A:$A,0)),"⚠ unknown recipe_id"))</f>
        <v/>
      </c>
      <c r="E2315" s="12" t="str">
        <f aca="false">IF(C2315="","",IFERROR(INDEX('Ingredient Catalog'!$C:$C,MATCH(C2315,'Ingredient Catalog'!$A:$A,0)),"⚠ not in catalog"))</f>
        <v/>
      </c>
      <c r="G2315" s="12" t="str">
        <f aca="false">IF(A2315="","",COUNTIFS('Weekly Log'!$A:$A,'Grocery List'!$B$3,'Weekly Log'!$C:$C,A2315,'Weekly Log'!$E:$E,"Yes"))</f>
        <v/>
      </c>
      <c r="H2315" s="12" t="str">
        <f aca="false">IF(OR(A2315="",D2315=""),"",D2315*G2315)</f>
        <v/>
      </c>
    </row>
    <row r="2316" customFormat="false" ht="15" hidden="false" customHeight="false" outlineLevel="0" collapsed="false">
      <c r="B2316" s="12" t="str">
        <f aca="false">IF(A2316="","",IFERROR(INDEX(Recipes!$B:$B,MATCH(A2316,Recipes!$A:$A,0)),"⚠ unknown recipe_id"))</f>
        <v/>
      </c>
      <c r="E2316" s="12" t="str">
        <f aca="false">IF(C2316="","",IFERROR(INDEX('Ingredient Catalog'!$C:$C,MATCH(C2316,'Ingredient Catalog'!$A:$A,0)),"⚠ not in catalog"))</f>
        <v/>
      </c>
      <c r="G2316" s="12" t="str">
        <f aca="false">IF(A2316="","",COUNTIFS('Weekly Log'!$A:$A,'Grocery List'!$B$3,'Weekly Log'!$C:$C,A2316,'Weekly Log'!$E:$E,"Yes"))</f>
        <v/>
      </c>
      <c r="H2316" s="12" t="str">
        <f aca="false">IF(OR(A2316="",D2316=""),"",D2316*G2316)</f>
        <v/>
      </c>
    </row>
    <row r="2317" customFormat="false" ht="15" hidden="false" customHeight="false" outlineLevel="0" collapsed="false">
      <c r="B2317" s="12" t="str">
        <f aca="false">IF(A2317="","",IFERROR(INDEX(Recipes!$B:$B,MATCH(A2317,Recipes!$A:$A,0)),"⚠ unknown recipe_id"))</f>
        <v/>
      </c>
      <c r="E2317" s="12" t="str">
        <f aca="false">IF(C2317="","",IFERROR(INDEX('Ingredient Catalog'!$C:$C,MATCH(C2317,'Ingredient Catalog'!$A:$A,0)),"⚠ not in catalog"))</f>
        <v/>
      </c>
      <c r="G2317" s="12" t="str">
        <f aca="false">IF(A2317="","",COUNTIFS('Weekly Log'!$A:$A,'Grocery List'!$B$3,'Weekly Log'!$C:$C,A2317,'Weekly Log'!$E:$E,"Yes"))</f>
        <v/>
      </c>
      <c r="H2317" s="12" t="str">
        <f aca="false">IF(OR(A2317="",D2317=""),"",D2317*G2317)</f>
        <v/>
      </c>
    </row>
    <row r="2318" customFormat="false" ht="15" hidden="false" customHeight="false" outlineLevel="0" collapsed="false">
      <c r="B2318" s="12" t="str">
        <f aca="false">IF(A2318="","",IFERROR(INDEX(Recipes!$B:$B,MATCH(A2318,Recipes!$A:$A,0)),"⚠ unknown recipe_id"))</f>
        <v/>
      </c>
      <c r="E2318" s="12" t="str">
        <f aca="false">IF(C2318="","",IFERROR(INDEX('Ingredient Catalog'!$C:$C,MATCH(C2318,'Ingredient Catalog'!$A:$A,0)),"⚠ not in catalog"))</f>
        <v/>
      </c>
      <c r="G2318" s="12" t="str">
        <f aca="false">IF(A2318="","",COUNTIFS('Weekly Log'!$A:$A,'Grocery List'!$B$3,'Weekly Log'!$C:$C,A2318,'Weekly Log'!$E:$E,"Yes"))</f>
        <v/>
      </c>
      <c r="H2318" s="12" t="str">
        <f aca="false">IF(OR(A2318="",D2318=""),"",D2318*G2318)</f>
        <v/>
      </c>
    </row>
    <row r="2319" customFormat="false" ht="15" hidden="false" customHeight="false" outlineLevel="0" collapsed="false">
      <c r="B2319" s="12" t="str">
        <f aca="false">IF(A2319="","",IFERROR(INDEX(Recipes!$B:$B,MATCH(A2319,Recipes!$A:$A,0)),"⚠ unknown recipe_id"))</f>
        <v/>
      </c>
      <c r="E2319" s="12" t="str">
        <f aca="false">IF(C2319="","",IFERROR(INDEX('Ingredient Catalog'!$C:$C,MATCH(C2319,'Ingredient Catalog'!$A:$A,0)),"⚠ not in catalog"))</f>
        <v/>
      </c>
      <c r="G2319" s="12" t="str">
        <f aca="false">IF(A2319="","",COUNTIFS('Weekly Log'!$A:$A,'Grocery List'!$B$3,'Weekly Log'!$C:$C,A2319,'Weekly Log'!$E:$E,"Yes"))</f>
        <v/>
      </c>
      <c r="H2319" s="12" t="str">
        <f aca="false">IF(OR(A2319="",D2319=""),"",D2319*G2319)</f>
        <v/>
      </c>
    </row>
    <row r="2320" customFormat="false" ht="15" hidden="false" customHeight="false" outlineLevel="0" collapsed="false">
      <c r="B2320" s="12" t="str">
        <f aca="false">IF(A2320="","",IFERROR(INDEX(Recipes!$B:$B,MATCH(A2320,Recipes!$A:$A,0)),"⚠ unknown recipe_id"))</f>
        <v/>
      </c>
      <c r="E2320" s="12" t="str">
        <f aca="false">IF(C2320="","",IFERROR(INDEX('Ingredient Catalog'!$C:$C,MATCH(C2320,'Ingredient Catalog'!$A:$A,0)),"⚠ not in catalog"))</f>
        <v/>
      </c>
      <c r="G2320" s="12" t="str">
        <f aca="false">IF(A2320="","",COUNTIFS('Weekly Log'!$A:$A,'Grocery List'!$B$3,'Weekly Log'!$C:$C,A2320,'Weekly Log'!$E:$E,"Yes"))</f>
        <v/>
      </c>
      <c r="H2320" s="12" t="str">
        <f aca="false">IF(OR(A2320="",D2320=""),"",D2320*G2320)</f>
        <v/>
      </c>
    </row>
    <row r="2321" customFormat="false" ht="15" hidden="false" customHeight="false" outlineLevel="0" collapsed="false">
      <c r="B2321" s="12" t="str">
        <f aca="false">IF(A2321="","",IFERROR(INDEX(Recipes!$B:$B,MATCH(A2321,Recipes!$A:$A,0)),"⚠ unknown recipe_id"))</f>
        <v/>
      </c>
      <c r="E2321" s="12" t="str">
        <f aca="false">IF(C2321="","",IFERROR(INDEX('Ingredient Catalog'!$C:$C,MATCH(C2321,'Ingredient Catalog'!$A:$A,0)),"⚠ not in catalog"))</f>
        <v/>
      </c>
      <c r="G2321" s="12" t="str">
        <f aca="false">IF(A2321="","",COUNTIFS('Weekly Log'!$A:$A,'Grocery List'!$B$3,'Weekly Log'!$C:$C,A2321,'Weekly Log'!$E:$E,"Yes"))</f>
        <v/>
      </c>
      <c r="H2321" s="12" t="str">
        <f aca="false">IF(OR(A2321="",D2321=""),"",D2321*G2321)</f>
        <v/>
      </c>
    </row>
    <row r="2322" customFormat="false" ht="15" hidden="false" customHeight="false" outlineLevel="0" collapsed="false">
      <c r="B2322" s="12" t="str">
        <f aca="false">IF(A2322="","",IFERROR(INDEX(Recipes!$B:$B,MATCH(A2322,Recipes!$A:$A,0)),"⚠ unknown recipe_id"))</f>
        <v/>
      </c>
      <c r="E2322" s="12" t="str">
        <f aca="false">IF(C2322="","",IFERROR(INDEX('Ingredient Catalog'!$C:$C,MATCH(C2322,'Ingredient Catalog'!$A:$A,0)),"⚠ not in catalog"))</f>
        <v/>
      </c>
      <c r="G2322" s="12" t="str">
        <f aca="false">IF(A2322="","",COUNTIFS('Weekly Log'!$A:$A,'Grocery List'!$B$3,'Weekly Log'!$C:$C,A2322,'Weekly Log'!$E:$E,"Yes"))</f>
        <v/>
      </c>
      <c r="H2322" s="12" t="str">
        <f aca="false">IF(OR(A2322="",D2322=""),"",D2322*G2322)</f>
        <v/>
      </c>
    </row>
    <row r="2323" customFormat="false" ht="15" hidden="false" customHeight="false" outlineLevel="0" collapsed="false">
      <c r="B2323" s="12" t="str">
        <f aca="false">IF(A2323="","",IFERROR(INDEX(Recipes!$B:$B,MATCH(A2323,Recipes!$A:$A,0)),"⚠ unknown recipe_id"))</f>
        <v/>
      </c>
      <c r="E2323" s="12" t="str">
        <f aca="false">IF(C2323="","",IFERROR(INDEX('Ingredient Catalog'!$C:$C,MATCH(C2323,'Ingredient Catalog'!$A:$A,0)),"⚠ not in catalog"))</f>
        <v/>
      </c>
      <c r="G2323" s="12" t="str">
        <f aca="false">IF(A2323="","",COUNTIFS('Weekly Log'!$A:$A,'Grocery List'!$B$3,'Weekly Log'!$C:$C,A2323,'Weekly Log'!$E:$E,"Yes"))</f>
        <v/>
      </c>
      <c r="H2323" s="12" t="str">
        <f aca="false">IF(OR(A2323="",D2323=""),"",D2323*G2323)</f>
        <v/>
      </c>
    </row>
    <row r="2324" customFormat="false" ht="15" hidden="false" customHeight="false" outlineLevel="0" collapsed="false">
      <c r="B2324" s="12" t="str">
        <f aca="false">IF(A2324="","",IFERROR(INDEX(Recipes!$B:$B,MATCH(A2324,Recipes!$A:$A,0)),"⚠ unknown recipe_id"))</f>
        <v/>
      </c>
      <c r="E2324" s="12" t="str">
        <f aca="false">IF(C2324="","",IFERROR(INDEX('Ingredient Catalog'!$C:$C,MATCH(C2324,'Ingredient Catalog'!$A:$A,0)),"⚠ not in catalog"))</f>
        <v/>
      </c>
      <c r="G2324" s="12" t="str">
        <f aca="false">IF(A2324="","",COUNTIFS('Weekly Log'!$A:$A,'Grocery List'!$B$3,'Weekly Log'!$C:$C,A2324,'Weekly Log'!$E:$E,"Yes"))</f>
        <v/>
      </c>
      <c r="H2324" s="12" t="str">
        <f aca="false">IF(OR(A2324="",D2324=""),"",D2324*G2324)</f>
        <v/>
      </c>
    </row>
    <row r="2325" customFormat="false" ht="15" hidden="false" customHeight="false" outlineLevel="0" collapsed="false">
      <c r="B2325" s="12" t="str">
        <f aca="false">IF(A2325="","",IFERROR(INDEX(Recipes!$B:$B,MATCH(A2325,Recipes!$A:$A,0)),"⚠ unknown recipe_id"))</f>
        <v/>
      </c>
      <c r="E2325" s="12" t="str">
        <f aca="false">IF(C2325="","",IFERROR(INDEX('Ingredient Catalog'!$C:$C,MATCH(C2325,'Ingredient Catalog'!$A:$A,0)),"⚠ not in catalog"))</f>
        <v/>
      </c>
      <c r="G2325" s="12" t="str">
        <f aca="false">IF(A2325="","",COUNTIFS('Weekly Log'!$A:$A,'Grocery List'!$B$3,'Weekly Log'!$C:$C,A2325,'Weekly Log'!$E:$E,"Yes"))</f>
        <v/>
      </c>
      <c r="H2325" s="12" t="str">
        <f aca="false">IF(OR(A2325="",D2325=""),"",D2325*G2325)</f>
        <v/>
      </c>
    </row>
    <row r="2326" customFormat="false" ht="15" hidden="false" customHeight="false" outlineLevel="0" collapsed="false">
      <c r="B2326" s="12" t="str">
        <f aca="false">IF(A2326="","",IFERROR(INDEX(Recipes!$B:$B,MATCH(A2326,Recipes!$A:$A,0)),"⚠ unknown recipe_id"))</f>
        <v/>
      </c>
      <c r="E2326" s="12" t="str">
        <f aca="false">IF(C2326="","",IFERROR(INDEX('Ingredient Catalog'!$C:$C,MATCH(C2326,'Ingredient Catalog'!$A:$A,0)),"⚠ not in catalog"))</f>
        <v/>
      </c>
      <c r="G2326" s="12" t="str">
        <f aca="false">IF(A2326="","",COUNTIFS('Weekly Log'!$A:$A,'Grocery List'!$B$3,'Weekly Log'!$C:$C,A2326,'Weekly Log'!$E:$E,"Yes"))</f>
        <v/>
      </c>
      <c r="H2326" s="12" t="str">
        <f aca="false">IF(OR(A2326="",D2326=""),"",D2326*G2326)</f>
        <v/>
      </c>
    </row>
    <row r="2327" customFormat="false" ht="15" hidden="false" customHeight="false" outlineLevel="0" collapsed="false">
      <c r="B2327" s="12" t="str">
        <f aca="false">IF(A2327="","",IFERROR(INDEX(Recipes!$B:$B,MATCH(A2327,Recipes!$A:$A,0)),"⚠ unknown recipe_id"))</f>
        <v/>
      </c>
      <c r="E2327" s="12" t="str">
        <f aca="false">IF(C2327="","",IFERROR(INDEX('Ingredient Catalog'!$C:$C,MATCH(C2327,'Ingredient Catalog'!$A:$A,0)),"⚠ not in catalog"))</f>
        <v/>
      </c>
      <c r="G2327" s="12" t="str">
        <f aca="false">IF(A2327="","",COUNTIFS('Weekly Log'!$A:$A,'Grocery List'!$B$3,'Weekly Log'!$C:$C,A2327,'Weekly Log'!$E:$E,"Yes"))</f>
        <v/>
      </c>
      <c r="H2327" s="12" t="str">
        <f aca="false">IF(OR(A2327="",D2327=""),"",D2327*G2327)</f>
        <v/>
      </c>
    </row>
    <row r="2328" customFormat="false" ht="15" hidden="false" customHeight="false" outlineLevel="0" collapsed="false">
      <c r="B2328" s="12" t="str">
        <f aca="false">IF(A2328="","",IFERROR(INDEX(Recipes!$B:$B,MATCH(A2328,Recipes!$A:$A,0)),"⚠ unknown recipe_id"))</f>
        <v/>
      </c>
      <c r="E2328" s="12" t="str">
        <f aca="false">IF(C2328="","",IFERROR(INDEX('Ingredient Catalog'!$C:$C,MATCH(C2328,'Ingredient Catalog'!$A:$A,0)),"⚠ not in catalog"))</f>
        <v/>
      </c>
      <c r="G2328" s="12" t="str">
        <f aca="false">IF(A2328="","",COUNTIFS('Weekly Log'!$A:$A,'Grocery List'!$B$3,'Weekly Log'!$C:$C,A2328,'Weekly Log'!$E:$E,"Yes"))</f>
        <v/>
      </c>
      <c r="H2328" s="12" t="str">
        <f aca="false">IF(OR(A2328="",D2328=""),"",D2328*G2328)</f>
        <v/>
      </c>
    </row>
    <row r="2329" customFormat="false" ht="15" hidden="false" customHeight="false" outlineLevel="0" collapsed="false">
      <c r="B2329" s="12" t="str">
        <f aca="false">IF(A2329="","",IFERROR(INDEX(Recipes!$B:$B,MATCH(A2329,Recipes!$A:$A,0)),"⚠ unknown recipe_id"))</f>
        <v/>
      </c>
      <c r="E2329" s="12" t="str">
        <f aca="false">IF(C2329="","",IFERROR(INDEX('Ingredient Catalog'!$C:$C,MATCH(C2329,'Ingredient Catalog'!$A:$A,0)),"⚠ not in catalog"))</f>
        <v/>
      </c>
      <c r="G2329" s="12" t="str">
        <f aca="false">IF(A2329="","",COUNTIFS('Weekly Log'!$A:$A,'Grocery List'!$B$3,'Weekly Log'!$C:$C,A2329,'Weekly Log'!$E:$E,"Yes"))</f>
        <v/>
      </c>
      <c r="H2329" s="12" t="str">
        <f aca="false">IF(OR(A2329="",D2329=""),"",D2329*G2329)</f>
        <v/>
      </c>
    </row>
    <row r="2330" customFormat="false" ht="15" hidden="false" customHeight="false" outlineLevel="0" collapsed="false">
      <c r="B2330" s="12" t="str">
        <f aca="false">IF(A2330="","",IFERROR(INDEX(Recipes!$B:$B,MATCH(A2330,Recipes!$A:$A,0)),"⚠ unknown recipe_id"))</f>
        <v/>
      </c>
      <c r="E2330" s="12" t="str">
        <f aca="false">IF(C2330="","",IFERROR(INDEX('Ingredient Catalog'!$C:$C,MATCH(C2330,'Ingredient Catalog'!$A:$A,0)),"⚠ not in catalog"))</f>
        <v/>
      </c>
      <c r="G2330" s="12" t="str">
        <f aca="false">IF(A2330="","",COUNTIFS('Weekly Log'!$A:$A,'Grocery List'!$B$3,'Weekly Log'!$C:$C,A2330,'Weekly Log'!$E:$E,"Yes"))</f>
        <v/>
      </c>
      <c r="H2330" s="12" t="str">
        <f aca="false">IF(OR(A2330="",D2330=""),"",D2330*G2330)</f>
        <v/>
      </c>
    </row>
    <row r="2331" customFormat="false" ht="15" hidden="false" customHeight="false" outlineLevel="0" collapsed="false">
      <c r="B2331" s="12" t="str">
        <f aca="false">IF(A2331="","",IFERROR(INDEX(Recipes!$B:$B,MATCH(A2331,Recipes!$A:$A,0)),"⚠ unknown recipe_id"))</f>
        <v/>
      </c>
      <c r="E2331" s="12" t="str">
        <f aca="false">IF(C2331="","",IFERROR(INDEX('Ingredient Catalog'!$C:$C,MATCH(C2331,'Ingredient Catalog'!$A:$A,0)),"⚠ not in catalog"))</f>
        <v/>
      </c>
      <c r="G2331" s="12" t="str">
        <f aca="false">IF(A2331="","",COUNTIFS('Weekly Log'!$A:$A,'Grocery List'!$B$3,'Weekly Log'!$C:$C,A2331,'Weekly Log'!$E:$E,"Yes"))</f>
        <v/>
      </c>
      <c r="H2331" s="12" t="str">
        <f aca="false">IF(OR(A2331="",D2331=""),"",D2331*G2331)</f>
        <v/>
      </c>
    </row>
    <row r="2332" customFormat="false" ht="15" hidden="false" customHeight="false" outlineLevel="0" collapsed="false">
      <c r="B2332" s="12" t="str">
        <f aca="false">IF(A2332="","",IFERROR(INDEX(Recipes!$B:$B,MATCH(A2332,Recipes!$A:$A,0)),"⚠ unknown recipe_id"))</f>
        <v/>
      </c>
      <c r="E2332" s="12" t="str">
        <f aca="false">IF(C2332="","",IFERROR(INDEX('Ingredient Catalog'!$C:$C,MATCH(C2332,'Ingredient Catalog'!$A:$A,0)),"⚠ not in catalog"))</f>
        <v/>
      </c>
      <c r="G2332" s="12" t="str">
        <f aca="false">IF(A2332="","",COUNTIFS('Weekly Log'!$A:$A,'Grocery List'!$B$3,'Weekly Log'!$C:$C,A2332,'Weekly Log'!$E:$E,"Yes"))</f>
        <v/>
      </c>
      <c r="H2332" s="12" t="str">
        <f aca="false">IF(OR(A2332="",D2332=""),"",D2332*G2332)</f>
        <v/>
      </c>
    </row>
    <row r="2333" customFormat="false" ht="15" hidden="false" customHeight="false" outlineLevel="0" collapsed="false">
      <c r="B2333" s="12" t="str">
        <f aca="false">IF(A2333="","",IFERROR(INDEX(Recipes!$B:$B,MATCH(A2333,Recipes!$A:$A,0)),"⚠ unknown recipe_id"))</f>
        <v/>
      </c>
      <c r="E2333" s="12" t="str">
        <f aca="false">IF(C2333="","",IFERROR(INDEX('Ingredient Catalog'!$C:$C,MATCH(C2333,'Ingredient Catalog'!$A:$A,0)),"⚠ not in catalog"))</f>
        <v/>
      </c>
      <c r="G2333" s="12" t="str">
        <f aca="false">IF(A2333="","",COUNTIFS('Weekly Log'!$A:$A,'Grocery List'!$B$3,'Weekly Log'!$C:$C,A2333,'Weekly Log'!$E:$E,"Yes"))</f>
        <v/>
      </c>
      <c r="H2333" s="12" t="str">
        <f aca="false">IF(OR(A2333="",D2333=""),"",D2333*G2333)</f>
        <v/>
      </c>
    </row>
    <row r="2334" customFormat="false" ht="15" hidden="false" customHeight="false" outlineLevel="0" collapsed="false">
      <c r="B2334" s="12" t="str">
        <f aca="false">IF(A2334="","",IFERROR(INDEX(Recipes!$B:$B,MATCH(A2334,Recipes!$A:$A,0)),"⚠ unknown recipe_id"))</f>
        <v/>
      </c>
      <c r="E2334" s="12" t="str">
        <f aca="false">IF(C2334="","",IFERROR(INDEX('Ingredient Catalog'!$C:$C,MATCH(C2334,'Ingredient Catalog'!$A:$A,0)),"⚠ not in catalog"))</f>
        <v/>
      </c>
      <c r="G2334" s="12" t="str">
        <f aca="false">IF(A2334="","",COUNTIFS('Weekly Log'!$A:$A,'Grocery List'!$B$3,'Weekly Log'!$C:$C,A2334,'Weekly Log'!$E:$E,"Yes"))</f>
        <v/>
      </c>
      <c r="H2334" s="12" t="str">
        <f aca="false">IF(OR(A2334="",D2334=""),"",D2334*G2334)</f>
        <v/>
      </c>
    </row>
    <row r="2335" customFormat="false" ht="15" hidden="false" customHeight="false" outlineLevel="0" collapsed="false">
      <c r="B2335" s="12" t="str">
        <f aca="false">IF(A2335="","",IFERROR(INDEX(Recipes!$B:$B,MATCH(A2335,Recipes!$A:$A,0)),"⚠ unknown recipe_id"))</f>
        <v/>
      </c>
      <c r="E2335" s="12" t="str">
        <f aca="false">IF(C2335="","",IFERROR(INDEX('Ingredient Catalog'!$C:$C,MATCH(C2335,'Ingredient Catalog'!$A:$A,0)),"⚠ not in catalog"))</f>
        <v/>
      </c>
      <c r="G2335" s="12" t="str">
        <f aca="false">IF(A2335="","",COUNTIFS('Weekly Log'!$A:$A,'Grocery List'!$B$3,'Weekly Log'!$C:$C,A2335,'Weekly Log'!$E:$E,"Yes"))</f>
        <v/>
      </c>
      <c r="H2335" s="12" t="str">
        <f aca="false">IF(OR(A2335="",D2335=""),"",D2335*G2335)</f>
        <v/>
      </c>
    </row>
    <row r="2336" customFormat="false" ht="15" hidden="false" customHeight="false" outlineLevel="0" collapsed="false">
      <c r="B2336" s="12" t="str">
        <f aca="false">IF(A2336="","",IFERROR(INDEX(Recipes!$B:$B,MATCH(A2336,Recipes!$A:$A,0)),"⚠ unknown recipe_id"))</f>
        <v/>
      </c>
      <c r="E2336" s="12" t="str">
        <f aca="false">IF(C2336="","",IFERROR(INDEX('Ingredient Catalog'!$C:$C,MATCH(C2336,'Ingredient Catalog'!$A:$A,0)),"⚠ not in catalog"))</f>
        <v/>
      </c>
      <c r="G2336" s="12" t="str">
        <f aca="false">IF(A2336="","",COUNTIFS('Weekly Log'!$A:$A,'Grocery List'!$B$3,'Weekly Log'!$C:$C,A2336,'Weekly Log'!$E:$E,"Yes"))</f>
        <v/>
      </c>
      <c r="H2336" s="12" t="str">
        <f aca="false">IF(OR(A2336="",D2336=""),"",D2336*G2336)</f>
        <v/>
      </c>
    </row>
    <row r="2337" customFormat="false" ht="15" hidden="false" customHeight="false" outlineLevel="0" collapsed="false">
      <c r="B2337" s="12" t="str">
        <f aca="false">IF(A2337="","",IFERROR(INDEX(Recipes!$B:$B,MATCH(A2337,Recipes!$A:$A,0)),"⚠ unknown recipe_id"))</f>
        <v/>
      </c>
      <c r="E2337" s="12" t="str">
        <f aca="false">IF(C2337="","",IFERROR(INDEX('Ingredient Catalog'!$C:$C,MATCH(C2337,'Ingredient Catalog'!$A:$A,0)),"⚠ not in catalog"))</f>
        <v/>
      </c>
      <c r="G2337" s="12" t="str">
        <f aca="false">IF(A2337="","",COUNTIFS('Weekly Log'!$A:$A,'Grocery List'!$B$3,'Weekly Log'!$C:$C,A2337,'Weekly Log'!$E:$E,"Yes"))</f>
        <v/>
      </c>
      <c r="H2337" s="12" t="str">
        <f aca="false">IF(OR(A2337="",D2337=""),"",D2337*G2337)</f>
        <v/>
      </c>
    </row>
    <row r="2338" customFormat="false" ht="15" hidden="false" customHeight="false" outlineLevel="0" collapsed="false">
      <c r="B2338" s="12" t="str">
        <f aca="false">IF(A2338="","",IFERROR(INDEX(Recipes!$B:$B,MATCH(A2338,Recipes!$A:$A,0)),"⚠ unknown recipe_id"))</f>
        <v/>
      </c>
      <c r="E2338" s="12" t="str">
        <f aca="false">IF(C2338="","",IFERROR(INDEX('Ingredient Catalog'!$C:$C,MATCH(C2338,'Ingredient Catalog'!$A:$A,0)),"⚠ not in catalog"))</f>
        <v/>
      </c>
      <c r="G2338" s="12" t="str">
        <f aca="false">IF(A2338="","",COUNTIFS('Weekly Log'!$A:$A,'Grocery List'!$B$3,'Weekly Log'!$C:$C,A2338,'Weekly Log'!$E:$E,"Yes"))</f>
        <v/>
      </c>
      <c r="H2338" s="12" t="str">
        <f aca="false">IF(OR(A2338="",D2338=""),"",D2338*G2338)</f>
        <v/>
      </c>
    </row>
    <row r="2339" customFormat="false" ht="15" hidden="false" customHeight="false" outlineLevel="0" collapsed="false">
      <c r="B2339" s="12" t="str">
        <f aca="false">IF(A2339="","",IFERROR(INDEX(Recipes!$B:$B,MATCH(A2339,Recipes!$A:$A,0)),"⚠ unknown recipe_id"))</f>
        <v/>
      </c>
      <c r="E2339" s="12" t="str">
        <f aca="false">IF(C2339="","",IFERROR(INDEX('Ingredient Catalog'!$C:$C,MATCH(C2339,'Ingredient Catalog'!$A:$A,0)),"⚠ not in catalog"))</f>
        <v/>
      </c>
      <c r="G2339" s="12" t="str">
        <f aca="false">IF(A2339="","",COUNTIFS('Weekly Log'!$A:$A,'Grocery List'!$B$3,'Weekly Log'!$C:$C,A2339,'Weekly Log'!$E:$E,"Yes"))</f>
        <v/>
      </c>
      <c r="H2339" s="12" t="str">
        <f aca="false">IF(OR(A2339="",D2339=""),"",D2339*G2339)</f>
        <v/>
      </c>
    </row>
    <row r="2340" customFormat="false" ht="15" hidden="false" customHeight="false" outlineLevel="0" collapsed="false">
      <c r="B2340" s="12" t="str">
        <f aca="false">IF(A2340="","",IFERROR(INDEX(Recipes!$B:$B,MATCH(A2340,Recipes!$A:$A,0)),"⚠ unknown recipe_id"))</f>
        <v/>
      </c>
      <c r="E2340" s="12" t="str">
        <f aca="false">IF(C2340="","",IFERROR(INDEX('Ingredient Catalog'!$C:$C,MATCH(C2340,'Ingredient Catalog'!$A:$A,0)),"⚠ not in catalog"))</f>
        <v/>
      </c>
      <c r="G2340" s="12" t="str">
        <f aca="false">IF(A2340="","",COUNTIFS('Weekly Log'!$A:$A,'Grocery List'!$B$3,'Weekly Log'!$C:$C,A2340,'Weekly Log'!$E:$E,"Yes"))</f>
        <v/>
      </c>
      <c r="H2340" s="12" t="str">
        <f aca="false">IF(OR(A2340="",D2340=""),"",D2340*G2340)</f>
        <v/>
      </c>
    </row>
    <row r="2341" customFormat="false" ht="15" hidden="false" customHeight="false" outlineLevel="0" collapsed="false">
      <c r="B2341" s="12" t="str">
        <f aca="false">IF(A2341="","",IFERROR(INDEX(Recipes!$B:$B,MATCH(A2341,Recipes!$A:$A,0)),"⚠ unknown recipe_id"))</f>
        <v/>
      </c>
      <c r="E2341" s="12" t="str">
        <f aca="false">IF(C2341="","",IFERROR(INDEX('Ingredient Catalog'!$C:$C,MATCH(C2341,'Ingredient Catalog'!$A:$A,0)),"⚠ not in catalog"))</f>
        <v/>
      </c>
      <c r="G2341" s="12" t="str">
        <f aca="false">IF(A2341="","",COUNTIFS('Weekly Log'!$A:$A,'Grocery List'!$B$3,'Weekly Log'!$C:$C,A2341,'Weekly Log'!$E:$E,"Yes"))</f>
        <v/>
      </c>
      <c r="H2341" s="12" t="str">
        <f aca="false">IF(OR(A2341="",D2341=""),"",D2341*G2341)</f>
        <v/>
      </c>
    </row>
    <row r="2342" customFormat="false" ht="15" hidden="false" customHeight="false" outlineLevel="0" collapsed="false">
      <c r="B2342" s="12" t="str">
        <f aca="false">IF(A2342="","",IFERROR(INDEX(Recipes!$B:$B,MATCH(A2342,Recipes!$A:$A,0)),"⚠ unknown recipe_id"))</f>
        <v/>
      </c>
      <c r="E2342" s="12" t="str">
        <f aca="false">IF(C2342="","",IFERROR(INDEX('Ingredient Catalog'!$C:$C,MATCH(C2342,'Ingredient Catalog'!$A:$A,0)),"⚠ not in catalog"))</f>
        <v/>
      </c>
      <c r="G2342" s="12" t="str">
        <f aca="false">IF(A2342="","",COUNTIFS('Weekly Log'!$A:$A,'Grocery List'!$B$3,'Weekly Log'!$C:$C,A2342,'Weekly Log'!$E:$E,"Yes"))</f>
        <v/>
      </c>
      <c r="H2342" s="12" t="str">
        <f aca="false">IF(OR(A2342="",D2342=""),"",D2342*G2342)</f>
        <v/>
      </c>
    </row>
    <row r="2343" customFormat="false" ht="15" hidden="false" customHeight="false" outlineLevel="0" collapsed="false">
      <c r="B2343" s="12" t="str">
        <f aca="false">IF(A2343="","",IFERROR(INDEX(Recipes!$B:$B,MATCH(A2343,Recipes!$A:$A,0)),"⚠ unknown recipe_id"))</f>
        <v/>
      </c>
      <c r="E2343" s="12" t="str">
        <f aca="false">IF(C2343="","",IFERROR(INDEX('Ingredient Catalog'!$C:$C,MATCH(C2343,'Ingredient Catalog'!$A:$A,0)),"⚠ not in catalog"))</f>
        <v/>
      </c>
      <c r="G2343" s="12" t="str">
        <f aca="false">IF(A2343="","",COUNTIFS('Weekly Log'!$A:$A,'Grocery List'!$B$3,'Weekly Log'!$C:$C,A2343,'Weekly Log'!$E:$E,"Yes"))</f>
        <v/>
      </c>
      <c r="H2343" s="12" t="str">
        <f aca="false">IF(OR(A2343="",D2343=""),"",D2343*G2343)</f>
        <v/>
      </c>
    </row>
    <row r="2344" customFormat="false" ht="15" hidden="false" customHeight="false" outlineLevel="0" collapsed="false">
      <c r="B2344" s="12" t="str">
        <f aca="false">IF(A2344="","",IFERROR(INDEX(Recipes!$B:$B,MATCH(A2344,Recipes!$A:$A,0)),"⚠ unknown recipe_id"))</f>
        <v/>
      </c>
      <c r="E2344" s="12" t="str">
        <f aca="false">IF(C2344="","",IFERROR(INDEX('Ingredient Catalog'!$C:$C,MATCH(C2344,'Ingredient Catalog'!$A:$A,0)),"⚠ not in catalog"))</f>
        <v/>
      </c>
      <c r="G2344" s="12" t="str">
        <f aca="false">IF(A2344="","",COUNTIFS('Weekly Log'!$A:$A,'Grocery List'!$B$3,'Weekly Log'!$C:$C,A2344,'Weekly Log'!$E:$E,"Yes"))</f>
        <v/>
      </c>
      <c r="H2344" s="12" t="str">
        <f aca="false">IF(OR(A2344="",D2344=""),"",D2344*G2344)</f>
        <v/>
      </c>
    </row>
    <row r="2345" customFormat="false" ht="15" hidden="false" customHeight="false" outlineLevel="0" collapsed="false">
      <c r="B2345" s="12" t="str">
        <f aca="false">IF(A2345="","",IFERROR(INDEX(Recipes!$B:$B,MATCH(A2345,Recipes!$A:$A,0)),"⚠ unknown recipe_id"))</f>
        <v/>
      </c>
      <c r="E2345" s="12" t="str">
        <f aca="false">IF(C2345="","",IFERROR(INDEX('Ingredient Catalog'!$C:$C,MATCH(C2345,'Ingredient Catalog'!$A:$A,0)),"⚠ not in catalog"))</f>
        <v/>
      </c>
      <c r="G2345" s="12" t="str">
        <f aca="false">IF(A2345="","",COUNTIFS('Weekly Log'!$A:$A,'Grocery List'!$B$3,'Weekly Log'!$C:$C,A2345,'Weekly Log'!$E:$E,"Yes"))</f>
        <v/>
      </c>
      <c r="H2345" s="12" t="str">
        <f aca="false">IF(OR(A2345="",D2345=""),"",D2345*G2345)</f>
        <v/>
      </c>
    </row>
    <row r="2346" customFormat="false" ht="15" hidden="false" customHeight="false" outlineLevel="0" collapsed="false">
      <c r="B2346" s="12" t="str">
        <f aca="false">IF(A2346="","",IFERROR(INDEX(Recipes!$B:$B,MATCH(A2346,Recipes!$A:$A,0)),"⚠ unknown recipe_id"))</f>
        <v/>
      </c>
      <c r="E2346" s="12" t="str">
        <f aca="false">IF(C2346="","",IFERROR(INDEX('Ingredient Catalog'!$C:$C,MATCH(C2346,'Ingredient Catalog'!$A:$A,0)),"⚠ not in catalog"))</f>
        <v/>
      </c>
      <c r="G2346" s="12" t="str">
        <f aca="false">IF(A2346="","",COUNTIFS('Weekly Log'!$A:$A,'Grocery List'!$B$3,'Weekly Log'!$C:$C,A2346,'Weekly Log'!$E:$E,"Yes"))</f>
        <v/>
      </c>
      <c r="H2346" s="12" t="str">
        <f aca="false">IF(OR(A2346="",D2346=""),"",D2346*G2346)</f>
        <v/>
      </c>
    </row>
    <row r="2347" customFormat="false" ht="15" hidden="false" customHeight="false" outlineLevel="0" collapsed="false">
      <c r="B2347" s="12" t="str">
        <f aca="false">IF(A2347="","",IFERROR(INDEX(Recipes!$B:$B,MATCH(A2347,Recipes!$A:$A,0)),"⚠ unknown recipe_id"))</f>
        <v/>
      </c>
      <c r="E2347" s="12" t="str">
        <f aca="false">IF(C2347="","",IFERROR(INDEX('Ingredient Catalog'!$C:$C,MATCH(C2347,'Ingredient Catalog'!$A:$A,0)),"⚠ not in catalog"))</f>
        <v/>
      </c>
      <c r="G2347" s="12" t="str">
        <f aca="false">IF(A2347="","",COUNTIFS('Weekly Log'!$A:$A,'Grocery List'!$B$3,'Weekly Log'!$C:$C,A2347,'Weekly Log'!$E:$E,"Yes"))</f>
        <v/>
      </c>
      <c r="H2347" s="12" t="str">
        <f aca="false">IF(OR(A2347="",D2347=""),"",D2347*G2347)</f>
        <v/>
      </c>
    </row>
    <row r="2348" customFormat="false" ht="15" hidden="false" customHeight="false" outlineLevel="0" collapsed="false">
      <c r="B2348" s="12" t="str">
        <f aca="false">IF(A2348="","",IFERROR(INDEX(Recipes!$B:$B,MATCH(A2348,Recipes!$A:$A,0)),"⚠ unknown recipe_id"))</f>
        <v/>
      </c>
      <c r="E2348" s="12" t="str">
        <f aca="false">IF(C2348="","",IFERROR(INDEX('Ingredient Catalog'!$C:$C,MATCH(C2348,'Ingredient Catalog'!$A:$A,0)),"⚠ not in catalog"))</f>
        <v/>
      </c>
      <c r="G2348" s="12" t="str">
        <f aca="false">IF(A2348="","",COUNTIFS('Weekly Log'!$A:$A,'Grocery List'!$B$3,'Weekly Log'!$C:$C,A2348,'Weekly Log'!$E:$E,"Yes"))</f>
        <v/>
      </c>
      <c r="H2348" s="12" t="str">
        <f aca="false">IF(OR(A2348="",D2348=""),"",D2348*G2348)</f>
        <v/>
      </c>
    </row>
    <row r="2349" customFormat="false" ht="15" hidden="false" customHeight="false" outlineLevel="0" collapsed="false">
      <c r="B2349" s="12" t="str">
        <f aca="false">IF(A2349="","",IFERROR(INDEX(Recipes!$B:$B,MATCH(A2349,Recipes!$A:$A,0)),"⚠ unknown recipe_id"))</f>
        <v/>
      </c>
      <c r="E2349" s="12" t="str">
        <f aca="false">IF(C2349="","",IFERROR(INDEX('Ingredient Catalog'!$C:$C,MATCH(C2349,'Ingredient Catalog'!$A:$A,0)),"⚠ not in catalog"))</f>
        <v/>
      </c>
      <c r="G2349" s="12" t="str">
        <f aca="false">IF(A2349="","",COUNTIFS('Weekly Log'!$A:$A,'Grocery List'!$B$3,'Weekly Log'!$C:$C,A2349,'Weekly Log'!$E:$E,"Yes"))</f>
        <v/>
      </c>
      <c r="H2349" s="12" t="str">
        <f aca="false">IF(OR(A2349="",D2349=""),"",D2349*G2349)</f>
        <v/>
      </c>
    </row>
    <row r="2350" customFormat="false" ht="15" hidden="false" customHeight="false" outlineLevel="0" collapsed="false">
      <c r="B2350" s="12" t="str">
        <f aca="false">IF(A2350="","",IFERROR(INDEX(Recipes!$B:$B,MATCH(A2350,Recipes!$A:$A,0)),"⚠ unknown recipe_id"))</f>
        <v/>
      </c>
      <c r="E2350" s="12" t="str">
        <f aca="false">IF(C2350="","",IFERROR(INDEX('Ingredient Catalog'!$C:$C,MATCH(C2350,'Ingredient Catalog'!$A:$A,0)),"⚠ not in catalog"))</f>
        <v/>
      </c>
      <c r="G2350" s="12" t="str">
        <f aca="false">IF(A2350="","",COUNTIFS('Weekly Log'!$A:$A,'Grocery List'!$B$3,'Weekly Log'!$C:$C,A2350,'Weekly Log'!$E:$E,"Yes"))</f>
        <v/>
      </c>
      <c r="H2350" s="12" t="str">
        <f aca="false">IF(OR(A2350="",D2350=""),"",D2350*G2350)</f>
        <v/>
      </c>
    </row>
    <row r="2351" customFormat="false" ht="15" hidden="false" customHeight="false" outlineLevel="0" collapsed="false">
      <c r="B2351" s="12" t="str">
        <f aca="false">IF(A2351="","",IFERROR(INDEX(Recipes!$B:$B,MATCH(A2351,Recipes!$A:$A,0)),"⚠ unknown recipe_id"))</f>
        <v/>
      </c>
      <c r="E2351" s="12" t="str">
        <f aca="false">IF(C2351="","",IFERROR(INDEX('Ingredient Catalog'!$C:$C,MATCH(C2351,'Ingredient Catalog'!$A:$A,0)),"⚠ not in catalog"))</f>
        <v/>
      </c>
      <c r="G2351" s="12" t="str">
        <f aca="false">IF(A2351="","",COUNTIFS('Weekly Log'!$A:$A,'Grocery List'!$B$3,'Weekly Log'!$C:$C,A2351,'Weekly Log'!$E:$E,"Yes"))</f>
        <v/>
      </c>
      <c r="H2351" s="12" t="str">
        <f aca="false">IF(OR(A2351="",D2351=""),"",D2351*G2351)</f>
        <v/>
      </c>
    </row>
    <row r="2352" customFormat="false" ht="15" hidden="false" customHeight="false" outlineLevel="0" collapsed="false">
      <c r="B2352" s="12" t="str">
        <f aca="false">IF(A2352="","",IFERROR(INDEX(Recipes!$B:$B,MATCH(A2352,Recipes!$A:$A,0)),"⚠ unknown recipe_id"))</f>
        <v/>
      </c>
      <c r="E2352" s="12" t="str">
        <f aca="false">IF(C2352="","",IFERROR(INDEX('Ingredient Catalog'!$C:$C,MATCH(C2352,'Ingredient Catalog'!$A:$A,0)),"⚠ not in catalog"))</f>
        <v/>
      </c>
      <c r="G2352" s="12" t="str">
        <f aca="false">IF(A2352="","",COUNTIFS('Weekly Log'!$A:$A,'Grocery List'!$B$3,'Weekly Log'!$C:$C,A2352,'Weekly Log'!$E:$E,"Yes"))</f>
        <v/>
      </c>
      <c r="H2352" s="12" t="str">
        <f aca="false">IF(OR(A2352="",D2352=""),"",D2352*G2352)</f>
        <v/>
      </c>
    </row>
    <row r="2353" customFormat="false" ht="15" hidden="false" customHeight="false" outlineLevel="0" collapsed="false">
      <c r="B2353" s="12" t="str">
        <f aca="false">IF(A2353="","",IFERROR(INDEX(Recipes!$B:$B,MATCH(A2353,Recipes!$A:$A,0)),"⚠ unknown recipe_id"))</f>
        <v/>
      </c>
      <c r="E2353" s="12" t="str">
        <f aca="false">IF(C2353="","",IFERROR(INDEX('Ingredient Catalog'!$C:$C,MATCH(C2353,'Ingredient Catalog'!$A:$A,0)),"⚠ not in catalog"))</f>
        <v/>
      </c>
      <c r="G2353" s="12" t="str">
        <f aca="false">IF(A2353="","",COUNTIFS('Weekly Log'!$A:$A,'Grocery List'!$B$3,'Weekly Log'!$C:$C,A2353,'Weekly Log'!$E:$E,"Yes"))</f>
        <v/>
      </c>
      <c r="H2353" s="12" t="str">
        <f aca="false">IF(OR(A2353="",D2353=""),"",D2353*G2353)</f>
        <v/>
      </c>
    </row>
    <row r="2354" customFormat="false" ht="15" hidden="false" customHeight="false" outlineLevel="0" collapsed="false">
      <c r="B2354" s="12" t="str">
        <f aca="false">IF(A2354="","",IFERROR(INDEX(Recipes!$B:$B,MATCH(A2354,Recipes!$A:$A,0)),"⚠ unknown recipe_id"))</f>
        <v/>
      </c>
      <c r="E2354" s="12" t="str">
        <f aca="false">IF(C2354="","",IFERROR(INDEX('Ingredient Catalog'!$C:$C,MATCH(C2354,'Ingredient Catalog'!$A:$A,0)),"⚠ not in catalog"))</f>
        <v/>
      </c>
      <c r="G2354" s="12" t="str">
        <f aca="false">IF(A2354="","",COUNTIFS('Weekly Log'!$A:$A,'Grocery List'!$B$3,'Weekly Log'!$C:$C,A2354,'Weekly Log'!$E:$E,"Yes"))</f>
        <v/>
      </c>
      <c r="H2354" s="12" t="str">
        <f aca="false">IF(OR(A2354="",D2354=""),"",D2354*G2354)</f>
        <v/>
      </c>
    </row>
    <row r="2355" customFormat="false" ht="15" hidden="false" customHeight="false" outlineLevel="0" collapsed="false">
      <c r="B2355" s="12" t="str">
        <f aca="false">IF(A2355="","",IFERROR(INDEX(Recipes!$B:$B,MATCH(A2355,Recipes!$A:$A,0)),"⚠ unknown recipe_id"))</f>
        <v/>
      </c>
      <c r="E2355" s="12" t="str">
        <f aca="false">IF(C2355="","",IFERROR(INDEX('Ingredient Catalog'!$C:$C,MATCH(C2355,'Ingredient Catalog'!$A:$A,0)),"⚠ not in catalog"))</f>
        <v/>
      </c>
      <c r="G2355" s="12" t="str">
        <f aca="false">IF(A2355="","",COUNTIFS('Weekly Log'!$A:$A,'Grocery List'!$B$3,'Weekly Log'!$C:$C,A2355,'Weekly Log'!$E:$E,"Yes"))</f>
        <v/>
      </c>
      <c r="H2355" s="12" t="str">
        <f aca="false">IF(OR(A2355="",D2355=""),"",D2355*G2355)</f>
        <v/>
      </c>
    </row>
    <row r="2356" customFormat="false" ht="15" hidden="false" customHeight="false" outlineLevel="0" collapsed="false">
      <c r="B2356" s="12" t="str">
        <f aca="false">IF(A2356="","",IFERROR(INDEX(Recipes!$B:$B,MATCH(A2356,Recipes!$A:$A,0)),"⚠ unknown recipe_id"))</f>
        <v/>
      </c>
      <c r="E2356" s="12" t="str">
        <f aca="false">IF(C2356="","",IFERROR(INDEX('Ingredient Catalog'!$C:$C,MATCH(C2356,'Ingredient Catalog'!$A:$A,0)),"⚠ not in catalog"))</f>
        <v/>
      </c>
      <c r="G2356" s="12" t="str">
        <f aca="false">IF(A2356="","",COUNTIFS('Weekly Log'!$A:$A,'Grocery List'!$B$3,'Weekly Log'!$C:$C,A2356,'Weekly Log'!$E:$E,"Yes"))</f>
        <v/>
      </c>
      <c r="H2356" s="12" t="str">
        <f aca="false">IF(OR(A2356="",D2356=""),"",D2356*G2356)</f>
        <v/>
      </c>
    </row>
    <row r="2357" customFormat="false" ht="15" hidden="false" customHeight="false" outlineLevel="0" collapsed="false">
      <c r="B2357" s="12" t="str">
        <f aca="false">IF(A2357="","",IFERROR(INDEX(Recipes!$B:$B,MATCH(A2357,Recipes!$A:$A,0)),"⚠ unknown recipe_id"))</f>
        <v/>
      </c>
      <c r="E2357" s="12" t="str">
        <f aca="false">IF(C2357="","",IFERROR(INDEX('Ingredient Catalog'!$C:$C,MATCH(C2357,'Ingredient Catalog'!$A:$A,0)),"⚠ not in catalog"))</f>
        <v/>
      </c>
      <c r="G2357" s="12" t="str">
        <f aca="false">IF(A2357="","",COUNTIFS('Weekly Log'!$A:$A,'Grocery List'!$B$3,'Weekly Log'!$C:$C,A2357,'Weekly Log'!$E:$E,"Yes"))</f>
        <v/>
      </c>
      <c r="H2357" s="12" t="str">
        <f aca="false">IF(OR(A2357="",D2357=""),"",D2357*G2357)</f>
        <v/>
      </c>
    </row>
    <row r="2358" customFormat="false" ht="15" hidden="false" customHeight="false" outlineLevel="0" collapsed="false">
      <c r="B2358" s="12" t="str">
        <f aca="false">IF(A2358="","",IFERROR(INDEX(Recipes!$B:$B,MATCH(A2358,Recipes!$A:$A,0)),"⚠ unknown recipe_id"))</f>
        <v/>
      </c>
      <c r="E2358" s="12" t="str">
        <f aca="false">IF(C2358="","",IFERROR(INDEX('Ingredient Catalog'!$C:$C,MATCH(C2358,'Ingredient Catalog'!$A:$A,0)),"⚠ not in catalog"))</f>
        <v/>
      </c>
      <c r="G2358" s="12" t="str">
        <f aca="false">IF(A2358="","",COUNTIFS('Weekly Log'!$A:$A,'Grocery List'!$B$3,'Weekly Log'!$C:$C,A2358,'Weekly Log'!$E:$E,"Yes"))</f>
        <v/>
      </c>
      <c r="H2358" s="12" t="str">
        <f aca="false">IF(OR(A2358="",D2358=""),"",D2358*G2358)</f>
        <v/>
      </c>
    </row>
    <row r="2359" customFormat="false" ht="15" hidden="false" customHeight="false" outlineLevel="0" collapsed="false">
      <c r="B2359" s="12" t="str">
        <f aca="false">IF(A2359="","",IFERROR(INDEX(Recipes!$B:$B,MATCH(A2359,Recipes!$A:$A,0)),"⚠ unknown recipe_id"))</f>
        <v/>
      </c>
      <c r="E2359" s="12" t="str">
        <f aca="false">IF(C2359="","",IFERROR(INDEX('Ingredient Catalog'!$C:$C,MATCH(C2359,'Ingredient Catalog'!$A:$A,0)),"⚠ not in catalog"))</f>
        <v/>
      </c>
      <c r="G2359" s="12" t="str">
        <f aca="false">IF(A2359="","",COUNTIFS('Weekly Log'!$A:$A,'Grocery List'!$B$3,'Weekly Log'!$C:$C,A2359,'Weekly Log'!$E:$E,"Yes"))</f>
        <v/>
      </c>
      <c r="H2359" s="12" t="str">
        <f aca="false">IF(OR(A2359="",D2359=""),"",D2359*G2359)</f>
        <v/>
      </c>
    </row>
    <row r="2360" customFormat="false" ht="15" hidden="false" customHeight="false" outlineLevel="0" collapsed="false">
      <c r="B2360" s="12" t="str">
        <f aca="false">IF(A2360="","",IFERROR(INDEX(Recipes!$B:$B,MATCH(A2360,Recipes!$A:$A,0)),"⚠ unknown recipe_id"))</f>
        <v/>
      </c>
      <c r="E2360" s="12" t="str">
        <f aca="false">IF(C2360="","",IFERROR(INDEX('Ingredient Catalog'!$C:$C,MATCH(C2360,'Ingredient Catalog'!$A:$A,0)),"⚠ not in catalog"))</f>
        <v/>
      </c>
      <c r="G2360" s="12" t="str">
        <f aca="false">IF(A2360="","",COUNTIFS('Weekly Log'!$A:$A,'Grocery List'!$B$3,'Weekly Log'!$C:$C,A2360,'Weekly Log'!$E:$E,"Yes"))</f>
        <v/>
      </c>
      <c r="H2360" s="12" t="str">
        <f aca="false">IF(OR(A2360="",D2360=""),"",D2360*G2360)</f>
        <v/>
      </c>
    </row>
    <row r="2361" customFormat="false" ht="15" hidden="false" customHeight="false" outlineLevel="0" collapsed="false">
      <c r="B2361" s="12" t="str">
        <f aca="false">IF(A2361="","",IFERROR(INDEX(Recipes!$B:$B,MATCH(A2361,Recipes!$A:$A,0)),"⚠ unknown recipe_id"))</f>
        <v/>
      </c>
      <c r="E2361" s="12" t="str">
        <f aca="false">IF(C2361="","",IFERROR(INDEX('Ingredient Catalog'!$C:$C,MATCH(C2361,'Ingredient Catalog'!$A:$A,0)),"⚠ not in catalog"))</f>
        <v/>
      </c>
      <c r="G2361" s="12" t="str">
        <f aca="false">IF(A2361="","",COUNTIFS('Weekly Log'!$A:$A,'Grocery List'!$B$3,'Weekly Log'!$C:$C,A2361,'Weekly Log'!$E:$E,"Yes"))</f>
        <v/>
      </c>
      <c r="H2361" s="12" t="str">
        <f aca="false">IF(OR(A2361="",D2361=""),"",D2361*G2361)</f>
        <v/>
      </c>
    </row>
    <row r="2362" customFormat="false" ht="15" hidden="false" customHeight="false" outlineLevel="0" collapsed="false">
      <c r="B2362" s="12" t="str">
        <f aca="false">IF(A2362="","",IFERROR(INDEX(Recipes!$B:$B,MATCH(A2362,Recipes!$A:$A,0)),"⚠ unknown recipe_id"))</f>
        <v/>
      </c>
      <c r="E2362" s="12" t="str">
        <f aca="false">IF(C2362="","",IFERROR(INDEX('Ingredient Catalog'!$C:$C,MATCH(C2362,'Ingredient Catalog'!$A:$A,0)),"⚠ not in catalog"))</f>
        <v/>
      </c>
      <c r="G2362" s="12" t="str">
        <f aca="false">IF(A2362="","",COUNTIFS('Weekly Log'!$A:$A,'Grocery List'!$B$3,'Weekly Log'!$C:$C,A2362,'Weekly Log'!$E:$E,"Yes"))</f>
        <v/>
      </c>
      <c r="H2362" s="12" t="str">
        <f aca="false">IF(OR(A2362="",D2362=""),"",D2362*G2362)</f>
        <v/>
      </c>
    </row>
    <row r="2363" customFormat="false" ht="15" hidden="false" customHeight="false" outlineLevel="0" collapsed="false">
      <c r="B2363" s="12" t="str">
        <f aca="false">IF(A2363="","",IFERROR(INDEX(Recipes!$B:$B,MATCH(A2363,Recipes!$A:$A,0)),"⚠ unknown recipe_id"))</f>
        <v/>
      </c>
      <c r="E2363" s="12" t="str">
        <f aca="false">IF(C2363="","",IFERROR(INDEX('Ingredient Catalog'!$C:$C,MATCH(C2363,'Ingredient Catalog'!$A:$A,0)),"⚠ not in catalog"))</f>
        <v/>
      </c>
      <c r="G2363" s="12" t="str">
        <f aca="false">IF(A2363="","",COUNTIFS('Weekly Log'!$A:$A,'Grocery List'!$B$3,'Weekly Log'!$C:$C,A2363,'Weekly Log'!$E:$E,"Yes"))</f>
        <v/>
      </c>
      <c r="H2363" s="12" t="str">
        <f aca="false">IF(OR(A2363="",D2363=""),"",D2363*G2363)</f>
        <v/>
      </c>
    </row>
    <row r="2364" customFormat="false" ht="15" hidden="false" customHeight="false" outlineLevel="0" collapsed="false">
      <c r="B2364" s="12" t="str">
        <f aca="false">IF(A2364="","",IFERROR(INDEX(Recipes!$B:$B,MATCH(A2364,Recipes!$A:$A,0)),"⚠ unknown recipe_id"))</f>
        <v/>
      </c>
      <c r="E2364" s="12" t="str">
        <f aca="false">IF(C2364="","",IFERROR(INDEX('Ingredient Catalog'!$C:$C,MATCH(C2364,'Ingredient Catalog'!$A:$A,0)),"⚠ not in catalog"))</f>
        <v/>
      </c>
      <c r="G2364" s="12" t="str">
        <f aca="false">IF(A2364="","",COUNTIFS('Weekly Log'!$A:$A,'Grocery List'!$B$3,'Weekly Log'!$C:$C,A2364,'Weekly Log'!$E:$E,"Yes"))</f>
        <v/>
      </c>
      <c r="H2364" s="12" t="str">
        <f aca="false">IF(OR(A2364="",D2364=""),"",D2364*G2364)</f>
        <v/>
      </c>
    </row>
    <row r="2365" customFormat="false" ht="15" hidden="false" customHeight="false" outlineLevel="0" collapsed="false">
      <c r="B2365" s="12" t="str">
        <f aca="false">IF(A2365="","",IFERROR(INDEX(Recipes!$B:$B,MATCH(A2365,Recipes!$A:$A,0)),"⚠ unknown recipe_id"))</f>
        <v/>
      </c>
      <c r="E2365" s="12" t="str">
        <f aca="false">IF(C2365="","",IFERROR(INDEX('Ingredient Catalog'!$C:$C,MATCH(C2365,'Ingredient Catalog'!$A:$A,0)),"⚠ not in catalog"))</f>
        <v/>
      </c>
      <c r="G2365" s="12" t="str">
        <f aca="false">IF(A2365="","",COUNTIFS('Weekly Log'!$A:$A,'Grocery List'!$B$3,'Weekly Log'!$C:$C,A2365,'Weekly Log'!$E:$E,"Yes"))</f>
        <v/>
      </c>
      <c r="H2365" s="12" t="str">
        <f aca="false">IF(OR(A2365="",D2365=""),"",D2365*G2365)</f>
        <v/>
      </c>
    </row>
    <row r="2366" customFormat="false" ht="15" hidden="false" customHeight="false" outlineLevel="0" collapsed="false">
      <c r="B2366" s="12" t="str">
        <f aca="false">IF(A2366="","",IFERROR(INDEX(Recipes!$B:$B,MATCH(A2366,Recipes!$A:$A,0)),"⚠ unknown recipe_id"))</f>
        <v/>
      </c>
      <c r="E2366" s="12" t="str">
        <f aca="false">IF(C2366="","",IFERROR(INDEX('Ingredient Catalog'!$C:$C,MATCH(C2366,'Ingredient Catalog'!$A:$A,0)),"⚠ not in catalog"))</f>
        <v/>
      </c>
      <c r="G2366" s="12" t="str">
        <f aca="false">IF(A2366="","",COUNTIFS('Weekly Log'!$A:$A,'Grocery List'!$B$3,'Weekly Log'!$C:$C,A2366,'Weekly Log'!$E:$E,"Yes"))</f>
        <v/>
      </c>
      <c r="H2366" s="12" t="str">
        <f aca="false">IF(OR(A2366="",D2366=""),"",D2366*G2366)</f>
        <v/>
      </c>
    </row>
    <row r="2367" customFormat="false" ht="15" hidden="false" customHeight="false" outlineLevel="0" collapsed="false">
      <c r="B2367" s="12" t="str">
        <f aca="false">IF(A2367="","",IFERROR(INDEX(Recipes!$B:$B,MATCH(A2367,Recipes!$A:$A,0)),"⚠ unknown recipe_id"))</f>
        <v/>
      </c>
      <c r="E2367" s="12" t="str">
        <f aca="false">IF(C2367="","",IFERROR(INDEX('Ingredient Catalog'!$C:$C,MATCH(C2367,'Ingredient Catalog'!$A:$A,0)),"⚠ not in catalog"))</f>
        <v/>
      </c>
      <c r="G2367" s="12" t="str">
        <f aca="false">IF(A2367="","",COUNTIFS('Weekly Log'!$A:$A,'Grocery List'!$B$3,'Weekly Log'!$C:$C,A2367,'Weekly Log'!$E:$E,"Yes"))</f>
        <v/>
      </c>
      <c r="H2367" s="12" t="str">
        <f aca="false">IF(OR(A2367="",D2367=""),"",D2367*G2367)</f>
        <v/>
      </c>
    </row>
    <row r="2368" customFormat="false" ht="15" hidden="false" customHeight="false" outlineLevel="0" collapsed="false">
      <c r="B2368" s="12" t="str">
        <f aca="false">IF(A2368="","",IFERROR(INDEX(Recipes!$B:$B,MATCH(A2368,Recipes!$A:$A,0)),"⚠ unknown recipe_id"))</f>
        <v/>
      </c>
      <c r="E2368" s="12" t="str">
        <f aca="false">IF(C2368="","",IFERROR(INDEX('Ingredient Catalog'!$C:$C,MATCH(C2368,'Ingredient Catalog'!$A:$A,0)),"⚠ not in catalog"))</f>
        <v/>
      </c>
      <c r="G2368" s="12" t="str">
        <f aca="false">IF(A2368="","",COUNTIFS('Weekly Log'!$A:$A,'Grocery List'!$B$3,'Weekly Log'!$C:$C,A2368,'Weekly Log'!$E:$E,"Yes"))</f>
        <v/>
      </c>
      <c r="H2368" s="12" t="str">
        <f aca="false">IF(OR(A2368="",D2368=""),"",D2368*G2368)</f>
        <v/>
      </c>
    </row>
    <row r="2369" customFormat="false" ht="15" hidden="false" customHeight="false" outlineLevel="0" collapsed="false">
      <c r="B2369" s="12" t="str">
        <f aca="false">IF(A2369="","",IFERROR(INDEX(Recipes!$B:$B,MATCH(A2369,Recipes!$A:$A,0)),"⚠ unknown recipe_id"))</f>
        <v/>
      </c>
      <c r="E2369" s="12" t="str">
        <f aca="false">IF(C2369="","",IFERROR(INDEX('Ingredient Catalog'!$C:$C,MATCH(C2369,'Ingredient Catalog'!$A:$A,0)),"⚠ not in catalog"))</f>
        <v/>
      </c>
      <c r="G2369" s="12" t="str">
        <f aca="false">IF(A2369="","",COUNTIFS('Weekly Log'!$A:$A,'Grocery List'!$B$3,'Weekly Log'!$C:$C,A2369,'Weekly Log'!$E:$E,"Yes"))</f>
        <v/>
      </c>
      <c r="H2369" s="12" t="str">
        <f aca="false">IF(OR(A2369="",D2369=""),"",D2369*G2369)</f>
        <v/>
      </c>
    </row>
    <row r="2370" customFormat="false" ht="15" hidden="false" customHeight="false" outlineLevel="0" collapsed="false">
      <c r="B2370" s="12" t="str">
        <f aca="false">IF(A2370="","",IFERROR(INDEX(Recipes!$B:$B,MATCH(A2370,Recipes!$A:$A,0)),"⚠ unknown recipe_id"))</f>
        <v/>
      </c>
      <c r="E2370" s="12" t="str">
        <f aca="false">IF(C2370="","",IFERROR(INDEX('Ingredient Catalog'!$C:$C,MATCH(C2370,'Ingredient Catalog'!$A:$A,0)),"⚠ not in catalog"))</f>
        <v/>
      </c>
      <c r="G2370" s="12" t="str">
        <f aca="false">IF(A2370="","",COUNTIFS('Weekly Log'!$A:$A,'Grocery List'!$B$3,'Weekly Log'!$C:$C,A2370,'Weekly Log'!$E:$E,"Yes"))</f>
        <v/>
      </c>
      <c r="H2370" s="12" t="str">
        <f aca="false">IF(OR(A2370="",D2370=""),"",D2370*G2370)</f>
        <v/>
      </c>
    </row>
    <row r="2371" customFormat="false" ht="15" hidden="false" customHeight="false" outlineLevel="0" collapsed="false">
      <c r="B2371" s="12" t="str">
        <f aca="false">IF(A2371="","",IFERROR(INDEX(Recipes!$B:$B,MATCH(A2371,Recipes!$A:$A,0)),"⚠ unknown recipe_id"))</f>
        <v/>
      </c>
      <c r="E2371" s="12" t="str">
        <f aca="false">IF(C2371="","",IFERROR(INDEX('Ingredient Catalog'!$C:$C,MATCH(C2371,'Ingredient Catalog'!$A:$A,0)),"⚠ not in catalog"))</f>
        <v/>
      </c>
      <c r="G2371" s="12" t="str">
        <f aca="false">IF(A2371="","",COUNTIFS('Weekly Log'!$A:$A,'Grocery List'!$B$3,'Weekly Log'!$C:$C,A2371,'Weekly Log'!$E:$E,"Yes"))</f>
        <v/>
      </c>
      <c r="H2371" s="12" t="str">
        <f aca="false">IF(OR(A2371="",D2371=""),"",D2371*G2371)</f>
        <v/>
      </c>
    </row>
    <row r="2372" customFormat="false" ht="15" hidden="false" customHeight="false" outlineLevel="0" collapsed="false">
      <c r="B2372" s="12" t="str">
        <f aca="false">IF(A2372="","",IFERROR(INDEX(Recipes!$B:$B,MATCH(A2372,Recipes!$A:$A,0)),"⚠ unknown recipe_id"))</f>
        <v/>
      </c>
      <c r="E2372" s="12" t="str">
        <f aca="false">IF(C2372="","",IFERROR(INDEX('Ingredient Catalog'!$C:$C,MATCH(C2372,'Ingredient Catalog'!$A:$A,0)),"⚠ not in catalog"))</f>
        <v/>
      </c>
      <c r="G2372" s="12" t="str">
        <f aca="false">IF(A2372="","",COUNTIFS('Weekly Log'!$A:$A,'Grocery List'!$B$3,'Weekly Log'!$C:$C,A2372,'Weekly Log'!$E:$E,"Yes"))</f>
        <v/>
      </c>
      <c r="H2372" s="12" t="str">
        <f aca="false">IF(OR(A2372="",D2372=""),"",D2372*G2372)</f>
        <v/>
      </c>
    </row>
    <row r="2373" customFormat="false" ht="15" hidden="false" customHeight="false" outlineLevel="0" collapsed="false">
      <c r="B2373" s="12" t="str">
        <f aca="false">IF(A2373="","",IFERROR(INDEX(Recipes!$B:$B,MATCH(A2373,Recipes!$A:$A,0)),"⚠ unknown recipe_id"))</f>
        <v/>
      </c>
      <c r="E2373" s="12" t="str">
        <f aca="false">IF(C2373="","",IFERROR(INDEX('Ingredient Catalog'!$C:$C,MATCH(C2373,'Ingredient Catalog'!$A:$A,0)),"⚠ not in catalog"))</f>
        <v/>
      </c>
      <c r="G2373" s="12" t="str">
        <f aca="false">IF(A2373="","",COUNTIFS('Weekly Log'!$A:$A,'Grocery List'!$B$3,'Weekly Log'!$C:$C,A2373,'Weekly Log'!$E:$E,"Yes"))</f>
        <v/>
      </c>
      <c r="H2373" s="12" t="str">
        <f aca="false">IF(OR(A2373="",D2373=""),"",D2373*G2373)</f>
        <v/>
      </c>
    </row>
    <row r="2374" customFormat="false" ht="15" hidden="false" customHeight="false" outlineLevel="0" collapsed="false">
      <c r="B2374" s="12" t="str">
        <f aca="false">IF(A2374="","",IFERROR(INDEX(Recipes!$B:$B,MATCH(A2374,Recipes!$A:$A,0)),"⚠ unknown recipe_id"))</f>
        <v/>
      </c>
      <c r="E2374" s="12" t="str">
        <f aca="false">IF(C2374="","",IFERROR(INDEX('Ingredient Catalog'!$C:$C,MATCH(C2374,'Ingredient Catalog'!$A:$A,0)),"⚠ not in catalog"))</f>
        <v/>
      </c>
      <c r="G2374" s="12" t="str">
        <f aca="false">IF(A2374="","",COUNTIFS('Weekly Log'!$A:$A,'Grocery List'!$B$3,'Weekly Log'!$C:$C,A2374,'Weekly Log'!$E:$E,"Yes"))</f>
        <v/>
      </c>
      <c r="H2374" s="12" t="str">
        <f aca="false">IF(OR(A2374="",D2374=""),"",D2374*G2374)</f>
        <v/>
      </c>
    </row>
    <row r="2375" customFormat="false" ht="15" hidden="false" customHeight="false" outlineLevel="0" collapsed="false">
      <c r="B2375" s="12" t="str">
        <f aca="false">IF(A2375="","",IFERROR(INDEX(Recipes!$B:$B,MATCH(A2375,Recipes!$A:$A,0)),"⚠ unknown recipe_id"))</f>
        <v/>
      </c>
      <c r="E2375" s="12" t="str">
        <f aca="false">IF(C2375="","",IFERROR(INDEX('Ingredient Catalog'!$C:$C,MATCH(C2375,'Ingredient Catalog'!$A:$A,0)),"⚠ not in catalog"))</f>
        <v/>
      </c>
      <c r="G2375" s="12" t="str">
        <f aca="false">IF(A2375="","",COUNTIFS('Weekly Log'!$A:$A,'Grocery List'!$B$3,'Weekly Log'!$C:$C,A2375,'Weekly Log'!$E:$E,"Yes"))</f>
        <v/>
      </c>
      <c r="H2375" s="12" t="str">
        <f aca="false">IF(OR(A2375="",D2375=""),"",D2375*G2375)</f>
        <v/>
      </c>
    </row>
    <row r="2376" customFormat="false" ht="15" hidden="false" customHeight="false" outlineLevel="0" collapsed="false">
      <c r="B2376" s="12" t="str">
        <f aca="false">IF(A2376="","",IFERROR(INDEX(Recipes!$B:$B,MATCH(A2376,Recipes!$A:$A,0)),"⚠ unknown recipe_id"))</f>
        <v/>
      </c>
      <c r="E2376" s="12" t="str">
        <f aca="false">IF(C2376="","",IFERROR(INDEX('Ingredient Catalog'!$C:$C,MATCH(C2376,'Ingredient Catalog'!$A:$A,0)),"⚠ not in catalog"))</f>
        <v/>
      </c>
      <c r="G2376" s="12" t="str">
        <f aca="false">IF(A2376="","",COUNTIFS('Weekly Log'!$A:$A,'Grocery List'!$B$3,'Weekly Log'!$C:$C,A2376,'Weekly Log'!$E:$E,"Yes"))</f>
        <v/>
      </c>
      <c r="H2376" s="12" t="str">
        <f aca="false">IF(OR(A2376="",D2376=""),"",D2376*G2376)</f>
        <v/>
      </c>
    </row>
    <row r="2377" customFormat="false" ht="15" hidden="false" customHeight="false" outlineLevel="0" collapsed="false">
      <c r="B2377" s="12" t="str">
        <f aca="false">IF(A2377="","",IFERROR(INDEX(Recipes!$B:$B,MATCH(A2377,Recipes!$A:$A,0)),"⚠ unknown recipe_id"))</f>
        <v/>
      </c>
      <c r="E2377" s="12" t="str">
        <f aca="false">IF(C2377="","",IFERROR(INDEX('Ingredient Catalog'!$C:$C,MATCH(C2377,'Ingredient Catalog'!$A:$A,0)),"⚠ not in catalog"))</f>
        <v/>
      </c>
      <c r="G2377" s="12" t="str">
        <f aca="false">IF(A2377="","",COUNTIFS('Weekly Log'!$A:$A,'Grocery List'!$B$3,'Weekly Log'!$C:$C,A2377,'Weekly Log'!$E:$E,"Yes"))</f>
        <v/>
      </c>
      <c r="H2377" s="12" t="str">
        <f aca="false">IF(OR(A2377="",D2377=""),"",D2377*G2377)</f>
        <v/>
      </c>
    </row>
    <row r="2378" customFormat="false" ht="15" hidden="false" customHeight="false" outlineLevel="0" collapsed="false">
      <c r="B2378" s="12" t="str">
        <f aca="false">IF(A2378="","",IFERROR(INDEX(Recipes!$B:$B,MATCH(A2378,Recipes!$A:$A,0)),"⚠ unknown recipe_id"))</f>
        <v/>
      </c>
      <c r="E2378" s="12" t="str">
        <f aca="false">IF(C2378="","",IFERROR(INDEX('Ingredient Catalog'!$C:$C,MATCH(C2378,'Ingredient Catalog'!$A:$A,0)),"⚠ not in catalog"))</f>
        <v/>
      </c>
      <c r="G2378" s="12" t="str">
        <f aca="false">IF(A2378="","",COUNTIFS('Weekly Log'!$A:$A,'Grocery List'!$B$3,'Weekly Log'!$C:$C,A2378,'Weekly Log'!$E:$E,"Yes"))</f>
        <v/>
      </c>
      <c r="H2378" s="12" t="str">
        <f aca="false">IF(OR(A2378="",D2378=""),"",D2378*G2378)</f>
        <v/>
      </c>
    </row>
    <row r="2379" customFormat="false" ht="15" hidden="false" customHeight="false" outlineLevel="0" collapsed="false">
      <c r="B2379" s="12" t="str">
        <f aca="false">IF(A2379="","",IFERROR(INDEX(Recipes!$B:$B,MATCH(A2379,Recipes!$A:$A,0)),"⚠ unknown recipe_id"))</f>
        <v/>
      </c>
      <c r="E2379" s="12" t="str">
        <f aca="false">IF(C2379="","",IFERROR(INDEX('Ingredient Catalog'!$C:$C,MATCH(C2379,'Ingredient Catalog'!$A:$A,0)),"⚠ not in catalog"))</f>
        <v/>
      </c>
      <c r="G2379" s="12" t="str">
        <f aca="false">IF(A2379="","",COUNTIFS('Weekly Log'!$A:$A,'Grocery List'!$B$3,'Weekly Log'!$C:$C,A2379,'Weekly Log'!$E:$E,"Yes"))</f>
        <v/>
      </c>
      <c r="H2379" s="12" t="str">
        <f aca="false">IF(OR(A2379="",D2379=""),"",D2379*G2379)</f>
        <v/>
      </c>
    </row>
    <row r="2380" customFormat="false" ht="15" hidden="false" customHeight="false" outlineLevel="0" collapsed="false">
      <c r="B2380" s="12" t="str">
        <f aca="false">IF(A2380="","",IFERROR(INDEX(Recipes!$B:$B,MATCH(A2380,Recipes!$A:$A,0)),"⚠ unknown recipe_id"))</f>
        <v/>
      </c>
      <c r="E2380" s="12" t="str">
        <f aca="false">IF(C2380="","",IFERROR(INDEX('Ingredient Catalog'!$C:$C,MATCH(C2380,'Ingredient Catalog'!$A:$A,0)),"⚠ not in catalog"))</f>
        <v/>
      </c>
      <c r="G2380" s="12" t="str">
        <f aca="false">IF(A2380="","",COUNTIFS('Weekly Log'!$A:$A,'Grocery List'!$B$3,'Weekly Log'!$C:$C,A2380,'Weekly Log'!$E:$E,"Yes"))</f>
        <v/>
      </c>
      <c r="H2380" s="12" t="str">
        <f aca="false">IF(OR(A2380="",D2380=""),"",D2380*G2380)</f>
        <v/>
      </c>
    </row>
    <row r="2381" customFormat="false" ht="15" hidden="false" customHeight="false" outlineLevel="0" collapsed="false">
      <c r="B2381" s="12" t="str">
        <f aca="false">IF(A2381="","",IFERROR(INDEX(Recipes!$B:$B,MATCH(A2381,Recipes!$A:$A,0)),"⚠ unknown recipe_id"))</f>
        <v/>
      </c>
      <c r="E2381" s="12" t="str">
        <f aca="false">IF(C2381="","",IFERROR(INDEX('Ingredient Catalog'!$C:$C,MATCH(C2381,'Ingredient Catalog'!$A:$A,0)),"⚠ not in catalog"))</f>
        <v/>
      </c>
      <c r="G2381" s="12" t="str">
        <f aca="false">IF(A2381="","",COUNTIFS('Weekly Log'!$A:$A,'Grocery List'!$B$3,'Weekly Log'!$C:$C,A2381,'Weekly Log'!$E:$E,"Yes"))</f>
        <v/>
      </c>
      <c r="H2381" s="12" t="str">
        <f aca="false">IF(OR(A2381="",D2381=""),"",D2381*G2381)</f>
        <v/>
      </c>
    </row>
    <row r="2382" customFormat="false" ht="15" hidden="false" customHeight="false" outlineLevel="0" collapsed="false">
      <c r="B2382" s="12" t="str">
        <f aca="false">IF(A2382="","",IFERROR(INDEX(Recipes!$B:$B,MATCH(A2382,Recipes!$A:$A,0)),"⚠ unknown recipe_id"))</f>
        <v/>
      </c>
      <c r="E2382" s="12" t="str">
        <f aca="false">IF(C2382="","",IFERROR(INDEX('Ingredient Catalog'!$C:$C,MATCH(C2382,'Ingredient Catalog'!$A:$A,0)),"⚠ not in catalog"))</f>
        <v/>
      </c>
      <c r="G2382" s="12" t="str">
        <f aca="false">IF(A2382="","",COUNTIFS('Weekly Log'!$A:$A,'Grocery List'!$B$3,'Weekly Log'!$C:$C,A2382,'Weekly Log'!$E:$E,"Yes"))</f>
        <v/>
      </c>
      <c r="H2382" s="12" t="str">
        <f aca="false">IF(OR(A2382="",D2382=""),"",D2382*G2382)</f>
        <v/>
      </c>
    </row>
    <row r="2383" customFormat="false" ht="15" hidden="false" customHeight="false" outlineLevel="0" collapsed="false">
      <c r="B2383" s="12" t="str">
        <f aca="false">IF(A2383="","",IFERROR(INDEX(Recipes!$B:$B,MATCH(A2383,Recipes!$A:$A,0)),"⚠ unknown recipe_id"))</f>
        <v/>
      </c>
      <c r="E2383" s="12" t="str">
        <f aca="false">IF(C2383="","",IFERROR(INDEX('Ingredient Catalog'!$C:$C,MATCH(C2383,'Ingredient Catalog'!$A:$A,0)),"⚠ not in catalog"))</f>
        <v/>
      </c>
      <c r="G2383" s="12" t="str">
        <f aca="false">IF(A2383="","",COUNTIFS('Weekly Log'!$A:$A,'Grocery List'!$B$3,'Weekly Log'!$C:$C,A2383,'Weekly Log'!$E:$E,"Yes"))</f>
        <v/>
      </c>
      <c r="H2383" s="12" t="str">
        <f aca="false">IF(OR(A2383="",D2383=""),"",D2383*G2383)</f>
        <v/>
      </c>
    </row>
    <row r="2384" customFormat="false" ht="15" hidden="false" customHeight="false" outlineLevel="0" collapsed="false">
      <c r="B2384" s="12" t="str">
        <f aca="false">IF(A2384="","",IFERROR(INDEX(Recipes!$B:$B,MATCH(A2384,Recipes!$A:$A,0)),"⚠ unknown recipe_id"))</f>
        <v/>
      </c>
      <c r="E2384" s="12" t="str">
        <f aca="false">IF(C2384="","",IFERROR(INDEX('Ingredient Catalog'!$C:$C,MATCH(C2384,'Ingredient Catalog'!$A:$A,0)),"⚠ not in catalog"))</f>
        <v/>
      </c>
      <c r="G2384" s="12" t="str">
        <f aca="false">IF(A2384="","",COUNTIFS('Weekly Log'!$A:$A,'Grocery List'!$B$3,'Weekly Log'!$C:$C,A2384,'Weekly Log'!$E:$E,"Yes"))</f>
        <v/>
      </c>
      <c r="H2384" s="12" t="str">
        <f aca="false">IF(OR(A2384="",D2384=""),"",D2384*G2384)</f>
        <v/>
      </c>
    </row>
    <row r="2385" customFormat="false" ht="15" hidden="false" customHeight="false" outlineLevel="0" collapsed="false">
      <c r="B2385" s="12" t="str">
        <f aca="false">IF(A2385="","",IFERROR(INDEX(Recipes!$B:$B,MATCH(A2385,Recipes!$A:$A,0)),"⚠ unknown recipe_id"))</f>
        <v/>
      </c>
      <c r="E2385" s="12" t="str">
        <f aca="false">IF(C2385="","",IFERROR(INDEX('Ingredient Catalog'!$C:$C,MATCH(C2385,'Ingredient Catalog'!$A:$A,0)),"⚠ not in catalog"))</f>
        <v/>
      </c>
      <c r="G2385" s="12" t="str">
        <f aca="false">IF(A2385="","",COUNTIFS('Weekly Log'!$A:$A,'Grocery List'!$B$3,'Weekly Log'!$C:$C,A2385,'Weekly Log'!$E:$E,"Yes"))</f>
        <v/>
      </c>
      <c r="H2385" s="12" t="str">
        <f aca="false">IF(OR(A2385="",D2385=""),"",D2385*G2385)</f>
        <v/>
      </c>
    </row>
    <row r="2386" customFormat="false" ht="15" hidden="false" customHeight="false" outlineLevel="0" collapsed="false">
      <c r="B2386" s="12" t="str">
        <f aca="false">IF(A2386="","",IFERROR(INDEX(Recipes!$B:$B,MATCH(A2386,Recipes!$A:$A,0)),"⚠ unknown recipe_id"))</f>
        <v/>
      </c>
      <c r="E2386" s="12" t="str">
        <f aca="false">IF(C2386="","",IFERROR(INDEX('Ingredient Catalog'!$C:$C,MATCH(C2386,'Ingredient Catalog'!$A:$A,0)),"⚠ not in catalog"))</f>
        <v/>
      </c>
      <c r="G2386" s="12" t="str">
        <f aca="false">IF(A2386="","",COUNTIFS('Weekly Log'!$A:$A,'Grocery List'!$B$3,'Weekly Log'!$C:$C,A2386,'Weekly Log'!$E:$E,"Yes"))</f>
        <v/>
      </c>
      <c r="H2386" s="12" t="str">
        <f aca="false">IF(OR(A2386="",D2386=""),"",D2386*G2386)</f>
        <v/>
      </c>
    </row>
    <row r="2387" customFormat="false" ht="15" hidden="false" customHeight="false" outlineLevel="0" collapsed="false">
      <c r="B2387" s="12" t="str">
        <f aca="false">IF(A2387="","",IFERROR(INDEX(Recipes!$B:$B,MATCH(A2387,Recipes!$A:$A,0)),"⚠ unknown recipe_id"))</f>
        <v/>
      </c>
      <c r="E2387" s="12" t="str">
        <f aca="false">IF(C2387="","",IFERROR(INDEX('Ingredient Catalog'!$C:$C,MATCH(C2387,'Ingredient Catalog'!$A:$A,0)),"⚠ not in catalog"))</f>
        <v/>
      </c>
      <c r="G2387" s="12" t="str">
        <f aca="false">IF(A2387="","",COUNTIFS('Weekly Log'!$A:$A,'Grocery List'!$B$3,'Weekly Log'!$C:$C,A2387,'Weekly Log'!$E:$E,"Yes"))</f>
        <v/>
      </c>
      <c r="H2387" s="12" t="str">
        <f aca="false">IF(OR(A2387="",D2387=""),"",D2387*G2387)</f>
        <v/>
      </c>
    </row>
    <row r="2388" customFormat="false" ht="15" hidden="false" customHeight="false" outlineLevel="0" collapsed="false">
      <c r="B2388" s="12" t="str">
        <f aca="false">IF(A2388="","",IFERROR(INDEX(Recipes!$B:$B,MATCH(A2388,Recipes!$A:$A,0)),"⚠ unknown recipe_id"))</f>
        <v/>
      </c>
      <c r="E2388" s="12" t="str">
        <f aca="false">IF(C2388="","",IFERROR(INDEX('Ingredient Catalog'!$C:$C,MATCH(C2388,'Ingredient Catalog'!$A:$A,0)),"⚠ not in catalog"))</f>
        <v/>
      </c>
      <c r="G2388" s="12" t="str">
        <f aca="false">IF(A2388="","",COUNTIFS('Weekly Log'!$A:$A,'Grocery List'!$B$3,'Weekly Log'!$C:$C,A2388,'Weekly Log'!$E:$E,"Yes"))</f>
        <v/>
      </c>
      <c r="H2388" s="12" t="str">
        <f aca="false">IF(OR(A2388="",D2388=""),"",D2388*G2388)</f>
        <v/>
      </c>
    </row>
    <row r="2389" customFormat="false" ht="15" hidden="false" customHeight="false" outlineLevel="0" collapsed="false">
      <c r="B2389" s="12" t="str">
        <f aca="false">IF(A2389="","",IFERROR(INDEX(Recipes!$B:$B,MATCH(A2389,Recipes!$A:$A,0)),"⚠ unknown recipe_id"))</f>
        <v/>
      </c>
      <c r="E2389" s="12" t="str">
        <f aca="false">IF(C2389="","",IFERROR(INDEX('Ingredient Catalog'!$C:$C,MATCH(C2389,'Ingredient Catalog'!$A:$A,0)),"⚠ not in catalog"))</f>
        <v/>
      </c>
      <c r="G2389" s="12" t="str">
        <f aca="false">IF(A2389="","",COUNTIFS('Weekly Log'!$A:$A,'Grocery List'!$B$3,'Weekly Log'!$C:$C,A2389,'Weekly Log'!$E:$E,"Yes"))</f>
        <v/>
      </c>
      <c r="H2389" s="12" t="str">
        <f aca="false">IF(OR(A2389="",D2389=""),"",D2389*G2389)</f>
        <v/>
      </c>
    </row>
    <row r="2390" customFormat="false" ht="15" hidden="false" customHeight="false" outlineLevel="0" collapsed="false">
      <c r="B2390" s="12" t="str">
        <f aca="false">IF(A2390="","",IFERROR(INDEX(Recipes!$B:$B,MATCH(A2390,Recipes!$A:$A,0)),"⚠ unknown recipe_id"))</f>
        <v/>
      </c>
      <c r="E2390" s="12" t="str">
        <f aca="false">IF(C2390="","",IFERROR(INDEX('Ingredient Catalog'!$C:$C,MATCH(C2390,'Ingredient Catalog'!$A:$A,0)),"⚠ not in catalog"))</f>
        <v/>
      </c>
      <c r="G2390" s="12" t="str">
        <f aca="false">IF(A2390="","",COUNTIFS('Weekly Log'!$A:$A,'Grocery List'!$B$3,'Weekly Log'!$C:$C,A2390,'Weekly Log'!$E:$E,"Yes"))</f>
        <v/>
      </c>
      <c r="H2390" s="12" t="str">
        <f aca="false">IF(OR(A2390="",D2390=""),"",D2390*G2390)</f>
        <v/>
      </c>
    </row>
    <row r="2391" customFormat="false" ht="15" hidden="false" customHeight="false" outlineLevel="0" collapsed="false">
      <c r="B2391" s="12" t="str">
        <f aca="false">IF(A2391="","",IFERROR(INDEX(Recipes!$B:$B,MATCH(A2391,Recipes!$A:$A,0)),"⚠ unknown recipe_id"))</f>
        <v/>
      </c>
      <c r="E2391" s="12" t="str">
        <f aca="false">IF(C2391="","",IFERROR(INDEX('Ingredient Catalog'!$C:$C,MATCH(C2391,'Ingredient Catalog'!$A:$A,0)),"⚠ not in catalog"))</f>
        <v/>
      </c>
      <c r="G2391" s="12" t="str">
        <f aca="false">IF(A2391="","",COUNTIFS('Weekly Log'!$A:$A,'Grocery List'!$B$3,'Weekly Log'!$C:$C,A2391,'Weekly Log'!$E:$E,"Yes"))</f>
        <v/>
      </c>
      <c r="H2391" s="12" t="str">
        <f aca="false">IF(OR(A2391="",D2391=""),"",D2391*G2391)</f>
        <v/>
      </c>
    </row>
    <row r="2392" customFormat="false" ht="15" hidden="false" customHeight="false" outlineLevel="0" collapsed="false">
      <c r="B2392" s="12" t="str">
        <f aca="false">IF(A2392="","",IFERROR(INDEX(Recipes!$B:$B,MATCH(A2392,Recipes!$A:$A,0)),"⚠ unknown recipe_id"))</f>
        <v/>
      </c>
      <c r="E2392" s="12" t="str">
        <f aca="false">IF(C2392="","",IFERROR(INDEX('Ingredient Catalog'!$C:$C,MATCH(C2392,'Ingredient Catalog'!$A:$A,0)),"⚠ not in catalog"))</f>
        <v/>
      </c>
      <c r="G2392" s="12" t="str">
        <f aca="false">IF(A2392="","",COUNTIFS('Weekly Log'!$A:$A,'Grocery List'!$B$3,'Weekly Log'!$C:$C,A2392,'Weekly Log'!$E:$E,"Yes"))</f>
        <v/>
      </c>
      <c r="H2392" s="12" t="str">
        <f aca="false">IF(OR(A2392="",D2392=""),"",D2392*G2392)</f>
        <v/>
      </c>
    </row>
    <row r="2393" customFormat="false" ht="15" hidden="false" customHeight="false" outlineLevel="0" collapsed="false">
      <c r="B2393" s="12" t="str">
        <f aca="false">IF(A2393="","",IFERROR(INDEX(Recipes!$B:$B,MATCH(A2393,Recipes!$A:$A,0)),"⚠ unknown recipe_id"))</f>
        <v/>
      </c>
      <c r="E2393" s="12" t="str">
        <f aca="false">IF(C2393="","",IFERROR(INDEX('Ingredient Catalog'!$C:$C,MATCH(C2393,'Ingredient Catalog'!$A:$A,0)),"⚠ not in catalog"))</f>
        <v/>
      </c>
      <c r="G2393" s="12" t="str">
        <f aca="false">IF(A2393="","",COUNTIFS('Weekly Log'!$A:$A,'Grocery List'!$B$3,'Weekly Log'!$C:$C,A2393,'Weekly Log'!$E:$E,"Yes"))</f>
        <v/>
      </c>
      <c r="H2393" s="12" t="str">
        <f aca="false">IF(OR(A2393="",D2393=""),"",D2393*G2393)</f>
        <v/>
      </c>
    </row>
    <row r="2394" customFormat="false" ht="15" hidden="false" customHeight="false" outlineLevel="0" collapsed="false">
      <c r="B2394" s="12" t="str">
        <f aca="false">IF(A2394="","",IFERROR(INDEX(Recipes!$B:$B,MATCH(A2394,Recipes!$A:$A,0)),"⚠ unknown recipe_id"))</f>
        <v/>
      </c>
      <c r="E2394" s="12" t="str">
        <f aca="false">IF(C2394="","",IFERROR(INDEX('Ingredient Catalog'!$C:$C,MATCH(C2394,'Ingredient Catalog'!$A:$A,0)),"⚠ not in catalog"))</f>
        <v/>
      </c>
      <c r="G2394" s="12" t="str">
        <f aca="false">IF(A2394="","",COUNTIFS('Weekly Log'!$A:$A,'Grocery List'!$B$3,'Weekly Log'!$C:$C,A2394,'Weekly Log'!$E:$E,"Yes"))</f>
        <v/>
      </c>
      <c r="H2394" s="12" t="str">
        <f aca="false">IF(OR(A2394="",D2394=""),"",D2394*G2394)</f>
        <v/>
      </c>
    </row>
    <row r="2395" customFormat="false" ht="15" hidden="false" customHeight="false" outlineLevel="0" collapsed="false">
      <c r="B2395" s="12" t="str">
        <f aca="false">IF(A2395="","",IFERROR(INDEX(Recipes!$B:$B,MATCH(A2395,Recipes!$A:$A,0)),"⚠ unknown recipe_id"))</f>
        <v/>
      </c>
      <c r="E2395" s="12" t="str">
        <f aca="false">IF(C2395="","",IFERROR(INDEX('Ingredient Catalog'!$C:$C,MATCH(C2395,'Ingredient Catalog'!$A:$A,0)),"⚠ not in catalog"))</f>
        <v/>
      </c>
      <c r="G2395" s="12" t="str">
        <f aca="false">IF(A2395="","",COUNTIFS('Weekly Log'!$A:$A,'Grocery List'!$B$3,'Weekly Log'!$C:$C,A2395,'Weekly Log'!$E:$E,"Yes"))</f>
        <v/>
      </c>
      <c r="H2395" s="12" t="str">
        <f aca="false">IF(OR(A2395="",D2395=""),"",D2395*G2395)</f>
        <v/>
      </c>
    </row>
    <row r="2396" customFormat="false" ht="15" hidden="false" customHeight="false" outlineLevel="0" collapsed="false">
      <c r="B2396" s="12" t="str">
        <f aca="false">IF(A2396="","",IFERROR(INDEX(Recipes!$B:$B,MATCH(A2396,Recipes!$A:$A,0)),"⚠ unknown recipe_id"))</f>
        <v/>
      </c>
      <c r="E2396" s="12" t="str">
        <f aca="false">IF(C2396="","",IFERROR(INDEX('Ingredient Catalog'!$C:$C,MATCH(C2396,'Ingredient Catalog'!$A:$A,0)),"⚠ not in catalog"))</f>
        <v/>
      </c>
      <c r="G2396" s="12" t="str">
        <f aca="false">IF(A2396="","",COUNTIFS('Weekly Log'!$A:$A,'Grocery List'!$B$3,'Weekly Log'!$C:$C,A2396,'Weekly Log'!$E:$E,"Yes"))</f>
        <v/>
      </c>
      <c r="H2396" s="12" t="str">
        <f aca="false">IF(OR(A2396="",D2396=""),"",D2396*G2396)</f>
        <v/>
      </c>
    </row>
    <row r="2397" customFormat="false" ht="15" hidden="false" customHeight="false" outlineLevel="0" collapsed="false">
      <c r="B2397" s="12" t="str">
        <f aca="false">IF(A2397="","",IFERROR(INDEX(Recipes!$B:$B,MATCH(A2397,Recipes!$A:$A,0)),"⚠ unknown recipe_id"))</f>
        <v/>
      </c>
      <c r="E2397" s="12" t="str">
        <f aca="false">IF(C2397="","",IFERROR(INDEX('Ingredient Catalog'!$C:$C,MATCH(C2397,'Ingredient Catalog'!$A:$A,0)),"⚠ not in catalog"))</f>
        <v/>
      </c>
      <c r="G2397" s="12" t="str">
        <f aca="false">IF(A2397="","",COUNTIFS('Weekly Log'!$A:$A,'Grocery List'!$B$3,'Weekly Log'!$C:$C,A2397,'Weekly Log'!$E:$E,"Yes"))</f>
        <v/>
      </c>
      <c r="H2397" s="12" t="str">
        <f aca="false">IF(OR(A2397="",D2397=""),"",D2397*G2397)</f>
        <v/>
      </c>
    </row>
    <row r="2398" customFormat="false" ht="15" hidden="false" customHeight="false" outlineLevel="0" collapsed="false">
      <c r="B2398" s="12" t="str">
        <f aca="false">IF(A2398="","",IFERROR(INDEX(Recipes!$B:$B,MATCH(A2398,Recipes!$A:$A,0)),"⚠ unknown recipe_id"))</f>
        <v/>
      </c>
      <c r="E2398" s="12" t="str">
        <f aca="false">IF(C2398="","",IFERROR(INDEX('Ingredient Catalog'!$C:$C,MATCH(C2398,'Ingredient Catalog'!$A:$A,0)),"⚠ not in catalog"))</f>
        <v/>
      </c>
      <c r="G2398" s="12" t="str">
        <f aca="false">IF(A2398="","",COUNTIFS('Weekly Log'!$A:$A,'Grocery List'!$B$3,'Weekly Log'!$C:$C,A2398,'Weekly Log'!$E:$E,"Yes"))</f>
        <v/>
      </c>
      <c r="H2398" s="12" t="str">
        <f aca="false">IF(OR(A2398="",D2398=""),"",D2398*G2398)</f>
        <v/>
      </c>
    </row>
    <row r="2399" customFormat="false" ht="15" hidden="false" customHeight="false" outlineLevel="0" collapsed="false">
      <c r="B2399" s="12" t="str">
        <f aca="false">IF(A2399="","",IFERROR(INDEX(Recipes!$B:$B,MATCH(A2399,Recipes!$A:$A,0)),"⚠ unknown recipe_id"))</f>
        <v/>
      </c>
      <c r="E2399" s="12" t="str">
        <f aca="false">IF(C2399="","",IFERROR(INDEX('Ingredient Catalog'!$C:$C,MATCH(C2399,'Ingredient Catalog'!$A:$A,0)),"⚠ not in catalog"))</f>
        <v/>
      </c>
      <c r="G2399" s="12" t="str">
        <f aca="false">IF(A2399="","",COUNTIFS('Weekly Log'!$A:$A,'Grocery List'!$B$3,'Weekly Log'!$C:$C,A2399,'Weekly Log'!$E:$E,"Yes"))</f>
        <v/>
      </c>
      <c r="H2399" s="12" t="str">
        <f aca="false">IF(OR(A2399="",D2399=""),"",D2399*G2399)</f>
        <v/>
      </c>
    </row>
    <row r="2400" customFormat="false" ht="15" hidden="false" customHeight="false" outlineLevel="0" collapsed="false">
      <c r="B2400" s="12" t="str">
        <f aca="false">IF(A2400="","",IFERROR(INDEX(Recipes!$B:$B,MATCH(A2400,Recipes!$A:$A,0)),"⚠ unknown recipe_id"))</f>
        <v/>
      </c>
      <c r="E2400" s="12" t="str">
        <f aca="false">IF(C2400="","",IFERROR(INDEX('Ingredient Catalog'!$C:$C,MATCH(C2400,'Ingredient Catalog'!$A:$A,0)),"⚠ not in catalog"))</f>
        <v/>
      </c>
      <c r="G2400" s="12" t="str">
        <f aca="false">IF(A2400="","",COUNTIFS('Weekly Log'!$A:$A,'Grocery List'!$B$3,'Weekly Log'!$C:$C,A2400,'Weekly Log'!$E:$E,"Yes"))</f>
        <v/>
      </c>
      <c r="H2400" s="12" t="str">
        <f aca="false">IF(OR(A2400="",D2400=""),"",D2400*G2400)</f>
        <v/>
      </c>
    </row>
    <row r="2401" customFormat="false" ht="15" hidden="false" customHeight="false" outlineLevel="0" collapsed="false">
      <c r="B2401" s="12" t="str">
        <f aca="false">IF(A2401="","",IFERROR(INDEX(Recipes!$B:$B,MATCH(A2401,Recipes!$A:$A,0)),"⚠ unknown recipe_id"))</f>
        <v/>
      </c>
      <c r="E2401" s="12" t="str">
        <f aca="false">IF(C2401="","",IFERROR(INDEX('Ingredient Catalog'!$C:$C,MATCH(C2401,'Ingredient Catalog'!$A:$A,0)),"⚠ not in catalog"))</f>
        <v/>
      </c>
      <c r="G2401" s="12" t="str">
        <f aca="false">IF(A2401="","",COUNTIFS('Weekly Log'!$A:$A,'Grocery List'!$B$3,'Weekly Log'!$C:$C,A2401,'Weekly Log'!$E:$E,"Yes"))</f>
        <v/>
      </c>
      <c r="H2401" s="12" t="str">
        <f aca="false">IF(OR(A2401="",D2401=""),"",D2401*G2401)</f>
        <v/>
      </c>
    </row>
    <row r="2402" customFormat="false" ht="15" hidden="false" customHeight="false" outlineLevel="0" collapsed="false">
      <c r="B2402" s="12" t="str">
        <f aca="false">IF(A2402="","",IFERROR(INDEX(Recipes!$B:$B,MATCH(A2402,Recipes!$A:$A,0)),"⚠ unknown recipe_id"))</f>
        <v/>
      </c>
      <c r="E2402" s="12" t="str">
        <f aca="false">IF(C2402="","",IFERROR(INDEX('Ingredient Catalog'!$C:$C,MATCH(C2402,'Ingredient Catalog'!$A:$A,0)),"⚠ not in catalog"))</f>
        <v/>
      </c>
      <c r="G2402" s="12" t="str">
        <f aca="false">IF(A2402="","",COUNTIFS('Weekly Log'!$A:$A,'Grocery List'!$B$3,'Weekly Log'!$C:$C,A2402,'Weekly Log'!$E:$E,"Yes"))</f>
        <v/>
      </c>
      <c r="H2402" s="12" t="str">
        <f aca="false">IF(OR(A2402="",D2402=""),"",D2402*G2402)</f>
        <v/>
      </c>
    </row>
    <row r="2403" customFormat="false" ht="15" hidden="false" customHeight="false" outlineLevel="0" collapsed="false">
      <c r="B2403" s="12" t="str">
        <f aca="false">IF(A2403="","",IFERROR(INDEX(Recipes!$B:$B,MATCH(A2403,Recipes!$A:$A,0)),"⚠ unknown recipe_id"))</f>
        <v/>
      </c>
      <c r="E2403" s="12" t="str">
        <f aca="false">IF(C2403="","",IFERROR(INDEX('Ingredient Catalog'!$C:$C,MATCH(C2403,'Ingredient Catalog'!$A:$A,0)),"⚠ not in catalog"))</f>
        <v/>
      </c>
      <c r="G2403" s="12" t="str">
        <f aca="false">IF(A2403="","",COUNTIFS('Weekly Log'!$A:$A,'Grocery List'!$B$3,'Weekly Log'!$C:$C,A2403,'Weekly Log'!$E:$E,"Yes"))</f>
        <v/>
      </c>
      <c r="H2403" s="12" t="str">
        <f aca="false">IF(OR(A2403="",D2403=""),"",D2403*G2403)</f>
        <v/>
      </c>
    </row>
    <row r="2404" customFormat="false" ht="15" hidden="false" customHeight="false" outlineLevel="0" collapsed="false">
      <c r="B2404" s="12" t="str">
        <f aca="false">IF(A2404="","",IFERROR(INDEX(Recipes!$B:$B,MATCH(A2404,Recipes!$A:$A,0)),"⚠ unknown recipe_id"))</f>
        <v/>
      </c>
      <c r="E2404" s="12" t="str">
        <f aca="false">IF(C2404="","",IFERROR(INDEX('Ingredient Catalog'!$C:$C,MATCH(C2404,'Ingredient Catalog'!$A:$A,0)),"⚠ not in catalog"))</f>
        <v/>
      </c>
      <c r="G2404" s="12" t="str">
        <f aca="false">IF(A2404="","",COUNTIFS('Weekly Log'!$A:$A,'Grocery List'!$B$3,'Weekly Log'!$C:$C,A2404,'Weekly Log'!$E:$E,"Yes"))</f>
        <v/>
      </c>
      <c r="H2404" s="12" t="str">
        <f aca="false">IF(OR(A2404="",D2404=""),"",D2404*G2404)</f>
        <v/>
      </c>
    </row>
    <row r="2405" customFormat="false" ht="15" hidden="false" customHeight="false" outlineLevel="0" collapsed="false">
      <c r="B2405" s="12" t="str">
        <f aca="false">IF(A2405="","",IFERROR(INDEX(Recipes!$B:$B,MATCH(A2405,Recipes!$A:$A,0)),"⚠ unknown recipe_id"))</f>
        <v/>
      </c>
      <c r="E2405" s="12" t="str">
        <f aca="false">IF(C2405="","",IFERROR(INDEX('Ingredient Catalog'!$C:$C,MATCH(C2405,'Ingredient Catalog'!$A:$A,0)),"⚠ not in catalog"))</f>
        <v/>
      </c>
      <c r="G2405" s="12" t="str">
        <f aca="false">IF(A2405="","",COUNTIFS('Weekly Log'!$A:$A,'Grocery List'!$B$3,'Weekly Log'!$C:$C,A2405,'Weekly Log'!$E:$E,"Yes"))</f>
        <v/>
      </c>
      <c r="H2405" s="12" t="str">
        <f aca="false">IF(OR(A2405="",D2405=""),"",D2405*G2405)</f>
        <v/>
      </c>
    </row>
    <row r="2406" customFormat="false" ht="15" hidden="false" customHeight="false" outlineLevel="0" collapsed="false">
      <c r="B2406" s="12" t="str">
        <f aca="false">IF(A2406="","",IFERROR(INDEX(Recipes!$B:$B,MATCH(A2406,Recipes!$A:$A,0)),"⚠ unknown recipe_id"))</f>
        <v/>
      </c>
      <c r="E2406" s="12" t="str">
        <f aca="false">IF(C2406="","",IFERROR(INDEX('Ingredient Catalog'!$C:$C,MATCH(C2406,'Ingredient Catalog'!$A:$A,0)),"⚠ not in catalog"))</f>
        <v/>
      </c>
      <c r="G2406" s="12" t="str">
        <f aca="false">IF(A2406="","",COUNTIFS('Weekly Log'!$A:$A,'Grocery List'!$B$3,'Weekly Log'!$C:$C,A2406,'Weekly Log'!$E:$E,"Yes"))</f>
        <v/>
      </c>
      <c r="H2406" s="12" t="str">
        <f aca="false">IF(OR(A2406="",D2406=""),"",D2406*G2406)</f>
        <v/>
      </c>
    </row>
    <row r="2407" customFormat="false" ht="15" hidden="false" customHeight="false" outlineLevel="0" collapsed="false">
      <c r="B2407" s="12" t="str">
        <f aca="false">IF(A2407="","",IFERROR(INDEX(Recipes!$B:$B,MATCH(A2407,Recipes!$A:$A,0)),"⚠ unknown recipe_id"))</f>
        <v/>
      </c>
      <c r="E2407" s="12" t="str">
        <f aca="false">IF(C2407="","",IFERROR(INDEX('Ingredient Catalog'!$C:$C,MATCH(C2407,'Ingredient Catalog'!$A:$A,0)),"⚠ not in catalog"))</f>
        <v/>
      </c>
      <c r="G2407" s="12" t="str">
        <f aca="false">IF(A2407="","",COUNTIFS('Weekly Log'!$A:$A,'Grocery List'!$B$3,'Weekly Log'!$C:$C,A2407,'Weekly Log'!$E:$E,"Yes"))</f>
        <v/>
      </c>
      <c r="H2407" s="12" t="str">
        <f aca="false">IF(OR(A2407="",D2407=""),"",D2407*G2407)</f>
        <v/>
      </c>
    </row>
    <row r="2408" customFormat="false" ht="15" hidden="false" customHeight="false" outlineLevel="0" collapsed="false">
      <c r="B2408" s="12" t="str">
        <f aca="false">IF(A2408="","",IFERROR(INDEX(Recipes!$B:$B,MATCH(A2408,Recipes!$A:$A,0)),"⚠ unknown recipe_id"))</f>
        <v/>
      </c>
      <c r="E2408" s="12" t="str">
        <f aca="false">IF(C2408="","",IFERROR(INDEX('Ingredient Catalog'!$C:$C,MATCH(C2408,'Ingredient Catalog'!$A:$A,0)),"⚠ not in catalog"))</f>
        <v/>
      </c>
      <c r="G2408" s="12" t="str">
        <f aca="false">IF(A2408="","",COUNTIFS('Weekly Log'!$A:$A,'Grocery List'!$B$3,'Weekly Log'!$C:$C,A2408,'Weekly Log'!$E:$E,"Yes"))</f>
        <v/>
      </c>
      <c r="H2408" s="12" t="str">
        <f aca="false">IF(OR(A2408="",D2408=""),"",D2408*G2408)</f>
        <v/>
      </c>
    </row>
    <row r="2409" customFormat="false" ht="15" hidden="false" customHeight="false" outlineLevel="0" collapsed="false">
      <c r="B2409" s="12" t="str">
        <f aca="false">IF(A2409="","",IFERROR(INDEX(Recipes!$B:$B,MATCH(A2409,Recipes!$A:$A,0)),"⚠ unknown recipe_id"))</f>
        <v/>
      </c>
      <c r="E2409" s="12" t="str">
        <f aca="false">IF(C2409="","",IFERROR(INDEX('Ingredient Catalog'!$C:$C,MATCH(C2409,'Ingredient Catalog'!$A:$A,0)),"⚠ not in catalog"))</f>
        <v/>
      </c>
      <c r="G2409" s="12" t="str">
        <f aca="false">IF(A2409="","",COUNTIFS('Weekly Log'!$A:$A,'Grocery List'!$B$3,'Weekly Log'!$C:$C,A2409,'Weekly Log'!$E:$E,"Yes"))</f>
        <v/>
      </c>
      <c r="H2409" s="12" t="str">
        <f aca="false">IF(OR(A2409="",D2409=""),"",D2409*G2409)</f>
        <v/>
      </c>
    </row>
    <row r="2410" customFormat="false" ht="15" hidden="false" customHeight="false" outlineLevel="0" collapsed="false">
      <c r="B2410" s="12" t="str">
        <f aca="false">IF(A2410="","",IFERROR(INDEX(Recipes!$B:$B,MATCH(A2410,Recipes!$A:$A,0)),"⚠ unknown recipe_id"))</f>
        <v/>
      </c>
      <c r="E2410" s="12" t="str">
        <f aca="false">IF(C2410="","",IFERROR(INDEX('Ingredient Catalog'!$C:$C,MATCH(C2410,'Ingredient Catalog'!$A:$A,0)),"⚠ not in catalog"))</f>
        <v/>
      </c>
      <c r="G2410" s="12" t="str">
        <f aca="false">IF(A2410="","",COUNTIFS('Weekly Log'!$A:$A,'Grocery List'!$B$3,'Weekly Log'!$C:$C,A2410,'Weekly Log'!$E:$E,"Yes"))</f>
        <v/>
      </c>
      <c r="H2410" s="12" t="str">
        <f aca="false">IF(OR(A2410="",D2410=""),"",D2410*G2410)</f>
        <v/>
      </c>
    </row>
    <row r="2411" customFormat="false" ht="15" hidden="false" customHeight="false" outlineLevel="0" collapsed="false">
      <c r="B2411" s="12" t="str">
        <f aca="false">IF(A2411="","",IFERROR(INDEX(Recipes!$B:$B,MATCH(A2411,Recipes!$A:$A,0)),"⚠ unknown recipe_id"))</f>
        <v/>
      </c>
      <c r="E2411" s="12" t="str">
        <f aca="false">IF(C2411="","",IFERROR(INDEX('Ingredient Catalog'!$C:$C,MATCH(C2411,'Ingredient Catalog'!$A:$A,0)),"⚠ not in catalog"))</f>
        <v/>
      </c>
      <c r="G2411" s="12" t="str">
        <f aca="false">IF(A2411="","",COUNTIFS('Weekly Log'!$A:$A,'Grocery List'!$B$3,'Weekly Log'!$C:$C,A2411,'Weekly Log'!$E:$E,"Yes"))</f>
        <v/>
      </c>
      <c r="H2411" s="12" t="str">
        <f aca="false">IF(OR(A2411="",D2411=""),"",D2411*G2411)</f>
        <v/>
      </c>
    </row>
    <row r="2412" customFormat="false" ht="15" hidden="false" customHeight="false" outlineLevel="0" collapsed="false">
      <c r="B2412" s="12" t="str">
        <f aca="false">IF(A2412="","",IFERROR(INDEX(Recipes!$B:$B,MATCH(A2412,Recipes!$A:$A,0)),"⚠ unknown recipe_id"))</f>
        <v/>
      </c>
      <c r="E2412" s="12" t="str">
        <f aca="false">IF(C2412="","",IFERROR(INDEX('Ingredient Catalog'!$C:$C,MATCH(C2412,'Ingredient Catalog'!$A:$A,0)),"⚠ not in catalog"))</f>
        <v/>
      </c>
      <c r="G2412" s="12" t="str">
        <f aca="false">IF(A2412="","",COUNTIFS('Weekly Log'!$A:$A,'Grocery List'!$B$3,'Weekly Log'!$C:$C,A2412,'Weekly Log'!$E:$E,"Yes"))</f>
        <v/>
      </c>
      <c r="H2412" s="12" t="str">
        <f aca="false">IF(OR(A2412="",D2412=""),"",D2412*G2412)</f>
        <v/>
      </c>
    </row>
    <row r="2413" customFormat="false" ht="15" hidden="false" customHeight="false" outlineLevel="0" collapsed="false">
      <c r="B2413" s="12" t="str">
        <f aca="false">IF(A2413="","",IFERROR(INDEX(Recipes!$B:$B,MATCH(A2413,Recipes!$A:$A,0)),"⚠ unknown recipe_id"))</f>
        <v/>
      </c>
      <c r="E2413" s="12" t="str">
        <f aca="false">IF(C2413="","",IFERROR(INDEX('Ingredient Catalog'!$C:$C,MATCH(C2413,'Ingredient Catalog'!$A:$A,0)),"⚠ not in catalog"))</f>
        <v/>
      </c>
      <c r="G2413" s="12" t="str">
        <f aca="false">IF(A2413="","",COUNTIFS('Weekly Log'!$A:$A,'Grocery List'!$B$3,'Weekly Log'!$C:$C,A2413,'Weekly Log'!$E:$E,"Yes"))</f>
        <v/>
      </c>
      <c r="H2413" s="12" t="str">
        <f aca="false">IF(OR(A2413="",D2413=""),"",D2413*G2413)</f>
        <v/>
      </c>
    </row>
    <row r="2414" customFormat="false" ht="15" hidden="false" customHeight="false" outlineLevel="0" collapsed="false">
      <c r="B2414" s="12" t="str">
        <f aca="false">IF(A2414="","",IFERROR(INDEX(Recipes!$B:$B,MATCH(A2414,Recipes!$A:$A,0)),"⚠ unknown recipe_id"))</f>
        <v/>
      </c>
      <c r="E2414" s="12" t="str">
        <f aca="false">IF(C2414="","",IFERROR(INDEX('Ingredient Catalog'!$C:$C,MATCH(C2414,'Ingredient Catalog'!$A:$A,0)),"⚠ not in catalog"))</f>
        <v/>
      </c>
      <c r="G2414" s="12" t="str">
        <f aca="false">IF(A2414="","",COUNTIFS('Weekly Log'!$A:$A,'Grocery List'!$B$3,'Weekly Log'!$C:$C,A2414,'Weekly Log'!$E:$E,"Yes"))</f>
        <v/>
      </c>
      <c r="H2414" s="12" t="str">
        <f aca="false">IF(OR(A2414="",D2414=""),"",D2414*G2414)</f>
        <v/>
      </c>
    </row>
    <row r="2415" customFormat="false" ht="15" hidden="false" customHeight="false" outlineLevel="0" collapsed="false">
      <c r="B2415" s="12" t="str">
        <f aca="false">IF(A2415="","",IFERROR(INDEX(Recipes!$B:$B,MATCH(A2415,Recipes!$A:$A,0)),"⚠ unknown recipe_id"))</f>
        <v/>
      </c>
      <c r="E2415" s="12" t="str">
        <f aca="false">IF(C2415="","",IFERROR(INDEX('Ingredient Catalog'!$C:$C,MATCH(C2415,'Ingredient Catalog'!$A:$A,0)),"⚠ not in catalog"))</f>
        <v/>
      </c>
      <c r="G2415" s="12" t="str">
        <f aca="false">IF(A2415="","",COUNTIFS('Weekly Log'!$A:$A,'Grocery List'!$B$3,'Weekly Log'!$C:$C,A2415,'Weekly Log'!$E:$E,"Yes"))</f>
        <v/>
      </c>
      <c r="H2415" s="12" t="str">
        <f aca="false">IF(OR(A2415="",D2415=""),"",D2415*G2415)</f>
        <v/>
      </c>
    </row>
    <row r="2416" customFormat="false" ht="15" hidden="false" customHeight="false" outlineLevel="0" collapsed="false">
      <c r="B2416" s="12" t="str">
        <f aca="false">IF(A2416="","",IFERROR(INDEX(Recipes!$B:$B,MATCH(A2416,Recipes!$A:$A,0)),"⚠ unknown recipe_id"))</f>
        <v/>
      </c>
      <c r="E2416" s="12" t="str">
        <f aca="false">IF(C2416="","",IFERROR(INDEX('Ingredient Catalog'!$C:$C,MATCH(C2416,'Ingredient Catalog'!$A:$A,0)),"⚠ not in catalog"))</f>
        <v/>
      </c>
      <c r="G2416" s="12" t="str">
        <f aca="false">IF(A2416="","",COUNTIFS('Weekly Log'!$A:$A,'Grocery List'!$B$3,'Weekly Log'!$C:$C,A2416,'Weekly Log'!$E:$E,"Yes"))</f>
        <v/>
      </c>
      <c r="H2416" s="12" t="str">
        <f aca="false">IF(OR(A2416="",D2416=""),"",D2416*G2416)</f>
        <v/>
      </c>
    </row>
    <row r="2417" customFormat="false" ht="15" hidden="false" customHeight="false" outlineLevel="0" collapsed="false">
      <c r="B2417" s="12" t="str">
        <f aca="false">IF(A2417="","",IFERROR(INDEX(Recipes!$B:$B,MATCH(A2417,Recipes!$A:$A,0)),"⚠ unknown recipe_id"))</f>
        <v/>
      </c>
      <c r="E2417" s="12" t="str">
        <f aca="false">IF(C2417="","",IFERROR(INDEX('Ingredient Catalog'!$C:$C,MATCH(C2417,'Ingredient Catalog'!$A:$A,0)),"⚠ not in catalog"))</f>
        <v/>
      </c>
      <c r="G2417" s="12" t="str">
        <f aca="false">IF(A2417="","",COUNTIFS('Weekly Log'!$A:$A,'Grocery List'!$B$3,'Weekly Log'!$C:$C,A2417,'Weekly Log'!$E:$E,"Yes"))</f>
        <v/>
      </c>
      <c r="H2417" s="12" t="str">
        <f aca="false">IF(OR(A2417="",D2417=""),"",D2417*G2417)</f>
        <v/>
      </c>
    </row>
    <row r="2418" customFormat="false" ht="15" hidden="false" customHeight="false" outlineLevel="0" collapsed="false">
      <c r="B2418" s="12" t="str">
        <f aca="false">IF(A2418="","",IFERROR(INDEX(Recipes!$B:$B,MATCH(A2418,Recipes!$A:$A,0)),"⚠ unknown recipe_id"))</f>
        <v/>
      </c>
      <c r="E2418" s="12" t="str">
        <f aca="false">IF(C2418="","",IFERROR(INDEX('Ingredient Catalog'!$C:$C,MATCH(C2418,'Ingredient Catalog'!$A:$A,0)),"⚠ not in catalog"))</f>
        <v/>
      </c>
      <c r="G2418" s="12" t="str">
        <f aca="false">IF(A2418="","",COUNTIFS('Weekly Log'!$A:$A,'Grocery List'!$B$3,'Weekly Log'!$C:$C,A2418,'Weekly Log'!$E:$E,"Yes"))</f>
        <v/>
      </c>
      <c r="H2418" s="12" t="str">
        <f aca="false">IF(OR(A2418="",D2418=""),"",D2418*G2418)</f>
        <v/>
      </c>
    </row>
    <row r="2419" customFormat="false" ht="15" hidden="false" customHeight="false" outlineLevel="0" collapsed="false">
      <c r="B2419" s="12" t="str">
        <f aca="false">IF(A2419="","",IFERROR(INDEX(Recipes!$B:$B,MATCH(A2419,Recipes!$A:$A,0)),"⚠ unknown recipe_id"))</f>
        <v/>
      </c>
      <c r="E2419" s="12" t="str">
        <f aca="false">IF(C2419="","",IFERROR(INDEX('Ingredient Catalog'!$C:$C,MATCH(C2419,'Ingredient Catalog'!$A:$A,0)),"⚠ not in catalog"))</f>
        <v/>
      </c>
      <c r="G2419" s="12" t="str">
        <f aca="false">IF(A2419="","",COUNTIFS('Weekly Log'!$A:$A,'Grocery List'!$B$3,'Weekly Log'!$C:$C,A2419,'Weekly Log'!$E:$E,"Yes"))</f>
        <v/>
      </c>
      <c r="H2419" s="12" t="str">
        <f aca="false">IF(OR(A2419="",D2419=""),"",D2419*G2419)</f>
        <v/>
      </c>
    </row>
    <row r="2420" customFormat="false" ht="15" hidden="false" customHeight="false" outlineLevel="0" collapsed="false">
      <c r="B2420" s="12" t="str">
        <f aca="false">IF(A2420="","",IFERROR(INDEX(Recipes!$B:$B,MATCH(A2420,Recipes!$A:$A,0)),"⚠ unknown recipe_id"))</f>
        <v/>
      </c>
      <c r="E2420" s="12" t="str">
        <f aca="false">IF(C2420="","",IFERROR(INDEX('Ingredient Catalog'!$C:$C,MATCH(C2420,'Ingredient Catalog'!$A:$A,0)),"⚠ not in catalog"))</f>
        <v/>
      </c>
      <c r="G2420" s="12" t="str">
        <f aca="false">IF(A2420="","",COUNTIFS('Weekly Log'!$A:$A,'Grocery List'!$B$3,'Weekly Log'!$C:$C,A2420,'Weekly Log'!$E:$E,"Yes"))</f>
        <v/>
      </c>
      <c r="H2420" s="12" t="str">
        <f aca="false">IF(OR(A2420="",D2420=""),"",D2420*G2420)</f>
        <v/>
      </c>
    </row>
    <row r="2421" customFormat="false" ht="15" hidden="false" customHeight="false" outlineLevel="0" collapsed="false">
      <c r="B2421" s="12" t="str">
        <f aca="false">IF(A2421="","",IFERROR(INDEX(Recipes!$B:$B,MATCH(A2421,Recipes!$A:$A,0)),"⚠ unknown recipe_id"))</f>
        <v/>
      </c>
      <c r="E2421" s="12" t="str">
        <f aca="false">IF(C2421="","",IFERROR(INDEX('Ingredient Catalog'!$C:$C,MATCH(C2421,'Ingredient Catalog'!$A:$A,0)),"⚠ not in catalog"))</f>
        <v/>
      </c>
      <c r="G2421" s="12" t="str">
        <f aca="false">IF(A2421="","",COUNTIFS('Weekly Log'!$A:$A,'Grocery List'!$B$3,'Weekly Log'!$C:$C,A2421,'Weekly Log'!$E:$E,"Yes"))</f>
        <v/>
      </c>
      <c r="H2421" s="12" t="str">
        <f aca="false">IF(OR(A2421="",D2421=""),"",D2421*G2421)</f>
        <v/>
      </c>
    </row>
    <row r="2422" customFormat="false" ht="15" hidden="false" customHeight="false" outlineLevel="0" collapsed="false">
      <c r="B2422" s="12" t="str">
        <f aca="false">IF(A2422="","",IFERROR(INDEX(Recipes!$B:$B,MATCH(A2422,Recipes!$A:$A,0)),"⚠ unknown recipe_id"))</f>
        <v/>
      </c>
      <c r="E2422" s="12" t="str">
        <f aca="false">IF(C2422="","",IFERROR(INDEX('Ingredient Catalog'!$C:$C,MATCH(C2422,'Ingredient Catalog'!$A:$A,0)),"⚠ not in catalog"))</f>
        <v/>
      </c>
      <c r="G2422" s="12" t="str">
        <f aca="false">IF(A2422="","",COUNTIFS('Weekly Log'!$A:$A,'Grocery List'!$B$3,'Weekly Log'!$C:$C,A2422,'Weekly Log'!$E:$E,"Yes"))</f>
        <v/>
      </c>
      <c r="H2422" s="12" t="str">
        <f aca="false">IF(OR(A2422="",D2422=""),"",D2422*G2422)</f>
        <v/>
      </c>
    </row>
    <row r="2423" customFormat="false" ht="15" hidden="false" customHeight="false" outlineLevel="0" collapsed="false">
      <c r="B2423" s="12" t="str">
        <f aca="false">IF(A2423="","",IFERROR(INDEX(Recipes!$B:$B,MATCH(A2423,Recipes!$A:$A,0)),"⚠ unknown recipe_id"))</f>
        <v/>
      </c>
      <c r="E2423" s="12" t="str">
        <f aca="false">IF(C2423="","",IFERROR(INDEX('Ingredient Catalog'!$C:$C,MATCH(C2423,'Ingredient Catalog'!$A:$A,0)),"⚠ not in catalog"))</f>
        <v/>
      </c>
      <c r="G2423" s="12" t="str">
        <f aca="false">IF(A2423="","",COUNTIFS('Weekly Log'!$A:$A,'Grocery List'!$B$3,'Weekly Log'!$C:$C,A2423,'Weekly Log'!$E:$E,"Yes"))</f>
        <v/>
      </c>
      <c r="H2423" s="12" t="str">
        <f aca="false">IF(OR(A2423="",D2423=""),"",D2423*G2423)</f>
        <v/>
      </c>
    </row>
    <row r="2424" customFormat="false" ht="15" hidden="false" customHeight="false" outlineLevel="0" collapsed="false">
      <c r="B2424" s="12" t="str">
        <f aca="false">IF(A2424="","",IFERROR(INDEX(Recipes!$B:$B,MATCH(A2424,Recipes!$A:$A,0)),"⚠ unknown recipe_id"))</f>
        <v/>
      </c>
      <c r="E2424" s="12" t="str">
        <f aca="false">IF(C2424="","",IFERROR(INDEX('Ingredient Catalog'!$C:$C,MATCH(C2424,'Ingredient Catalog'!$A:$A,0)),"⚠ not in catalog"))</f>
        <v/>
      </c>
      <c r="G2424" s="12" t="str">
        <f aca="false">IF(A2424="","",COUNTIFS('Weekly Log'!$A:$A,'Grocery List'!$B$3,'Weekly Log'!$C:$C,A2424,'Weekly Log'!$E:$E,"Yes"))</f>
        <v/>
      </c>
      <c r="H2424" s="12" t="str">
        <f aca="false">IF(OR(A2424="",D2424=""),"",D2424*G2424)</f>
        <v/>
      </c>
    </row>
    <row r="2425" customFormat="false" ht="15" hidden="false" customHeight="false" outlineLevel="0" collapsed="false">
      <c r="B2425" s="12" t="str">
        <f aca="false">IF(A2425="","",IFERROR(INDEX(Recipes!$B:$B,MATCH(A2425,Recipes!$A:$A,0)),"⚠ unknown recipe_id"))</f>
        <v/>
      </c>
      <c r="E2425" s="12" t="str">
        <f aca="false">IF(C2425="","",IFERROR(INDEX('Ingredient Catalog'!$C:$C,MATCH(C2425,'Ingredient Catalog'!$A:$A,0)),"⚠ not in catalog"))</f>
        <v/>
      </c>
      <c r="G2425" s="12" t="str">
        <f aca="false">IF(A2425="","",COUNTIFS('Weekly Log'!$A:$A,'Grocery List'!$B$3,'Weekly Log'!$C:$C,A2425,'Weekly Log'!$E:$E,"Yes"))</f>
        <v/>
      </c>
      <c r="H2425" s="12" t="str">
        <f aca="false">IF(OR(A2425="",D2425=""),"",D2425*G2425)</f>
        <v/>
      </c>
    </row>
    <row r="2426" customFormat="false" ht="15" hidden="false" customHeight="false" outlineLevel="0" collapsed="false">
      <c r="B2426" s="12" t="str">
        <f aca="false">IF(A2426="","",IFERROR(INDEX(Recipes!$B:$B,MATCH(A2426,Recipes!$A:$A,0)),"⚠ unknown recipe_id"))</f>
        <v/>
      </c>
      <c r="E2426" s="12" t="str">
        <f aca="false">IF(C2426="","",IFERROR(INDEX('Ingredient Catalog'!$C:$C,MATCH(C2426,'Ingredient Catalog'!$A:$A,0)),"⚠ not in catalog"))</f>
        <v/>
      </c>
      <c r="G2426" s="12" t="str">
        <f aca="false">IF(A2426="","",COUNTIFS('Weekly Log'!$A:$A,'Grocery List'!$B$3,'Weekly Log'!$C:$C,A2426,'Weekly Log'!$E:$E,"Yes"))</f>
        <v/>
      </c>
      <c r="H2426" s="12" t="str">
        <f aca="false">IF(OR(A2426="",D2426=""),"",D2426*G2426)</f>
        <v/>
      </c>
    </row>
    <row r="2427" customFormat="false" ht="15" hidden="false" customHeight="false" outlineLevel="0" collapsed="false">
      <c r="B2427" s="12" t="str">
        <f aca="false">IF(A2427="","",IFERROR(INDEX(Recipes!$B:$B,MATCH(A2427,Recipes!$A:$A,0)),"⚠ unknown recipe_id"))</f>
        <v/>
      </c>
      <c r="E2427" s="12" t="str">
        <f aca="false">IF(C2427="","",IFERROR(INDEX('Ingredient Catalog'!$C:$C,MATCH(C2427,'Ingredient Catalog'!$A:$A,0)),"⚠ not in catalog"))</f>
        <v/>
      </c>
      <c r="G2427" s="12" t="str">
        <f aca="false">IF(A2427="","",COUNTIFS('Weekly Log'!$A:$A,'Grocery List'!$B$3,'Weekly Log'!$C:$C,A2427,'Weekly Log'!$E:$E,"Yes"))</f>
        <v/>
      </c>
      <c r="H2427" s="12" t="str">
        <f aca="false">IF(OR(A2427="",D2427=""),"",D2427*G2427)</f>
        <v/>
      </c>
    </row>
    <row r="2428" customFormat="false" ht="15" hidden="false" customHeight="false" outlineLevel="0" collapsed="false">
      <c r="B2428" s="12" t="str">
        <f aca="false">IF(A2428="","",IFERROR(INDEX(Recipes!$B:$B,MATCH(A2428,Recipes!$A:$A,0)),"⚠ unknown recipe_id"))</f>
        <v/>
      </c>
      <c r="E2428" s="12" t="str">
        <f aca="false">IF(C2428="","",IFERROR(INDEX('Ingredient Catalog'!$C:$C,MATCH(C2428,'Ingredient Catalog'!$A:$A,0)),"⚠ not in catalog"))</f>
        <v/>
      </c>
      <c r="G2428" s="12" t="str">
        <f aca="false">IF(A2428="","",COUNTIFS('Weekly Log'!$A:$A,'Grocery List'!$B$3,'Weekly Log'!$C:$C,A2428,'Weekly Log'!$E:$E,"Yes"))</f>
        <v/>
      </c>
      <c r="H2428" s="12" t="str">
        <f aca="false">IF(OR(A2428="",D2428=""),"",D2428*G2428)</f>
        <v/>
      </c>
    </row>
    <row r="2429" customFormat="false" ht="15" hidden="false" customHeight="false" outlineLevel="0" collapsed="false">
      <c r="B2429" s="12" t="str">
        <f aca="false">IF(A2429="","",IFERROR(INDEX(Recipes!$B:$B,MATCH(A2429,Recipes!$A:$A,0)),"⚠ unknown recipe_id"))</f>
        <v/>
      </c>
      <c r="E2429" s="12" t="str">
        <f aca="false">IF(C2429="","",IFERROR(INDEX('Ingredient Catalog'!$C:$C,MATCH(C2429,'Ingredient Catalog'!$A:$A,0)),"⚠ not in catalog"))</f>
        <v/>
      </c>
      <c r="G2429" s="12" t="str">
        <f aca="false">IF(A2429="","",COUNTIFS('Weekly Log'!$A:$A,'Grocery List'!$B$3,'Weekly Log'!$C:$C,A2429,'Weekly Log'!$E:$E,"Yes"))</f>
        <v/>
      </c>
      <c r="H2429" s="12" t="str">
        <f aca="false">IF(OR(A2429="",D2429=""),"",D2429*G2429)</f>
        <v/>
      </c>
    </row>
    <row r="2430" customFormat="false" ht="15" hidden="false" customHeight="false" outlineLevel="0" collapsed="false">
      <c r="B2430" s="12" t="str">
        <f aca="false">IF(A2430="","",IFERROR(INDEX(Recipes!$B:$B,MATCH(A2430,Recipes!$A:$A,0)),"⚠ unknown recipe_id"))</f>
        <v/>
      </c>
      <c r="E2430" s="12" t="str">
        <f aca="false">IF(C2430="","",IFERROR(INDEX('Ingredient Catalog'!$C:$C,MATCH(C2430,'Ingredient Catalog'!$A:$A,0)),"⚠ not in catalog"))</f>
        <v/>
      </c>
      <c r="G2430" s="12" t="str">
        <f aca="false">IF(A2430="","",COUNTIFS('Weekly Log'!$A:$A,'Grocery List'!$B$3,'Weekly Log'!$C:$C,A2430,'Weekly Log'!$E:$E,"Yes"))</f>
        <v/>
      </c>
      <c r="H2430" s="12" t="str">
        <f aca="false">IF(OR(A2430="",D2430=""),"",D2430*G2430)</f>
        <v/>
      </c>
    </row>
    <row r="2431" customFormat="false" ht="15" hidden="false" customHeight="false" outlineLevel="0" collapsed="false">
      <c r="B2431" s="12" t="str">
        <f aca="false">IF(A2431="","",IFERROR(INDEX(Recipes!$B:$B,MATCH(A2431,Recipes!$A:$A,0)),"⚠ unknown recipe_id"))</f>
        <v/>
      </c>
      <c r="E2431" s="12" t="str">
        <f aca="false">IF(C2431="","",IFERROR(INDEX('Ingredient Catalog'!$C:$C,MATCH(C2431,'Ingredient Catalog'!$A:$A,0)),"⚠ not in catalog"))</f>
        <v/>
      </c>
      <c r="G2431" s="12" t="str">
        <f aca="false">IF(A2431="","",COUNTIFS('Weekly Log'!$A:$A,'Grocery List'!$B$3,'Weekly Log'!$C:$C,A2431,'Weekly Log'!$E:$E,"Yes"))</f>
        <v/>
      </c>
      <c r="H2431" s="12" t="str">
        <f aca="false">IF(OR(A2431="",D2431=""),"",D2431*G2431)</f>
        <v/>
      </c>
    </row>
    <row r="2432" customFormat="false" ht="15" hidden="false" customHeight="false" outlineLevel="0" collapsed="false">
      <c r="B2432" s="12" t="str">
        <f aca="false">IF(A2432="","",IFERROR(INDEX(Recipes!$B:$B,MATCH(A2432,Recipes!$A:$A,0)),"⚠ unknown recipe_id"))</f>
        <v/>
      </c>
      <c r="E2432" s="12" t="str">
        <f aca="false">IF(C2432="","",IFERROR(INDEX('Ingredient Catalog'!$C:$C,MATCH(C2432,'Ingredient Catalog'!$A:$A,0)),"⚠ not in catalog"))</f>
        <v/>
      </c>
      <c r="G2432" s="12" t="str">
        <f aca="false">IF(A2432="","",COUNTIFS('Weekly Log'!$A:$A,'Grocery List'!$B$3,'Weekly Log'!$C:$C,A2432,'Weekly Log'!$E:$E,"Yes"))</f>
        <v/>
      </c>
      <c r="H2432" s="12" t="str">
        <f aca="false">IF(OR(A2432="",D2432=""),"",D2432*G2432)</f>
        <v/>
      </c>
    </row>
    <row r="2433" customFormat="false" ht="15" hidden="false" customHeight="false" outlineLevel="0" collapsed="false">
      <c r="B2433" s="12" t="str">
        <f aca="false">IF(A2433="","",IFERROR(INDEX(Recipes!$B:$B,MATCH(A2433,Recipes!$A:$A,0)),"⚠ unknown recipe_id"))</f>
        <v/>
      </c>
      <c r="E2433" s="12" t="str">
        <f aca="false">IF(C2433="","",IFERROR(INDEX('Ingredient Catalog'!$C:$C,MATCH(C2433,'Ingredient Catalog'!$A:$A,0)),"⚠ not in catalog"))</f>
        <v/>
      </c>
      <c r="G2433" s="12" t="str">
        <f aca="false">IF(A2433="","",COUNTIFS('Weekly Log'!$A:$A,'Grocery List'!$B$3,'Weekly Log'!$C:$C,A2433,'Weekly Log'!$E:$E,"Yes"))</f>
        <v/>
      </c>
      <c r="H2433" s="12" t="str">
        <f aca="false">IF(OR(A2433="",D2433=""),"",D2433*G2433)</f>
        <v/>
      </c>
    </row>
    <row r="2434" customFormat="false" ht="15" hidden="false" customHeight="false" outlineLevel="0" collapsed="false">
      <c r="B2434" s="12" t="str">
        <f aca="false">IF(A2434="","",IFERROR(INDEX(Recipes!$B:$B,MATCH(A2434,Recipes!$A:$A,0)),"⚠ unknown recipe_id"))</f>
        <v/>
      </c>
      <c r="E2434" s="12" t="str">
        <f aca="false">IF(C2434="","",IFERROR(INDEX('Ingredient Catalog'!$C:$C,MATCH(C2434,'Ingredient Catalog'!$A:$A,0)),"⚠ not in catalog"))</f>
        <v/>
      </c>
      <c r="G2434" s="12" t="str">
        <f aca="false">IF(A2434="","",COUNTIFS('Weekly Log'!$A:$A,'Grocery List'!$B$3,'Weekly Log'!$C:$C,A2434,'Weekly Log'!$E:$E,"Yes"))</f>
        <v/>
      </c>
      <c r="H2434" s="12" t="str">
        <f aca="false">IF(OR(A2434="",D2434=""),"",D2434*G2434)</f>
        <v/>
      </c>
    </row>
    <row r="2435" customFormat="false" ht="15" hidden="false" customHeight="false" outlineLevel="0" collapsed="false">
      <c r="B2435" s="12" t="str">
        <f aca="false">IF(A2435="","",IFERROR(INDEX(Recipes!$B:$B,MATCH(A2435,Recipes!$A:$A,0)),"⚠ unknown recipe_id"))</f>
        <v/>
      </c>
      <c r="E2435" s="12" t="str">
        <f aca="false">IF(C2435="","",IFERROR(INDEX('Ingredient Catalog'!$C:$C,MATCH(C2435,'Ingredient Catalog'!$A:$A,0)),"⚠ not in catalog"))</f>
        <v/>
      </c>
      <c r="G2435" s="12" t="str">
        <f aca="false">IF(A2435="","",COUNTIFS('Weekly Log'!$A:$A,'Grocery List'!$B$3,'Weekly Log'!$C:$C,A2435,'Weekly Log'!$E:$E,"Yes"))</f>
        <v/>
      </c>
      <c r="H2435" s="12" t="str">
        <f aca="false">IF(OR(A2435="",D2435=""),"",D2435*G2435)</f>
        <v/>
      </c>
    </row>
    <row r="2436" customFormat="false" ht="15" hidden="false" customHeight="false" outlineLevel="0" collapsed="false">
      <c r="B2436" s="12" t="str">
        <f aca="false">IF(A2436="","",IFERROR(INDEX(Recipes!$B:$B,MATCH(A2436,Recipes!$A:$A,0)),"⚠ unknown recipe_id"))</f>
        <v/>
      </c>
      <c r="E2436" s="12" t="str">
        <f aca="false">IF(C2436="","",IFERROR(INDEX('Ingredient Catalog'!$C:$C,MATCH(C2436,'Ingredient Catalog'!$A:$A,0)),"⚠ not in catalog"))</f>
        <v/>
      </c>
      <c r="G2436" s="12" t="str">
        <f aca="false">IF(A2436="","",COUNTIFS('Weekly Log'!$A:$A,'Grocery List'!$B$3,'Weekly Log'!$C:$C,A2436,'Weekly Log'!$E:$E,"Yes"))</f>
        <v/>
      </c>
      <c r="H2436" s="12" t="str">
        <f aca="false">IF(OR(A2436="",D2436=""),"",D2436*G2436)</f>
        <v/>
      </c>
    </row>
    <row r="2437" customFormat="false" ht="15" hidden="false" customHeight="false" outlineLevel="0" collapsed="false">
      <c r="B2437" s="12" t="str">
        <f aca="false">IF(A2437="","",IFERROR(INDEX(Recipes!$B:$B,MATCH(A2437,Recipes!$A:$A,0)),"⚠ unknown recipe_id"))</f>
        <v/>
      </c>
      <c r="E2437" s="12" t="str">
        <f aca="false">IF(C2437="","",IFERROR(INDEX('Ingredient Catalog'!$C:$C,MATCH(C2437,'Ingredient Catalog'!$A:$A,0)),"⚠ not in catalog"))</f>
        <v/>
      </c>
      <c r="G2437" s="12" t="str">
        <f aca="false">IF(A2437="","",COUNTIFS('Weekly Log'!$A:$A,'Grocery List'!$B$3,'Weekly Log'!$C:$C,A2437,'Weekly Log'!$E:$E,"Yes"))</f>
        <v/>
      </c>
      <c r="H2437" s="12" t="str">
        <f aca="false">IF(OR(A2437="",D2437=""),"",D2437*G2437)</f>
        <v/>
      </c>
    </row>
    <row r="2438" customFormat="false" ht="15" hidden="false" customHeight="false" outlineLevel="0" collapsed="false">
      <c r="B2438" s="12" t="str">
        <f aca="false">IF(A2438="","",IFERROR(INDEX(Recipes!$B:$B,MATCH(A2438,Recipes!$A:$A,0)),"⚠ unknown recipe_id"))</f>
        <v/>
      </c>
      <c r="E2438" s="12" t="str">
        <f aca="false">IF(C2438="","",IFERROR(INDEX('Ingredient Catalog'!$C:$C,MATCH(C2438,'Ingredient Catalog'!$A:$A,0)),"⚠ not in catalog"))</f>
        <v/>
      </c>
      <c r="G2438" s="12" t="str">
        <f aca="false">IF(A2438="","",COUNTIFS('Weekly Log'!$A:$A,'Grocery List'!$B$3,'Weekly Log'!$C:$C,A2438,'Weekly Log'!$E:$E,"Yes"))</f>
        <v/>
      </c>
      <c r="H2438" s="12" t="str">
        <f aca="false">IF(OR(A2438="",D2438=""),"",D2438*G2438)</f>
        <v/>
      </c>
    </row>
    <row r="2439" customFormat="false" ht="15" hidden="false" customHeight="false" outlineLevel="0" collapsed="false">
      <c r="B2439" s="12" t="str">
        <f aca="false">IF(A2439="","",IFERROR(INDEX(Recipes!$B:$B,MATCH(A2439,Recipes!$A:$A,0)),"⚠ unknown recipe_id"))</f>
        <v/>
      </c>
      <c r="E2439" s="12" t="str">
        <f aca="false">IF(C2439="","",IFERROR(INDEX('Ingredient Catalog'!$C:$C,MATCH(C2439,'Ingredient Catalog'!$A:$A,0)),"⚠ not in catalog"))</f>
        <v/>
      </c>
      <c r="G2439" s="12" t="str">
        <f aca="false">IF(A2439="","",COUNTIFS('Weekly Log'!$A:$A,'Grocery List'!$B$3,'Weekly Log'!$C:$C,A2439,'Weekly Log'!$E:$E,"Yes"))</f>
        <v/>
      </c>
      <c r="H2439" s="12" t="str">
        <f aca="false">IF(OR(A2439="",D2439=""),"",D2439*G2439)</f>
        <v/>
      </c>
    </row>
    <row r="2440" customFormat="false" ht="15" hidden="false" customHeight="false" outlineLevel="0" collapsed="false">
      <c r="B2440" s="12" t="str">
        <f aca="false">IF(A2440="","",IFERROR(INDEX(Recipes!$B:$B,MATCH(A2440,Recipes!$A:$A,0)),"⚠ unknown recipe_id"))</f>
        <v/>
      </c>
      <c r="E2440" s="12" t="str">
        <f aca="false">IF(C2440="","",IFERROR(INDEX('Ingredient Catalog'!$C:$C,MATCH(C2440,'Ingredient Catalog'!$A:$A,0)),"⚠ not in catalog"))</f>
        <v/>
      </c>
      <c r="G2440" s="12" t="str">
        <f aca="false">IF(A2440="","",COUNTIFS('Weekly Log'!$A:$A,'Grocery List'!$B$3,'Weekly Log'!$C:$C,A2440,'Weekly Log'!$E:$E,"Yes"))</f>
        <v/>
      </c>
      <c r="H2440" s="12" t="str">
        <f aca="false">IF(OR(A2440="",D2440=""),"",D2440*G2440)</f>
        <v/>
      </c>
    </row>
    <row r="2441" customFormat="false" ht="15" hidden="false" customHeight="false" outlineLevel="0" collapsed="false">
      <c r="B2441" s="12" t="str">
        <f aca="false">IF(A2441="","",IFERROR(INDEX(Recipes!$B:$B,MATCH(A2441,Recipes!$A:$A,0)),"⚠ unknown recipe_id"))</f>
        <v/>
      </c>
      <c r="E2441" s="12" t="str">
        <f aca="false">IF(C2441="","",IFERROR(INDEX('Ingredient Catalog'!$C:$C,MATCH(C2441,'Ingredient Catalog'!$A:$A,0)),"⚠ not in catalog"))</f>
        <v/>
      </c>
      <c r="G2441" s="12" t="str">
        <f aca="false">IF(A2441="","",COUNTIFS('Weekly Log'!$A:$A,'Grocery List'!$B$3,'Weekly Log'!$C:$C,A2441,'Weekly Log'!$E:$E,"Yes"))</f>
        <v/>
      </c>
      <c r="H2441" s="12" t="str">
        <f aca="false">IF(OR(A2441="",D2441=""),"",D2441*G2441)</f>
        <v/>
      </c>
    </row>
    <row r="2442" customFormat="false" ht="15" hidden="false" customHeight="false" outlineLevel="0" collapsed="false">
      <c r="B2442" s="12" t="str">
        <f aca="false">IF(A2442="","",IFERROR(INDEX(Recipes!$B:$B,MATCH(A2442,Recipes!$A:$A,0)),"⚠ unknown recipe_id"))</f>
        <v/>
      </c>
      <c r="E2442" s="12" t="str">
        <f aca="false">IF(C2442="","",IFERROR(INDEX('Ingredient Catalog'!$C:$C,MATCH(C2442,'Ingredient Catalog'!$A:$A,0)),"⚠ not in catalog"))</f>
        <v/>
      </c>
      <c r="G2442" s="12" t="str">
        <f aca="false">IF(A2442="","",COUNTIFS('Weekly Log'!$A:$A,'Grocery List'!$B$3,'Weekly Log'!$C:$C,A2442,'Weekly Log'!$E:$E,"Yes"))</f>
        <v/>
      </c>
      <c r="H2442" s="12" t="str">
        <f aca="false">IF(OR(A2442="",D2442=""),"",D2442*G2442)</f>
        <v/>
      </c>
    </row>
    <row r="2443" customFormat="false" ht="15" hidden="false" customHeight="false" outlineLevel="0" collapsed="false">
      <c r="B2443" s="12" t="str">
        <f aca="false">IF(A2443="","",IFERROR(INDEX(Recipes!$B:$B,MATCH(A2443,Recipes!$A:$A,0)),"⚠ unknown recipe_id"))</f>
        <v/>
      </c>
      <c r="E2443" s="12" t="str">
        <f aca="false">IF(C2443="","",IFERROR(INDEX('Ingredient Catalog'!$C:$C,MATCH(C2443,'Ingredient Catalog'!$A:$A,0)),"⚠ not in catalog"))</f>
        <v/>
      </c>
      <c r="G2443" s="12" t="str">
        <f aca="false">IF(A2443="","",COUNTIFS('Weekly Log'!$A:$A,'Grocery List'!$B$3,'Weekly Log'!$C:$C,A2443,'Weekly Log'!$E:$E,"Yes"))</f>
        <v/>
      </c>
      <c r="H2443" s="12" t="str">
        <f aca="false">IF(OR(A2443="",D2443=""),"",D2443*G2443)</f>
        <v/>
      </c>
    </row>
    <row r="2444" customFormat="false" ht="15" hidden="false" customHeight="false" outlineLevel="0" collapsed="false">
      <c r="B2444" s="12" t="str">
        <f aca="false">IF(A2444="","",IFERROR(INDEX(Recipes!$B:$B,MATCH(A2444,Recipes!$A:$A,0)),"⚠ unknown recipe_id"))</f>
        <v/>
      </c>
      <c r="E2444" s="12" t="str">
        <f aca="false">IF(C2444="","",IFERROR(INDEX('Ingredient Catalog'!$C:$C,MATCH(C2444,'Ingredient Catalog'!$A:$A,0)),"⚠ not in catalog"))</f>
        <v/>
      </c>
      <c r="G2444" s="12" t="str">
        <f aca="false">IF(A2444="","",COUNTIFS('Weekly Log'!$A:$A,'Grocery List'!$B$3,'Weekly Log'!$C:$C,A2444,'Weekly Log'!$E:$E,"Yes"))</f>
        <v/>
      </c>
      <c r="H2444" s="12" t="str">
        <f aca="false">IF(OR(A2444="",D2444=""),"",D2444*G2444)</f>
        <v/>
      </c>
    </row>
    <row r="2445" customFormat="false" ht="15" hidden="false" customHeight="false" outlineLevel="0" collapsed="false">
      <c r="B2445" s="12" t="str">
        <f aca="false">IF(A2445="","",IFERROR(INDEX(Recipes!$B:$B,MATCH(A2445,Recipes!$A:$A,0)),"⚠ unknown recipe_id"))</f>
        <v/>
      </c>
      <c r="E2445" s="12" t="str">
        <f aca="false">IF(C2445="","",IFERROR(INDEX('Ingredient Catalog'!$C:$C,MATCH(C2445,'Ingredient Catalog'!$A:$A,0)),"⚠ not in catalog"))</f>
        <v/>
      </c>
      <c r="G2445" s="12" t="str">
        <f aca="false">IF(A2445="","",COUNTIFS('Weekly Log'!$A:$A,'Grocery List'!$B$3,'Weekly Log'!$C:$C,A2445,'Weekly Log'!$E:$E,"Yes"))</f>
        <v/>
      </c>
      <c r="H2445" s="12" t="str">
        <f aca="false">IF(OR(A2445="",D2445=""),"",D2445*G2445)</f>
        <v/>
      </c>
    </row>
    <row r="2446" customFormat="false" ht="15" hidden="false" customHeight="false" outlineLevel="0" collapsed="false">
      <c r="B2446" s="12" t="str">
        <f aca="false">IF(A2446="","",IFERROR(INDEX(Recipes!$B:$B,MATCH(A2446,Recipes!$A:$A,0)),"⚠ unknown recipe_id"))</f>
        <v/>
      </c>
      <c r="E2446" s="12" t="str">
        <f aca="false">IF(C2446="","",IFERROR(INDEX('Ingredient Catalog'!$C:$C,MATCH(C2446,'Ingredient Catalog'!$A:$A,0)),"⚠ not in catalog"))</f>
        <v/>
      </c>
      <c r="G2446" s="12" t="str">
        <f aca="false">IF(A2446="","",COUNTIFS('Weekly Log'!$A:$A,'Grocery List'!$B$3,'Weekly Log'!$C:$C,A2446,'Weekly Log'!$E:$E,"Yes"))</f>
        <v/>
      </c>
      <c r="H2446" s="12" t="str">
        <f aca="false">IF(OR(A2446="",D2446=""),"",D2446*G2446)</f>
        <v/>
      </c>
    </row>
    <row r="2447" customFormat="false" ht="15" hidden="false" customHeight="false" outlineLevel="0" collapsed="false">
      <c r="B2447" s="12" t="str">
        <f aca="false">IF(A2447="","",IFERROR(INDEX(Recipes!$B:$B,MATCH(A2447,Recipes!$A:$A,0)),"⚠ unknown recipe_id"))</f>
        <v/>
      </c>
      <c r="E2447" s="12" t="str">
        <f aca="false">IF(C2447="","",IFERROR(INDEX('Ingredient Catalog'!$C:$C,MATCH(C2447,'Ingredient Catalog'!$A:$A,0)),"⚠ not in catalog"))</f>
        <v/>
      </c>
      <c r="G2447" s="12" t="str">
        <f aca="false">IF(A2447="","",COUNTIFS('Weekly Log'!$A:$A,'Grocery List'!$B$3,'Weekly Log'!$C:$C,A2447,'Weekly Log'!$E:$E,"Yes"))</f>
        <v/>
      </c>
      <c r="H2447" s="12" t="str">
        <f aca="false">IF(OR(A2447="",D2447=""),"",D2447*G2447)</f>
        <v/>
      </c>
    </row>
    <row r="2448" customFormat="false" ht="15" hidden="false" customHeight="false" outlineLevel="0" collapsed="false">
      <c r="B2448" s="12" t="str">
        <f aca="false">IF(A2448="","",IFERROR(INDEX(Recipes!$B:$B,MATCH(A2448,Recipes!$A:$A,0)),"⚠ unknown recipe_id"))</f>
        <v/>
      </c>
      <c r="E2448" s="12" t="str">
        <f aca="false">IF(C2448="","",IFERROR(INDEX('Ingredient Catalog'!$C:$C,MATCH(C2448,'Ingredient Catalog'!$A:$A,0)),"⚠ not in catalog"))</f>
        <v/>
      </c>
      <c r="G2448" s="12" t="str">
        <f aca="false">IF(A2448="","",COUNTIFS('Weekly Log'!$A:$A,'Grocery List'!$B$3,'Weekly Log'!$C:$C,A2448,'Weekly Log'!$E:$E,"Yes"))</f>
        <v/>
      </c>
      <c r="H2448" s="12" t="str">
        <f aca="false">IF(OR(A2448="",D2448=""),"",D2448*G2448)</f>
        <v/>
      </c>
    </row>
    <row r="2449" customFormat="false" ht="15" hidden="false" customHeight="false" outlineLevel="0" collapsed="false">
      <c r="B2449" s="12" t="str">
        <f aca="false">IF(A2449="","",IFERROR(INDEX(Recipes!$B:$B,MATCH(A2449,Recipes!$A:$A,0)),"⚠ unknown recipe_id"))</f>
        <v/>
      </c>
      <c r="E2449" s="12" t="str">
        <f aca="false">IF(C2449="","",IFERROR(INDEX('Ingredient Catalog'!$C:$C,MATCH(C2449,'Ingredient Catalog'!$A:$A,0)),"⚠ not in catalog"))</f>
        <v/>
      </c>
      <c r="G2449" s="12" t="str">
        <f aca="false">IF(A2449="","",COUNTIFS('Weekly Log'!$A:$A,'Grocery List'!$B$3,'Weekly Log'!$C:$C,A2449,'Weekly Log'!$E:$E,"Yes"))</f>
        <v/>
      </c>
      <c r="H2449" s="12" t="str">
        <f aca="false">IF(OR(A2449="",D2449=""),"",D2449*G2449)</f>
        <v/>
      </c>
    </row>
    <row r="2450" customFormat="false" ht="15" hidden="false" customHeight="false" outlineLevel="0" collapsed="false">
      <c r="B2450" s="12" t="str">
        <f aca="false">IF(A2450="","",IFERROR(INDEX(Recipes!$B:$B,MATCH(A2450,Recipes!$A:$A,0)),"⚠ unknown recipe_id"))</f>
        <v/>
      </c>
      <c r="E2450" s="12" t="str">
        <f aca="false">IF(C2450="","",IFERROR(INDEX('Ingredient Catalog'!$C:$C,MATCH(C2450,'Ingredient Catalog'!$A:$A,0)),"⚠ not in catalog"))</f>
        <v/>
      </c>
      <c r="G2450" s="12" t="str">
        <f aca="false">IF(A2450="","",COUNTIFS('Weekly Log'!$A:$A,'Grocery List'!$B$3,'Weekly Log'!$C:$C,A2450,'Weekly Log'!$E:$E,"Yes"))</f>
        <v/>
      </c>
      <c r="H2450" s="12" t="str">
        <f aca="false">IF(OR(A2450="",D2450=""),"",D2450*G2450)</f>
        <v/>
      </c>
    </row>
    <row r="2451" customFormat="false" ht="15" hidden="false" customHeight="false" outlineLevel="0" collapsed="false">
      <c r="B2451" s="12" t="str">
        <f aca="false">IF(A2451="","",IFERROR(INDEX(Recipes!$B:$B,MATCH(A2451,Recipes!$A:$A,0)),"⚠ unknown recipe_id"))</f>
        <v/>
      </c>
      <c r="E2451" s="12" t="str">
        <f aca="false">IF(C2451="","",IFERROR(INDEX('Ingredient Catalog'!$C:$C,MATCH(C2451,'Ingredient Catalog'!$A:$A,0)),"⚠ not in catalog"))</f>
        <v/>
      </c>
      <c r="G2451" s="12" t="str">
        <f aca="false">IF(A2451="","",COUNTIFS('Weekly Log'!$A:$A,'Grocery List'!$B$3,'Weekly Log'!$C:$C,A2451,'Weekly Log'!$E:$E,"Yes"))</f>
        <v/>
      </c>
      <c r="H2451" s="12" t="str">
        <f aca="false">IF(OR(A2451="",D2451=""),"",D2451*G2451)</f>
        <v/>
      </c>
    </row>
    <row r="2452" customFormat="false" ht="15" hidden="false" customHeight="false" outlineLevel="0" collapsed="false">
      <c r="B2452" s="12" t="str">
        <f aca="false">IF(A2452="","",IFERROR(INDEX(Recipes!$B:$B,MATCH(A2452,Recipes!$A:$A,0)),"⚠ unknown recipe_id"))</f>
        <v/>
      </c>
      <c r="E2452" s="12" t="str">
        <f aca="false">IF(C2452="","",IFERROR(INDEX('Ingredient Catalog'!$C:$C,MATCH(C2452,'Ingredient Catalog'!$A:$A,0)),"⚠ not in catalog"))</f>
        <v/>
      </c>
      <c r="G2452" s="12" t="str">
        <f aca="false">IF(A2452="","",COUNTIFS('Weekly Log'!$A:$A,'Grocery List'!$B$3,'Weekly Log'!$C:$C,A2452,'Weekly Log'!$E:$E,"Yes"))</f>
        <v/>
      </c>
      <c r="H2452" s="12" t="str">
        <f aca="false">IF(OR(A2452="",D2452=""),"",D2452*G2452)</f>
        <v/>
      </c>
    </row>
    <row r="2453" customFormat="false" ht="15" hidden="false" customHeight="false" outlineLevel="0" collapsed="false">
      <c r="B2453" s="12" t="str">
        <f aca="false">IF(A2453="","",IFERROR(INDEX(Recipes!$B:$B,MATCH(A2453,Recipes!$A:$A,0)),"⚠ unknown recipe_id"))</f>
        <v/>
      </c>
      <c r="E2453" s="12" t="str">
        <f aca="false">IF(C2453="","",IFERROR(INDEX('Ingredient Catalog'!$C:$C,MATCH(C2453,'Ingredient Catalog'!$A:$A,0)),"⚠ not in catalog"))</f>
        <v/>
      </c>
      <c r="G2453" s="12" t="str">
        <f aca="false">IF(A2453="","",COUNTIFS('Weekly Log'!$A:$A,'Grocery List'!$B$3,'Weekly Log'!$C:$C,A2453,'Weekly Log'!$E:$E,"Yes"))</f>
        <v/>
      </c>
      <c r="H2453" s="12" t="str">
        <f aca="false">IF(OR(A2453="",D2453=""),"",D2453*G2453)</f>
        <v/>
      </c>
    </row>
    <row r="2454" customFormat="false" ht="15" hidden="false" customHeight="false" outlineLevel="0" collapsed="false">
      <c r="B2454" s="12" t="str">
        <f aca="false">IF(A2454="","",IFERROR(INDEX(Recipes!$B:$B,MATCH(A2454,Recipes!$A:$A,0)),"⚠ unknown recipe_id"))</f>
        <v/>
      </c>
      <c r="E2454" s="12" t="str">
        <f aca="false">IF(C2454="","",IFERROR(INDEX('Ingredient Catalog'!$C:$C,MATCH(C2454,'Ingredient Catalog'!$A:$A,0)),"⚠ not in catalog"))</f>
        <v/>
      </c>
      <c r="G2454" s="12" t="str">
        <f aca="false">IF(A2454="","",COUNTIFS('Weekly Log'!$A:$A,'Grocery List'!$B$3,'Weekly Log'!$C:$C,A2454,'Weekly Log'!$E:$E,"Yes"))</f>
        <v/>
      </c>
      <c r="H2454" s="12" t="str">
        <f aca="false">IF(OR(A2454="",D2454=""),"",D2454*G2454)</f>
        <v/>
      </c>
    </row>
    <row r="2455" customFormat="false" ht="15" hidden="false" customHeight="false" outlineLevel="0" collapsed="false">
      <c r="B2455" s="12" t="str">
        <f aca="false">IF(A2455="","",IFERROR(INDEX(Recipes!$B:$B,MATCH(A2455,Recipes!$A:$A,0)),"⚠ unknown recipe_id"))</f>
        <v/>
      </c>
      <c r="E2455" s="12" t="str">
        <f aca="false">IF(C2455="","",IFERROR(INDEX('Ingredient Catalog'!$C:$C,MATCH(C2455,'Ingredient Catalog'!$A:$A,0)),"⚠ not in catalog"))</f>
        <v/>
      </c>
      <c r="G2455" s="12" t="str">
        <f aca="false">IF(A2455="","",COUNTIFS('Weekly Log'!$A:$A,'Grocery List'!$B$3,'Weekly Log'!$C:$C,A2455,'Weekly Log'!$E:$E,"Yes"))</f>
        <v/>
      </c>
      <c r="H2455" s="12" t="str">
        <f aca="false">IF(OR(A2455="",D2455=""),"",D2455*G2455)</f>
        <v/>
      </c>
    </row>
    <row r="2456" customFormat="false" ht="15" hidden="false" customHeight="false" outlineLevel="0" collapsed="false">
      <c r="B2456" s="12" t="str">
        <f aca="false">IF(A2456="","",IFERROR(INDEX(Recipes!$B:$B,MATCH(A2456,Recipes!$A:$A,0)),"⚠ unknown recipe_id"))</f>
        <v/>
      </c>
      <c r="E2456" s="12" t="str">
        <f aca="false">IF(C2456="","",IFERROR(INDEX('Ingredient Catalog'!$C:$C,MATCH(C2456,'Ingredient Catalog'!$A:$A,0)),"⚠ not in catalog"))</f>
        <v/>
      </c>
      <c r="G2456" s="12" t="str">
        <f aca="false">IF(A2456="","",COUNTIFS('Weekly Log'!$A:$A,'Grocery List'!$B$3,'Weekly Log'!$C:$C,A2456,'Weekly Log'!$E:$E,"Yes"))</f>
        <v/>
      </c>
      <c r="H2456" s="12" t="str">
        <f aca="false">IF(OR(A2456="",D2456=""),"",D2456*G2456)</f>
        <v/>
      </c>
    </row>
    <row r="2457" customFormat="false" ht="15" hidden="false" customHeight="false" outlineLevel="0" collapsed="false">
      <c r="B2457" s="12" t="str">
        <f aca="false">IF(A2457="","",IFERROR(INDEX(Recipes!$B:$B,MATCH(A2457,Recipes!$A:$A,0)),"⚠ unknown recipe_id"))</f>
        <v/>
      </c>
      <c r="E2457" s="12" t="str">
        <f aca="false">IF(C2457="","",IFERROR(INDEX('Ingredient Catalog'!$C:$C,MATCH(C2457,'Ingredient Catalog'!$A:$A,0)),"⚠ not in catalog"))</f>
        <v/>
      </c>
      <c r="G2457" s="12" t="str">
        <f aca="false">IF(A2457="","",COUNTIFS('Weekly Log'!$A:$A,'Grocery List'!$B$3,'Weekly Log'!$C:$C,A2457,'Weekly Log'!$E:$E,"Yes"))</f>
        <v/>
      </c>
      <c r="H2457" s="12" t="str">
        <f aca="false">IF(OR(A2457="",D2457=""),"",D2457*G2457)</f>
        <v/>
      </c>
    </row>
    <row r="2458" customFormat="false" ht="15" hidden="false" customHeight="false" outlineLevel="0" collapsed="false">
      <c r="B2458" s="12" t="str">
        <f aca="false">IF(A2458="","",IFERROR(INDEX(Recipes!$B:$B,MATCH(A2458,Recipes!$A:$A,0)),"⚠ unknown recipe_id"))</f>
        <v/>
      </c>
      <c r="E2458" s="12" t="str">
        <f aca="false">IF(C2458="","",IFERROR(INDEX('Ingredient Catalog'!$C:$C,MATCH(C2458,'Ingredient Catalog'!$A:$A,0)),"⚠ not in catalog"))</f>
        <v/>
      </c>
      <c r="G2458" s="12" t="str">
        <f aca="false">IF(A2458="","",COUNTIFS('Weekly Log'!$A:$A,'Grocery List'!$B$3,'Weekly Log'!$C:$C,A2458,'Weekly Log'!$E:$E,"Yes"))</f>
        <v/>
      </c>
      <c r="H2458" s="12" t="str">
        <f aca="false">IF(OR(A2458="",D2458=""),"",D2458*G2458)</f>
        <v/>
      </c>
    </row>
    <row r="2459" customFormat="false" ht="15" hidden="false" customHeight="false" outlineLevel="0" collapsed="false">
      <c r="B2459" s="12" t="str">
        <f aca="false">IF(A2459="","",IFERROR(INDEX(Recipes!$B:$B,MATCH(A2459,Recipes!$A:$A,0)),"⚠ unknown recipe_id"))</f>
        <v/>
      </c>
      <c r="E2459" s="12" t="str">
        <f aca="false">IF(C2459="","",IFERROR(INDEX('Ingredient Catalog'!$C:$C,MATCH(C2459,'Ingredient Catalog'!$A:$A,0)),"⚠ not in catalog"))</f>
        <v/>
      </c>
      <c r="G2459" s="12" t="str">
        <f aca="false">IF(A2459="","",COUNTIFS('Weekly Log'!$A:$A,'Grocery List'!$B$3,'Weekly Log'!$C:$C,A2459,'Weekly Log'!$E:$E,"Yes"))</f>
        <v/>
      </c>
      <c r="H2459" s="12" t="str">
        <f aca="false">IF(OR(A2459="",D2459=""),"",D2459*G2459)</f>
        <v/>
      </c>
    </row>
    <row r="2460" customFormat="false" ht="15" hidden="false" customHeight="false" outlineLevel="0" collapsed="false">
      <c r="B2460" s="12" t="str">
        <f aca="false">IF(A2460="","",IFERROR(INDEX(Recipes!$B:$B,MATCH(A2460,Recipes!$A:$A,0)),"⚠ unknown recipe_id"))</f>
        <v/>
      </c>
      <c r="E2460" s="12" t="str">
        <f aca="false">IF(C2460="","",IFERROR(INDEX('Ingredient Catalog'!$C:$C,MATCH(C2460,'Ingredient Catalog'!$A:$A,0)),"⚠ not in catalog"))</f>
        <v/>
      </c>
      <c r="G2460" s="12" t="str">
        <f aca="false">IF(A2460="","",COUNTIFS('Weekly Log'!$A:$A,'Grocery List'!$B$3,'Weekly Log'!$C:$C,A2460,'Weekly Log'!$E:$E,"Yes"))</f>
        <v/>
      </c>
      <c r="H2460" s="12" t="str">
        <f aca="false">IF(OR(A2460="",D2460=""),"",D2460*G2460)</f>
        <v/>
      </c>
    </row>
    <row r="2461" customFormat="false" ht="15" hidden="false" customHeight="false" outlineLevel="0" collapsed="false">
      <c r="B2461" s="12" t="str">
        <f aca="false">IF(A2461="","",IFERROR(INDEX(Recipes!$B:$B,MATCH(A2461,Recipes!$A:$A,0)),"⚠ unknown recipe_id"))</f>
        <v/>
      </c>
      <c r="E2461" s="12" t="str">
        <f aca="false">IF(C2461="","",IFERROR(INDEX('Ingredient Catalog'!$C:$C,MATCH(C2461,'Ingredient Catalog'!$A:$A,0)),"⚠ not in catalog"))</f>
        <v/>
      </c>
      <c r="G2461" s="12" t="str">
        <f aca="false">IF(A2461="","",COUNTIFS('Weekly Log'!$A:$A,'Grocery List'!$B$3,'Weekly Log'!$C:$C,A2461,'Weekly Log'!$E:$E,"Yes"))</f>
        <v/>
      </c>
      <c r="H2461" s="12" t="str">
        <f aca="false">IF(OR(A2461="",D2461=""),"",D2461*G2461)</f>
        <v/>
      </c>
    </row>
    <row r="2462" customFormat="false" ht="15" hidden="false" customHeight="false" outlineLevel="0" collapsed="false">
      <c r="B2462" s="12" t="str">
        <f aca="false">IF(A2462="","",IFERROR(INDEX(Recipes!$B:$B,MATCH(A2462,Recipes!$A:$A,0)),"⚠ unknown recipe_id"))</f>
        <v/>
      </c>
      <c r="E2462" s="12" t="str">
        <f aca="false">IF(C2462="","",IFERROR(INDEX('Ingredient Catalog'!$C:$C,MATCH(C2462,'Ingredient Catalog'!$A:$A,0)),"⚠ not in catalog"))</f>
        <v/>
      </c>
      <c r="G2462" s="12" t="str">
        <f aca="false">IF(A2462="","",COUNTIFS('Weekly Log'!$A:$A,'Grocery List'!$B$3,'Weekly Log'!$C:$C,A2462,'Weekly Log'!$E:$E,"Yes"))</f>
        <v/>
      </c>
      <c r="H2462" s="12" t="str">
        <f aca="false">IF(OR(A2462="",D2462=""),"",D2462*G2462)</f>
        <v/>
      </c>
    </row>
    <row r="2463" customFormat="false" ht="15" hidden="false" customHeight="false" outlineLevel="0" collapsed="false">
      <c r="B2463" s="12" t="str">
        <f aca="false">IF(A2463="","",IFERROR(INDEX(Recipes!$B:$B,MATCH(A2463,Recipes!$A:$A,0)),"⚠ unknown recipe_id"))</f>
        <v/>
      </c>
      <c r="E2463" s="12" t="str">
        <f aca="false">IF(C2463="","",IFERROR(INDEX('Ingredient Catalog'!$C:$C,MATCH(C2463,'Ingredient Catalog'!$A:$A,0)),"⚠ not in catalog"))</f>
        <v/>
      </c>
      <c r="G2463" s="12" t="str">
        <f aca="false">IF(A2463="","",COUNTIFS('Weekly Log'!$A:$A,'Grocery List'!$B$3,'Weekly Log'!$C:$C,A2463,'Weekly Log'!$E:$E,"Yes"))</f>
        <v/>
      </c>
      <c r="H2463" s="12" t="str">
        <f aca="false">IF(OR(A2463="",D2463=""),"",D2463*G2463)</f>
        <v/>
      </c>
    </row>
    <row r="2464" customFormat="false" ht="15" hidden="false" customHeight="false" outlineLevel="0" collapsed="false">
      <c r="B2464" s="12" t="str">
        <f aca="false">IF(A2464="","",IFERROR(INDEX(Recipes!$B:$B,MATCH(A2464,Recipes!$A:$A,0)),"⚠ unknown recipe_id"))</f>
        <v/>
      </c>
      <c r="E2464" s="12" t="str">
        <f aca="false">IF(C2464="","",IFERROR(INDEX('Ingredient Catalog'!$C:$C,MATCH(C2464,'Ingredient Catalog'!$A:$A,0)),"⚠ not in catalog"))</f>
        <v/>
      </c>
      <c r="G2464" s="12" t="str">
        <f aca="false">IF(A2464="","",COUNTIFS('Weekly Log'!$A:$A,'Grocery List'!$B$3,'Weekly Log'!$C:$C,A2464,'Weekly Log'!$E:$E,"Yes"))</f>
        <v/>
      </c>
      <c r="H2464" s="12" t="str">
        <f aca="false">IF(OR(A2464="",D2464=""),"",D2464*G2464)</f>
        <v/>
      </c>
    </row>
    <row r="2465" customFormat="false" ht="15" hidden="false" customHeight="false" outlineLevel="0" collapsed="false">
      <c r="B2465" s="12" t="str">
        <f aca="false">IF(A2465="","",IFERROR(INDEX(Recipes!$B:$B,MATCH(A2465,Recipes!$A:$A,0)),"⚠ unknown recipe_id"))</f>
        <v/>
      </c>
      <c r="E2465" s="12" t="str">
        <f aca="false">IF(C2465="","",IFERROR(INDEX('Ingredient Catalog'!$C:$C,MATCH(C2465,'Ingredient Catalog'!$A:$A,0)),"⚠ not in catalog"))</f>
        <v/>
      </c>
      <c r="G2465" s="12" t="str">
        <f aca="false">IF(A2465="","",COUNTIFS('Weekly Log'!$A:$A,'Grocery List'!$B$3,'Weekly Log'!$C:$C,A2465,'Weekly Log'!$E:$E,"Yes"))</f>
        <v/>
      </c>
      <c r="H2465" s="12" t="str">
        <f aca="false">IF(OR(A2465="",D2465=""),"",D2465*G2465)</f>
        <v/>
      </c>
    </row>
    <row r="2466" customFormat="false" ht="15" hidden="false" customHeight="false" outlineLevel="0" collapsed="false">
      <c r="B2466" s="12" t="str">
        <f aca="false">IF(A2466="","",IFERROR(INDEX(Recipes!$B:$B,MATCH(A2466,Recipes!$A:$A,0)),"⚠ unknown recipe_id"))</f>
        <v/>
      </c>
      <c r="E2466" s="12" t="str">
        <f aca="false">IF(C2466="","",IFERROR(INDEX('Ingredient Catalog'!$C:$C,MATCH(C2466,'Ingredient Catalog'!$A:$A,0)),"⚠ not in catalog"))</f>
        <v/>
      </c>
      <c r="G2466" s="12" t="str">
        <f aca="false">IF(A2466="","",COUNTIFS('Weekly Log'!$A:$A,'Grocery List'!$B$3,'Weekly Log'!$C:$C,A2466,'Weekly Log'!$E:$E,"Yes"))</f>
        <v/>
      </c>
      <c r="H2466" s="12" t="str">
        <f aca="false">IF(OR(A2466="",D2466=""),"",D2466*G2466)</f>
        <v/>
      </c>
    </row>
    <row r="2467" customFormat="false" ht="15" hidden="false" customHeight="false" outlineLevel="0" collapsed="false">
      <c r="B2467" s="12" t="str">
        <f aca="false">IF(A2467="","",IFERROR(INDEX(Recipes!$B:$B,MATCH(A2467,Recipes!$A:$A,0)),"⚠ unknown recipe_id"))</f>
        <v/>
      </c>
      <c r="E2467" s="12" t="str">
        <f aca="false">IF(C2467="","",IFERROR(INDEX('Ingredient Catalog'!$C:$C,MATCH(C2467,'Ingredient Catalog'!$A:$A,0)),"⚠ not in catalog"))</f>
        <v/>
      </c>
      <c r="G2467" s="12" t="str">
        <f aca="false">IF(A2467="","",COUNTIFS('Weekly Log'!$A:$A,'Grocery List'!$B$3,'Weekly Log'!$C:$C,A2467,'Weekly Log'!$E:$E,"Yes"))</f>
        <v/>
      </c>
      <c r="H2467" s="12" t="str">
        <f aca="false">IF(OR(A2467="",D2467=""),"",D2467*G2467)</f>
        <v/>
      </c>
    </row>
    <row r="2468" customFormat="false" ht="15" hidden="false" customHeight="false" outlineLevel="0" collapsed="false">
      <c r="B2468" s="12" t="str">
        <f aca="false">IF(A2468="","",IFERROR(INDEX(Recipes!$B:$B,MATCH(A2468,Recipes!$A:$A,0)),"⚠ unknown recipe_id"))</f>
        <v/>
      </c>
      <c r="E2468" s="12" t="str">
        <f aca="false">IF(C2468="","",IFERROR(INDEX('Ingredient Catalog'!$C:$C,MATCH(C2468,'Ingredient Catalog'!$A:$A,0)),"⚠ not in catalog"))</f>
        <v/>
      </c>
      <c r="G2468" s="12" t="str">
        <f aca="false">IF(A2468="","",COUNTIFS('Weekly Log'!$A:$A,'Grocery List'!$B$3,'Weekly Log'!$C:$C,A2468,'Weekly Log'!$E:$E,"Yes"))</f>
        <v/>
      </c>
      <c r="H2468" s="12" t="str">
        <f aca="false">IF(OR(A2468="",D2468=""),"",D2468*G2468)</f>
        <v/>
      </c>
    </row>
    <row r="2469" customFormat="false" ht="15" hidden="false" customHeight="false" outlineLevel="0" collapsed="false">
      <c r="B2469" s="12" t="str">
        <f aca="false">IF(A2469="","",IFERROR(INDEX(Recipes!$B:$B,MATCH(A2469,Recipes!$A:$A,0)),"⚠ unknown recipe_id"))</f>
        <v/>
      </c>
      <c r="E2469" s="12" t="str">
        <f aca="false">IF(C2469="","",IFERROR(INDEX('Ingredient Catalog'!$C:$C,MATCH(C2469,'Ingredient Catalog'!$A:$A,0)),"⚠ not in catalog"))</f>
        <v/>
      </c>
      <c r="G2469" s="12" t="str">
        <f aca="false">IF(A2469="","",COUNTIFS('Weekly Log'!$A:$A,'Grocery List'!$B$3,'Weekly Log'!$C:$C,A2469,'Weekly Log'!$E:$E,"Yes"))</f>
        <v/>
      </c>
      <c r="H2469" s="12" t="str">
        <f aca="false">IF(OR(A2469="",D2469=""),"",D2469*G2469)</f>
        <v/>
      </c>
    </row>
    <row r="2470" customFormat="false" ht="15" hidden="false" customHeight="false" outlineLevel="0" collapsed="false">
      <c r="B2470" s="12" t="str">
        <f aca="false">IF(A2470="","",IFERROR(INDEX(Recipes!$B:$B,MATCH(A2470,Recipes!$A:$A,0)),"⚠ unknown recipe_id"))</f>
        <v/>
      </c>
      <c r="E2470" s="12" t="str">
        <f aca="false">IF(C2470="","",IFERROR(INDEX('Ingredient Catalog'!$C:$C,MATCH(C2470,'Ingredient Catalog'!$A:$A,0)),"⚠ not in catalog"))</f>
        <v/>
      </c>
      <c r="G2470" s="12" t="str">
        <f aca="false">IF(A2470="","",COUNTIFS('Weekly Log'!$A:$A,'Grocery List'!$B$3,'Weekly Log'!$C:$C,A2470,'Weekly Log'!$E:$E,"Yes"))</f>
        <v/>
      </c>
      <c r="H2470" s="12" t="str">
        <f aca="false">IF(OR(A2470="",D2470=""),"",D2470*G2470)</f>
        <v/>
      </c>
    </row>
    <row r="2471" customFormat="false" ht="15" hidden="false" customHeight="false" outlineLevel="0" collapsed="false">
      <c r="B2471" s="12" t="str">
        <f aca="false">IF(A2471="","",IFERROR(INDEX(Recipes!$B:$B,MATCH(A2471,Recipes!$A:$A,0)),"⚠ unknown recipe_id"))</f>
        <v/>
      </c>
      <c r="E2471" s="12" t="str">
        <f aca="false">IF(C2471="","",IFERROR(INDEX('Ingredient Catalog'!$C:$C,MATCH(C2471,'Ingredient Catalog'!$A:$A,0)),"⚠ not in catalog"))</f>
        <v/>
      </c>
      <c r="G2471" s="12" t="str">
        <f aca="false">IF(A2471="","",COUNTIFS('Weekly Log'!$A:$A,'Grocery List'!$B$3,'Weekly Log'!$C:$C,A2471,'Weekly Log'!$E:$E,"Yes"))</f>
        <v/>
      </c>
      <c r="H2471" s="12" t="str">
        <f aca="false">IF(OR(A2471="",D2471=""),"",D2471*G2471)</f>
        <v/>
      </c>
    </row>
    <row r="2472" customFormat="false" ht="15" hidden="false" customHeight="false" outlineLevel="0" collapsed="false">
      <c r="B2472" s="12" t="str">
        <f aca="false">IF(A2472="","",IFERROR(INDEX(Recipes!$B:$B,MATCH(A2472,Recipes!$A:$A,0)),"⚠ unknown recipe_id"))</f>
        <v/>
      </c>
      <c r="E2472" s="12" t="str">
        <f aca="false">IF(C2472="","",IFERROR(INDEX('Ingredient Catalog'!$C:$C,MATCH(C2472,'Ingredient Catalog'!$A:$A,0)),"⚠ not in catalog"))</f>
        <v/>
      </c>
      <c r="G2472" s="12" t="str">
        <f aca="false">IF(A2472="","",COUNTIFS('Weekly Log'!$A:$A,'Grocery List'!$B$3,'Weekly Log'!$C:$C,A2472,'Weekly Log'!$E:$E,"Yes"))</f>
        <v/>
      </c>
      <c r="H2472" s="12" t="str">
        <f aca="false">IF(OR(A2472="",D2472=""),"",D2472*G2472)</f>
        <v/>
      </c>
    </row>
    <row r="2473" customFormat="false" ht="15" hidden="false" customHeight="false" outlineLevel="0" collapsed="false">
      <c r="B2473" s="12" t="str">
        <f aca="false">IF(A2473="","",IFERROR(INDEX(Recipes!$B:$B,MATCH(A2473,Recipes!$A:$A,0)),"⚠ unknown recipe_id"))</f>
        <v/>
      </c>
      <c r="E2473" s="12" t="str">
        <f aca="false">IF(C2473="","",IFERROR(INDEX('Ingredient Catalog'!$C:$C,MATCH(C2473,'Ingredient Catalog'!$A:$A,0)),"⚠ not in catalog"))</f>
        <v/>
      </c>
      <c r="G2473" s="12" t="str">
        <f aca="false">IF(A2473="","",COUNTIFS('Weekly Log'!$A:$A,'Grocery List'!$B$3,'Weekly Log'!$C:$C,A2473,'Weekly Log'!$E:$E,"Yes"))</f>
        <v/>
      </c>
      <c r="H2473" s="12" t="str">
        <f aca="false">IF(OR(A2473="",D2473=""),"",D2473*G2473)</f>
        <v/>
      </c>
    </row>
    <row r="2474" customFormat="false" ht="15" hidden="false" customHeight="false" outlineLevel="0" collapsed="false">
      <c r="B2474" s="12" t="str">
        <f aca="false">IF(A2474="","",IFERROR(INDEX(Recipes!$B:$B,MATCH(A2474,Recipes!$A:$A,0)),"⚠ unknown recipe_id"))</f>
        <v/>
      </c>
      <c r="E2474" s="12" t="str">
        <f aca="false">IF(C2474="","",IFERROR(INDEX('Ingredient Catalog'!$C:$C,MATCH(C2474,'Ingredient Catalog'!$A:$A,0)),"⚠ not in catalog"))</f>
        <v/>
      </c>
      <c r="G2474" s="12" t="str">
        <f aca="false">IF(A2474="","",COUNTIFS('Weekly Log'!$A:$A,'Grocery List'!$B$3,'Weekly Log'!$C:$C,A2474,'Weekly Log'!$E:$E,"Yes"))</f>
        <v/>
      </c>
      <c r="H2474" s="12" t="str">
        <f aca="false">IF(OR(A2474="",D2474=""),"",D2474*G2474)</f>
        <v/>
      </c>
    </row>
    <row r="2475" customFormat="false" ht="15" hidden="false" customHeight="false" outlineLevel="0" collapsed="false">
      <c r="B2475" s="12" t="str">
        <f aca="false">IF(A2475="","",IFERROR(INDEX(Recipes!$B:$B,MATCH(A2475,Recipes!$A:$A,0)),"⚠ unknown recipe_id"))</f>
        <v/>
      </c>
      <c r="E2475" s="12" t="str">
        <f aca="false">IF(C2475="","",IFERROR(INDEX('Ingredient Catalog'!$C:$C,MATCH(C2475,'Ingredient Catalog'!$A:$A,0)),"⚠ not in catalog"))</f>
        <v/>
      </c>
      <c r="G2475" s="12" t="str">
        <f aca="false">IF(A2475="","",COUNTIFS('Weekly Log'!$A:$A,'Grocery List'!$B$3,'Weekly Log'!$C:$C,A2475,'Weekly Log'!$E:$E,"Yes"))</f>
        <v/>
      </c>
      <c r="H2475" s="12" t="str">
        <f aca="false">IF(OR(A2475="",D2475=""),"",D2475*G2475)</f>
        <v/>
      </c>
    </row>
    <row r="2476" customFormat="false" ht="15" hidden="false" customHeight="false" outlineLevel="0" collapsed="false">
      <c r="B2476" s="12" t="str">
        <f aca="false">IF(A2476="","",IFERROR(INDEX(Recipes!$B:$B,MATCH(A2476,Recipes!$A:$A,0)),"⚠ unknown recipe_id"))</f>
        <v/>
      </c>
      <c r="E2476" s="12" t="str">
        <f aca="false">IF(C2476="","",IFERROR(INDEX('Ingredient Catalog'!$C:$C,MATCH(C2476,'Ingredient Catalog'!$A:$A,0)),"⚠ not in catalog"))</f>
        <v/>
      </c>
      <c r="G2476" s="12" t="str">
        <f aca="false">IF(A2476="","",COUNTIFS('Weekly Log'!$A:$A,'Grocery List'!$B$3,'Weekly Log'!$C:$C,A2476,'Weekly Log'!$E:$E,"Yes"))</f>
        <v/>
      </c>
      <c r="H2476" s="12" t="str">
        <f aca="false">IF(OR(A2476="",D2476=""),"",D2476*G2476)</f>
        <v/>
      </c>
    </row>
    <row r="2477" customFormat="false" ht="15" hidden="false" customHeight="false" outlineLevel="0" collapsed="false">
      <c r="B2477" s="12" t="str">
        <f aca="false">IF(A2477="","",IFERROR(INDEX(Recipes!$B:$B,MATCH(A2477,Recipes!$A:$A,0)),"⚠ unknown recipe_id"))</f>
        <v/>
      </c>
      <c r="E2477" s="12" t="str">
        <f aca="false">IF(C2477="","",IFERROR(INDEX('Ingredient Catalog'!$C:$C,MATCH(C2477,'Ingredient Catalog'!$A:$A,0)),"⚠ not in catalog"))</f>
        <v/>
      </c>
      <c r="G2477" s="12" t="str">
        <f aca="false">IF(A2477="","",COUNTIFS('Weekly Log'!$A:$A,'Grocery List'!$B$3,'Weekly Log'!$C:$C,A2477,'Weekly Log'!$E:$E,"Yes"))</f>
        <v/>
      </c>
      <c r="H2477" s="12" t="str">
        <f aca="false">IF(OR(A2477="",D2477=""),"",D2477*G2477)</f>
        <v/>
      </c>
    </row>
    <row r="2478" customFormat="false" ht="15" hidden="false" customHeight="false" outlineLevel="0" collapsed="false">
      <c r="B2478" s="12" t="str">
        <f aca="false">IF(A2478="","",IFERROR(INDEX(Recipes!$B:$B,MATCH(A2478,Recipes!$A:$A,0)),"⚠ unknown recipe_id"))</f>
        <v/>
      </c>
      <c r="E2478" s="12" t="str">
        <f aca="false">IF(C2478="","",IFERROR(INDEX('Ingredient Catalog'!$C:$C,MATCH(C2478,'Ingredient Catalog'!$A:$A,0)),"⚠ not in catalog"))</f>
        <v/>
      </c>
      <c r="G2478" s="12" t="str">
        <f aca="false">IF(A2478="","",COUNTIFS('Weekly Log'!$A:$A,'Grocery List'!$B$3,'Weekly Log'!$C:$C,A2478,'Weekly Log'!$E:$E,"Yes"))</f>
        <v/>
      </c>
      <c r="H2478" s="12" t="str">
        <f aca="false">IF(OR(A2478="",D2478=""),"",D2478*G2478)</f>
        <v/>
      </c>
    </row>
    <row r="2479" customFormat="false" ht="15" hidden="false" customHeight="false" outlineLevel="0" collapsed="false">
      <c r="B2479" s="12" t="str">
        <f aca="false">IF(A2479="","",IFERROR(INDEX(Recipes!$B:$B,MATCH(A2479,Recipes!$A:$A,0)),"⚠ unknown recipe_id"))</f>
        <v/>
      </c>
      <c r="E2479" s="12" t="str">
        <f aca="false">IF(C2479="","",IFERROR(INDEX('Ingredient Catalog'!$C:$C,MATCH(C2479,'Ingredient Catalog'!$A:$A,0)),"⚠ not in catalog"))</f>
        <v/>
      </c>
      <c r="G2479" s="12" t="str">
        <f aca="false">IF(A2479="","",COUNTIFS('Weekly Log'!$A:$A,'Grocery List'!$B$3,'Weekly Log'!$C:$C,A2479,'Weekly Log'!$E:$E,"Yes"))</f>
        <v/>
      </c>
      <c r="H2479" s="12" t="str">
        <f aca="false">IF(OR(A2479="",D2479=""),"",D2479*G2479)</f>
        <v/>
      </c>
    </row>
    <row r="2480" customFormat="false" ht="15" hidden="false" customHeight="false" outlineLevel="0" collapsed="false">
      <c r="B2480" s="12" t="str">
        <f aca="false">IF(A2480="","",IFERROR(INDEX(Recipes!$B:$B,MATCH(A2480,Recipes!$A:$A,0)),"⚠ unknown recipe_id"))</f>
        <v/>
      </c>
      <c r="E2480" s="12" t="str">
        <f aca="false">IF(C2480="","",IFERROR(INDEX('Ingredient Catalog'!$C:$C,MATCH(C2480,'Ingredient Catalog'!$A:$A,0)),"⚠ not in catalog"))</f>
        <v/>
      </c>
      <c r="G2480" s="12" t="str">
        <f aca="false">IF(A2480="","",COUNTIFS('Weekly Log'!$A:$A,'Grocery List'!$B$3,'Weekly Log'!$C:$C,A2480,'Weekly Log'!$E:$E,"Yes"))</f>
        <v/>
      </c>
      <c r="H2480" s="12" t="str">
        <f aca="false">IF(OR(A2480="",D2480=""),"",D2480*G2480)</f>
        <v/>
      </c>
    </row>
    <row r="2481" customFormat="false" ht="15" hidden="false" customHeight="false" outlineLevel="0" collapsed="false">
      <c r="B2481" s="12" t="str">
        <f aca="false">IF(A2481="","",IFERROR(INDEX(Recipes!$B:$B,MATCH(A2481,Recipes!$A:$A,0)),"⚠ unknown recipe_id"))</f>
        <v/>
      </c>
      <c r="E2481" s="12" t="str">
        <f aca="false">IF(C2481="","",IFERROR(INDEX('Ingredient Catalog'!$C:$C,MATCH(C2481,'Ingredient Catalog'!$A:$A,0)),"⚠ not in catalog"))</f>
        <v/>
      </c>
      <c r="G2481" s="12" t="str">
        <f aca="false">IF(A2481="","",COUNTIFS('Weekly Log'!$A:$A,'Grocery List'!$B$3,'Weekly Log'!$C:$C,A2481,'Weekly Log'!$E:$E,"Yes"))</f>
        <v/>
      </c>
      <c r="H2481" s="12" t="str">
        <f aca="false">IF(OR(A2481="",D2481=""),"",D2481*G2481)</f>
        <v/>
      </c>
    </row>
    <row r="2482" customFormat="false" ht="15" hidden="false" customHeight="false" outlineLevel="0" collapsed="false">
      <c r="B2482" s="12" t="str">
        <f aca="false">IF(A2482="","",IFERROR(INDEX(Recipes!$B:$B,MATCH(A2482,Recipes!$A:$A,0)),"⚠ unknown recipe_id"))</f>
        <v/>
      </c>
      <c r="E2482" s="12" t="str">
        <f aca="false">IF(C2482="","",IFERROR(INDEX('Ingredient Catalog'!$C:$C,MATCH(C2482,'Ingredient Catalog'!$A:$A,0)),"⚠ not in catalog"))</f>
        <v/>
      </c>
      <c r="G2482" s="12" t="str">
        <f aca="false">IF(A2482="","",COUNTIFS('Weekly Log'!$A:$A,'Grocery List'!$B$3,'Weekly Log'!$C:$C,A2482,'Weekly Log'!$E:$E,"Yes"))</f>
        <v/>
      </c>
      <c r="H2482" s="12" t="str">
        <f aca="false">IF(OR(A2482="",D2482=""),"",D2482*G2482)</f>
        <v/>
      </c>
    </row>
    <row r="2483" customFormat="false" ht="15" hidden="false" customHeight="false" outlineLevel="0" collapsed="false">
      <c r="B2483" s="12" t="str">
        <f aca="false">IF(A2483="","",IFERROR(INDEX(Recipes!$B:$B,MATCH(A2483,Recipes!$A:$A,0)),"⚠ unknown recipe_id"))</f>
        <v/>
      </c>
      <c r="E2483" s="12" t="str">
        <f aca="false">IF(C2483="","",IFERROR(INDEX('Ingredient Catalog'!$C:$C,MATCH(C2483,'Ingredient Catalog'!$A:$A,0)),"⚠ not in catalog"))</f>
        <v/>
      </c>
      <c r="G2483" s="12" t="str">
        <f aca="false">IF(A2483="","",COUNTIFS('Weekly Log'!$A:$A,'Grocery List'!$B$3,'Weekly Log'!$C:$C,A2483,'Weekly Log'!$E:$E,"Yes"))</f>
        <v/>
      </c>
      <c r="H2483" s="12" t="str">
        <f aca="false">IF(OR(A2483="",D2483=""),"",D2483*G2483)</f>
        <v/>
      </c>
    </row>
    <row r="2484" customFormat="false" ht="15" hidden="false" customHeight="false" outlineLevel="0" collapsed="false">
      <c r="B2484" s="12" t="str">
        <f aca="false">IF(A2484="","",IFERROR(INDEX(Recipes!$B:$B,MATCH(A2484,Recipes!$A:$A,0)),"⚠ unknown recipe_id"))</f>
        <v/>
      </c>
      <c r="E2484" s="12" t="str">
        <f aca="false">IF(C2484="","",IFERROR(INDEX('Ingredient Catalog'!$C:$C,MATCH(C2484,'Ingredient Catalog'!$A:$A,0)),"⚠ not in catalog"))</f>
        <v/>
      </c>
      <c r="G2484" s="12" t="str">
        <f aca="false">IF(A2484="","",COUNTIFS('Weekly Log'!$A:$A,'Grocery List'!$B$3,'Weekly Log'!$C:$C,A2484,'Weekly Log'!$E:$E,"Yes"))</f>
        <v/>
      </c>
      <c r="H2484" s="12" t="str">
        <f aca="false">IF(OR(A2484="",D2484=""),"",D2484*G2484)</f>
        <v/>
      </c>
    </row>
    <row r="2485" customFormat="false" ht="15" hidden="false" customHeight="false" outlineLevel="0" collapsed="false">
      <c r="B2485" s="12" t="str">
        <f aca="false">IF(A2485="","",IFERROR(INDEX(Recipes!$B:$B,MATCH(A2485,Recipes!$A:$A,0)),"⚠ unknown recipe_id"))</f>
        <v/>
      </c>
      <c r="E2485" s="12" t="str">
        <f aca="false">IF(C2485="","",IFERROR(INDEX('Ingredient Catalog'!$C:$C,MATCH(C2485,'Ingredient Catalog'!$A:$A,0)),"⚠ not in catalog"))</f>
        <v/>
      </c>
      <c r="G2485" s="12" t="str">
        <f aca="false">IF(A2485="","",COUNTIFS('Weekly Log'!$A:$A,'Grocery List'!$B$3,'Weekly Log'!$C:$C,A2485,'Weekly Log'!$E:$E,"Yes"))</f>
        <v/>
      </c>
      <c r="H2485" s="12" t="str">
        <f aca="false">IF(OR(A2485="",D2485=""),"",D2485*G2485)</f>
        <v/>
      </c>
    </row>
    <row r="2486" customFormat="false" ht="15" hidden="false" customHeight="false" outlineLevel="0" collapsed="false">
      <c r="B2486" s="12" t="str">
        <f aca="false">IF(A2486="","",IFERROR(INDEX(Recipes!$B:$B,MATCH(A2486,Recipes!$A:$A,0)),"⚠ unknown recipe_id"))</f>
        <v/>
      </c>
      <c r="E2486" s="12" t="str">
        <f aca="false">IF(C2486="","",IFERROR(INDEX('Ingredient Catalog'!$C:$C,MATCH(C2486,'Ingredient Catalog'!$A:$A,0)),"⚠ not in catalog"))</f>
        <v/>
      </c>
      <c r="G2486" s="12" t="str">
        <f aca="false">IF(A2486="","",COUNTIFS('Weekly Log'!$A:$A,'Grocery List'!$B$3,'Weekly Log'!$C:$C,A2486,'Weekly Log'!$E:$E,"Yes"))</f>
        <v/>
      </c>
      <c r="H2486" s="12" t="str">
        <f aca="false">IF(OR(A2486="",D2486=""),"",D2486*G2486)</f>
        <v/>
      </c>
    </row>
    <row r="2487" customFormat="false" ht="15" hidden="false" customHeight="false" outlineLevel="0" collapsed="false">
      <c r="B2487" s="12" t="str">
        <f aca="false">IF(A2487="","",IFERROR(INDEX(Recipes!$B:$B,MATCH(A2487,Recipes!$A:$A,0)),"⚠ unknown recipe_id"))</f>
        <v/>
      </c>
      <c r="E2487" s="12" t="str">
        <f aca="false">IF(C2487="","",IFERROR(INDEX('Ingredient Catalog'!$C:$C,MATCH(C2487,'Ingredient Catalog'!$A:$A,0)),"⚠ not in catalog"))</f>
        <v/>
      </c>
      <c r="G2487" s="12" t="str">
        <f aca="false">IF(A2487="","",COUNTIFS('Weekly Log'!$A:$A,'Grocery List'!$B$3,'Weekly Log'!$C:$C,A2487,'Weekly Log'!$E:$E,"Yes"))</f>
        <v/>
      </c>
      <c r="H2487" s="12" t="str">
        <f aca="false">IF(OR(A2487="",D2487=""),"",D2487*G2487)</f>
        <v/>
      </c>
    </row>
    <row r="2488" customFormat="false" ht="15" hidden="false" customHeight="false" outlineLevel="0" collapsed="false">
      <c r="B2488" s="12" t="str">
        <f aca="false">IF(A2488="","",IFERROR(INDEX(Recipes!$B:$B,MATCH(A2488,Recipes!$A:$A,0)),"⚠ unknown recipe_id"))</f>
        <v/>
      </c>
      <c r="E2488" s="12" t="str">
        <f aca="false">IF(C2488="","",IFERROR(INDEX('Ingredient Catalog'!$C:$C,MATCH(C2488,'Ingredient Catalog'!$A:$A,0)),"⚠ not in catalog"))</f>
        <v/>
      </c>
      <c r="G2488" s="12" t="str">
        <f aca="false">IF(A2488="","",COUNTIFS('Weekly Log'!$A:$A,'Grocery List'!$B$3,'Weekly Log'!$C:$C,A2488,'Weekly Log'!$E:$E,"Yes"))</f>
        <v/>
      </c>
      <c r="H2488" s="12" t="str">
        <f aca="false">IF(OR(A2488="",D2488=""),"",D2488*G2488)</f>
        <v/>
      </c>
    </row>
    <row r="2489" customFormat="false" ht="15" hidden="false" customHeight="false" outlineLevel="0" collapsed="false">
      <c r="B2489" s="12" t="str">
        <f aca="false">IF(A2489="","",IFERROR(INDEX(Recipes!$B:$B,MATCH(A2489,Recipes!$A:$A,0)),"⚠ unknown recipe_id"))</f>
        <v/>
      </c>
      <c r="E2489" s="12" t="str">
        <f aca="false">IF(C2489="","",IFERROR(INDEX('Ingredient Catalog'!$C:$C,MATCH(C2489,'Ingredient Catalog'!$A:$A,0)),"⚠ not in catalog"))</f>
        <v/>
      </c>
      <c r="G2489" s="12" t="str">
        <f aca="false">IF(A2489="","",COUNTIFS('Weekly Log'!$A:$A,'Grocery List'!$B$3,'Weekly Log'!$C:$C,A2489,'Weekly Log'!$E:$E,"Yes"))</f>
        <v/>
      </c>
      <c r="H2489" s="12" t="str">
        <f aca="false">IF(OR(A2489="",D2489=""),"",D2489*G2489)</f>
        <v/>
      </c>
    </row>
    <row r="2490" customFormat="false" ht="15" hidden="false" customHeight="false" outlineLevel="0" collapsed="false">
      <c r="B2490" s="12" t="str">
        <f aca="false">IF(A2490="","",IFERROR(INDEX(Recipes!$B:$B,MATCH(A2490,Recipes!$A:$A,0)),"⚠ unknown recipe_id"))</f>
        <v/>
      </c>
      <c r="E2490" s="12" t="str">
        <f aca="false">IF(C2490="","",IFERROR(INDEX('Ingredient Catalog'!$C:$C,MATCH(C2490,'Ingredient Catalog'!$A:$A,0)),"⚠ not in catalog"))</f>
        <v/>
      </c>
      <c r="G2490" s="12" t="str">
        <f aca="false">IF(A2490="","",COUNTIFS('Weekly Log'!$A:$A,'Grocery List'!$B$3,'Weekly Log'!$C:$C,A2490,'Weekly Log'!$E:$E,"Yes"))</f>
        <v/>
      </c>
      <c r="H2490" s="12" t="str">
        <f aca="false">IF(OR(A2490="",D2490=""),"",D2490*G2490)</f>
        <v/>
      </c>
    </row>
    <row r="2491" customFormat="false" ht="15" hidden="false" customHeight="false" outlineLevel="0" collapsed="false">
      <c r="B2491" s="12" t="str">
        <f aca="false">IF(A2491="","",IFERROR(INDEX(Recipes!$B:$B,MATCH(A2491,Recipes!$A:$A,0)),"⚠ unknown recipe_id"))</f>
        <v/>
      </c>
      <c r="E2491" s="12" t="str">
        <f aca="false">IF(C2491="","",IFERROR(INDEX('Ingredient Catalog'!$C:$C,MATCH(C2491,'Ingredient Catalog'!$A:$A,0)),"⚠ not in catalog"))</f>
        <v/>
      </c>
      <c r="G2491" s="12" t="str">
        <f aca="false">IF(A2491="","",COUNTIFS('Weekly Log'!$A:$A,'Grocery List'!$B$3,'Weekly Log'!$C:$C,A2491,'Weekly Log'!$E:$E,"Yes"))</f>
        <v/>
      </c>
      <c r="H2491" s="12" t="str">
        <f aca="false">IF(OR(A2491="",D2491=""),"",D2491*G2491)</f>
        <v/>
      </c>
    </row>
    <row r="2492" customFormat="false" ht="15" hidden="false" customHeight="false" outlineLevel="0" collapsed="false">
      <c r="B2492" s="12" t="str">
        <f aca="false">IF(A2492="","",IFERROR(INDEX(Recipes!$B:$B,MATCH(A2492,Recipes!$A:$A,0)),"⚠ unknown recipe_id"))</f>
        <v/>
      </c>
      <c r="E2492" s="12" t="str">
        <f aca="false">IF(C2492="","",IFERROR(INDEX('Ingredient Catalog'!$C:$C,MATCH(C2492,'Ingredient Catalog'!$A:$A,0)),"⚠ not in catalog"))</f>
        <v/>
      </c>
      <c r="G2492" s="12" t="str">
        <f aca="false">IF(A2492="","",COUNTIFS('Weekly Log'!$A:$A,'Grocery List'!$B$3,'Weekly Log'!$C:$C,A2492,'Weekly Log'!$E:$E,"Yes"))</f>
        <v/>
      </c>
      <c r="H2492" s="12" t="str">
        <f aca="false">IF(OR(A2492="",D2492=""),"",D2492*G2492)</f>
        <v/>
      </c>
    </row>
    <row r="2493" customFormat="false" ht="15" hidden="false" customHeight="false" outlineLevel="0" collapsed="false">
      <c r="B2493" s="12" t="str">
        <f aca="false">IF(A2493="","",IFERROR(INDEX(Recipes!$B:$B,MATCH(A2493,Recipes!$A:$A,0)),"⚠ unknown recipe_id"))</f>
        <v/>
      </c>
      <c r="E2493" s="12" t="str">
        <f aca="false">IF(C2493="","",IFERROR(INDEX('Ingredient Catalog'!$C:$C,MATCH(C2493,'Ingredient Catalog'!$A:$A,0)),"⚠ not in catalog"))</f>
        <v/>
      </c>
      <c r="G2493" s="12" t="str">
        <f aca="false">IF(A2493="","",COUNTIFS('Weekly Log'!$A:$A,'Grocery List'!$B$3,'Weekly Log'!$C:$C,A2493,'Weekly Log'!$E:$E,"Yes"))</f>
        <v/>
      </c>
      <c r="H2493" s="12" t="str">
        <f aca="false">IF(OR(A2493="",D2493=""),"",D2493*G2493)</f>
        <v/>
      </c>
    </row>
    <row r="2494" customFormat="false" ht="15" hidden="false" customHeight="false" outlineLevel="0" collapsed="false">
      <c r="B2494" s="12" t="str">
        <f aca="false">IF(A2494="","",IFERROR(INDEX(Recipes!$B:$B,MATCH(A2494,Recipes!$A:$A,0)),"⚠ unknown recipe_id"))</f>
        <v/>
      </c>
      <c r="E2494" s="12" t="str">
        <f aca="false">IF(C2494="","",IFERROR(INDEX('Ingredient Catalog'!$C:$C,MATCH(C2494,'Ingredient Catalog'!$A:$A,0)),"⚠ not in catalog"))</f>
        <v/>
      </c>
      <c r="G2494" s="12" t="str">
        <f aca="false">IF(A2494="","",COUNTIFS('Weekly Log'!$A:$A,'Grocery List'!$B$3,'Weekly Log'!$C:$C,A2494,'Weekly Log'!$E:$E,"Yes"))</f>
        <v/>
      </c>
      <c r="H2494" s="12" t="str">
        <f aca="false">IF(OR(A2494="",D2494=""),"",D2494*G2494)</f>
        <v/>
      </c>
    </row>
    <row r="2495" customFormat="false" ht="15" hidden="false" customHeight="false" outlineLevel="0" collapsed="false">
      <c r="B2495" s="12" t="str">
        <f aca="false">IF(A2495="","",IFERROR(INDEX(Recipes!$B:$B,MATCH(A2495,Recipes!$A:$A,0)),"⚠ unknown recipe_id"))</f>
        <v/>
      </c>
      <c r="E2495" s="12" t="str">
        <f aca="false">IF(C2495="","",IFERROR(INDEX('Ingredient Catalog'!$C:$C,MATCH(C2495,'Ingredient Catalog'!$A:$A,0)),"⚠ not in catalog"))</f>
        <v/>
      </c>
      <c r="G2495" s="12" t="str">
        <f aca="false">IF(A2495="","",COUNTIFS('Weekly Log'!$A:$A,'Grocery List'!$B$3,'Weekly Log'!$C:$C,A2495,'Weekly Log'!$E:$E,"Yes"))</f>
        <v/>
      </c>
      <c r="H2495" s="12" t="str">
        <f aca="false">IF(OR(A2495="",D2495=""),"",D2495*G2495)</f>
        <v/>
      </c>
    </row>
    <row r="2496" customFormat="false" ht="15" hidden="false" customHeight="false" outlineLevel="0" collapsed="false">
      <c r="B2496" s="12" t="str">
        <f aca="false">IF(A2496="","",IFERROR(INDEX(Recipes!$B:$B,MATCH(A2496,Recipes!$A:$A,0)),"⚠ unknown recipe_id"))</f>
        <v/>
      </c>
      <c r="E2496" s="12" t="str">
        <f aca="false">IF(C2496="","",IFERROR(INDEX('Ingredient Catalog'!$C:$C,MATCH(C2496,'Ingredient Catalog'!$A:$A,0)),"⚠ not in catalog"))</f>
        <v/>
      </c>
      <c r="G2496" s="12" t="str">
        <f aca="false">IF(A2496="","",COUNTIFS('Weekly Log'!$A:$A,'Grocery List'!$B$3,'Weekly Log'!$C:$C,A2496,'Weekly Log'!$E:$E,"Yes"))</f>
        <v/>
      </c>
      <c r="H2496" s="12" t="str">
        <f aca="false">IF(OR(A2496="",D2496=""),"",D2496*G2496)</f>
        <v/>
      </c>
    </row>
    <row r="2497" customFormat="false" ht="15" hidden="false" customHeight="false" outlineLevel="0" collapsed="false">
      <c r="B2497" s="12" t="str">
        <f aca="false">IF(A2497="","",IFERROR(INDEX(Recipes!$B:$B,MATCH(A2497,Recipes!$A:$A,0)),"⚠ unknown recipe_id"))</f>
        <v/>
      </c>
      <c r="E2497" s="12" t="str">
        <f aca="false">IF(C2497="","",IFERROR(INDEX('Ingredient Catalog'!$C:$C,MATCH(C2497,'Ingredient Catalog'!$A:$A,0)),"⚠ not in catalog"))</f>
        <v/>
      </c>
      <c r="G2497" s="12" t="str">
        <f aca="false">IF(A2497="","",COUNTIFS('Weekly Log'!$A:$A,'Grocery List'!$B$3,'Weekly Log'!$C:$C,A2497,'Weekly Log'!$E:$E,"Yes"))</f>
        <v/>
      </c>
      <c r="H2497" s="12" t="str">
        <f aca="false">IF(OR(A2497="",D2497=""),"",D2497*G2497)</f>
        <v/>
      </c>
    </row>
    <row r="2498" customFormat="false" ht="15" hidden="false" customHeight="false" outlineLevel="0" collapsed="false">
      <c r="B2498" s="12" t="str">
        <f aca="false">IF(A2498="","",IFERROR(INDEX(Recipes!$B:$B,MATCH(A2498,Recipes!$A:$A,0)),"⚠ unknown recipe_id"))</f>
        <v/>
      </c>
      <c r="E2498" s="12" t="str">
        <f aca="false">IF(C2498="","",IFERROR(INDEX('Ingredient Catalog'!$C:$C,MATCH(C2498,'Ingredient Catalog'!$A:$A,0)),"⚠ not in catalog"))</f>
        <v/>
      </c>
      <c r="G2498" s="12" t="str">
        <f aca="false">IF(A2498="","",COUNTIFS('Weekly Log'!$A:$A,'Grocery List'!$B$3,'Weekly Log'!$C:$C,A2498,'Weekly Log'!$E:$E,"Yes"))</f>
        <v/>
      </c>
      <c r="H2498" s="12" t="str">
        <f aca="false">IF(OR(A2498="",D2498=""),"",D2498*G2498)</f>
        <v/>
      </c>
    </row>
    <row r="2499" customFormat="false" ht="15" hidden="false" customHeight="false" outlineLevel="0" collapsed="false">
      <c r="B2499" s="12" t="str">
        <f aca="false">IF(A2499="","",IFERROR(INDEX(Recipes!$B:$B,MATCH(A2499,Recipes!$A:$A,0)),"⚠ unknown recipe_id"))</f>
        <v/>
      </c>
      <c r="E2499" s="12" t="str">
        <f aca="false">IF(C2499="","",IFERROR(INDEX('Ingredient Catalog'!$C:$C,MATCH(C2499,'Ingredient Catalog'!$A:$A,0)),"⚠ not in catalog"))</f>
        <v/>
      </c>
      <c r="G2499" s="12" t="str">
        <f aca="false">IF(A2499="","",COUNTIFS('Weekly Log'!$A:$A,'Grocery List'!$B$3,'Weekly Log'!$C:$C,A2499,'Weekly Log'!$E:$E,"Yes"))</f>
        <v/>
      </c>
      <c r="H2499" s="12" t="str">
        <f aca="false">IF(OR(A2499="",D2499=""),"",D2499*G2499)</f>
        <v/>
      </c>
    </row>
    <row r="2500" customFormat="false" ht="15" hidden="false" customHeight="false" outlineLevel="0" collapsed="false">
      <c r="B2500" s="12" t="str">
        <f aca="false">IF(A2500="","",IFERROR(INDEX(Recipes!$B:$B,MATCH(A2500,Recipes!$A:$A,0)),"⚠ unknown recipe_id"))</f>
        <v/>
      </c>
      <c r="E2500" s="12" t="str">
        <f aca="false">IF(C2500="","",IFERROR(INDEX('Ingredient Catalog'!$C:$C,MATCH(C2500,'Ingredient Catalog'!$A:$A,0)),"⚠ not in catalog"))</f>
        <v/>
      </c>
      <c r="G2500" s="12" t="str">
        <f aca="false">IF(A2500="","",COUNTIFS('Weekly Log'!$A:$A,'Grocery List'!$B$3,'Weekly Log'!$C:$C,A2500,'Weekly Log'!$E:$E,"Yes"))</f>
        <v/>
      </c>
      <c r="H2500" s="12" t="str">
        <f aca="false">IF(OR(A2500="",D2500=""),"",D2500*G2500)</f>
        <v/>
      </c>
    </row>
    <row r="2501" customFormat="false" ht="15" hidden="false" customHeight="false" outlineLevel="0" collapsed="false">
      <c r="B2501" s="12" t="str">
        <f aca="false">IF(A2501="","",IFERROR(INDEX(Recipes!$B:$B,MATCH(A2501,Recipes!$A:$A,0)),"⚠ unknown recipe_id"))</f>
        <v/>
      </c>
      <c r="E2501" s="12" t="str">
        <f aca="false">IF(C2501="","",IFERROR(INDEX('Ingredient Catalog'!$C:$C,MATCH(C2501,'Ingredient Catalog'!$A:$A,0)),"⚠ not in catalog"))</f>
        <v/>
      </c>
      <c r="G2501" s="12" t="str">
        <f aca="false">IF(A2501="","",COUNTIFS('Weekly Log'!$A:$A,'Grocery List'!$B$3,'Weekly Log'!$C:$C,A2501,'Weekly Log'!$E:$E,"Yes"))</f>
        <v/>
      </c>
      <c r="H2501" s="12" t="str">
        <f aca="false">IF(OR(A2501="",D2501=""),"",D2501*G2501)</f>
        <v/>
      </c>
    </row>
    <row r="2502" customFormat="false" ht="15" hidden="false" customHeight="false" outlineLevel="0" collapsed="false">
      <c r="B2502" s="12" t="str">
        <f aca="false">IF(A2502="","",IFERROR(INDEX(Recipes!$B:$B,MATCH(A2502,Recipes!$A:$A,0)),"⚠ unknown recipe_id"))</f>
        <v/>
      </c>
      <c r="E2502" s="12" t="str">
        <f aca="false">IF(C2502="","",IFERROR(INDEX('Ingredient Catalog'!$C:$C,MATCH(C2502,'Ingredient Catalog'!$A:$A,0)),"⚠ not in catalog"))</f>
        <v/>
      </c>
      <c r="G2502" s="12" t="str">
        <f aca="false">IF(A2502="","",COUNTIFS('Weekly Log'!$A:$A,'Grocery List'!$B$3,'Weekly Log'!$C:$C,A2502,'Weekly Log'!$E:$E,"Yes"))</f>
        <v/>
      </c>
      <c r="H2502" s="12" t="str">
        <f aca="false">IF(OR(A2502="",D2502=""),"",D2502*G2502)</f>
        <v/>
      </c>
    </row>
    <row r="2503" customFormat="false" ht="15" hidden="false" customHeight="false" outlineLevel="0" collapsed="false">
      <c r="B2503" s="12" t="str">
        <f aca="false">IF(A2503="","",IFERROR(INDEX(Recipes!$B:$B,MATCH(A2503,Recipes!$A:$A,0)),"⚠ unknown recipe_id"))</f>
        <v/>
      </c>
      <c r="E2503" s="12" t="str">
        <f aca="false">IF(C2503="","",IFERROR(INDEX('Ingredient Catalog'!$C:$C,MATCH(C2503,'Ingredient Catalog'!$A:$A,0)),"⚠ not in catalog"))</f>
        <v/>
      </c>
      <c r="G2503" s="12" t="str">
        <f aca="false">IF(A2503="","",COUNTIFS('Weekly Log'!$A:$A,'Grocery List'!$B$3,'Weekly Log'!$C:$C,A2503,'Weekly Log'!$E:$E,"Yes"))</f>
        <v/>
      </c>
      <c r="H2503" s="12" t="str">
        <f aca="false">IF(OR(A2503="",D2503=""),"",D2503*G2503)</f>
        <v/>
      </c>
    </row>
    <row r="2504" customFormat="false" ht="15" hidden="false" customHeight="false" outlineLevel="0" collapsed="false">
      <c r="B2504" s="12" t="str">
        <f aca="false">IF(A2504="","",IFERROR(INDEX(Recipes!$B:$B,MATCH(A2504,Recipes!$A:$A,0)),"⚠ unknown recipe_id"))</f>
        <v/>
      </c>
      <c r="E2504" s="12" t="str">
        <f aca="false">IF(C2504="","",IFERROR(INDEX('Ingredient Catalog'!$C:$C,MATCH(C2504,'Ingredient Catalog'!$A:$A,0)),"⚠ not in catalog"))</f>
        <v/>
      </c>
      <c r="G2504" s="12" t="str">
        <f aca="false">IF(A2504="","",COUNTIFS('Weekly Log'!$A:$A,'Grocery List'!$B$3,'Weekly Log'!$C:$C,A2504,'Weekly Log'!$E:$E,"Yes"))</f>
        <v/>
      </c>
      <c r="H2504" s="12" t="str">
        <f aca="false">IF(OR(A2504="",D2504=""),"",D2504*G2504)</f>
        <v/>
      </c>
    </row>
    <row r="2505" customFormat="false" ht="15" hidden="false" customHeight="false" outlineLevel="0" collapsed="false">
      <c r="B2505" s="12" t="str">
        <f aca="false">IF(A2505="","",IFERROR(INDEX(Recipes!$B:$B,MATCH(A2505,Recipes!$A:$A,0)),"⚠ unknown recipe_id"))</f>
        <v/>
      </c>
      <c r="E2505" s="12" t="str">
        <f aca="false">IF(C2505="","",IFERROR(INDEX('Ingredient Catalog'!$C:$C,MATCH(C2505,'Ingredient Catalog'!$A:$A,0)),"⚠ not in catalog"))</f>
        <v/>
      </c>
      <c r="G2505" s="12" t="str">
        <f aca="false">IF(A2505="","",COUNTIFS('Weekly Log'!$A:$A,'Grocery List'!$B$3,'Weekly Log'!$C:$C,A2505,'Weekly Log'!$E:$E,"Yes"))</f>
        <v/>
      </c>
      <c r="H2505" s="12" t="str">
        <f aca="false">IF(OR(A2505="",D2505=""),"",D2505*G2505)</f>
        <v/>
      </c>
    </row>
    <row r="2506" customFormat="false" ht="15" hidden="false" customHeight="false" outlineLevel="0" collapsed="false">
      <c r="B2506" s="12" t="str">
        <f aca="false">IF(A2506="","",IFERROR(INDEX(Recipes!$B:$B,MATCH(A2506,Recipes!$A:$A,0)),"⚠ unknown recipe_id"))</f>
        <v/>
      </c>
      <c r="E2506" s="12" t="str">
        <f aca="false">IF(C2506="","",IFERROR(INDEX('Ingredient Catalog'!$C:$C,MATCH(C2506,'Ingredient Catalog'!$A:$A,0)),"⚠ not in catalog"))</f>
        <v/>
      </c>
      <c r="G2506" s="12" t="str">
        <f aca="false">IF(A2506="","",COUNTIFS('Weekly Log'!$A:$A,'Grocery List'!$B$3,'Weekly Log'!$C:$C,A2506,'Weekly Log'!$E:$E,"Yes"))</f>
        <v/>
      </c>
      <c r="H2506" s="12" t="str">
        <f aca="false">IF(OR(A2506="",D2506=""),"",D2506*G2506)</f>
        <v/>
      </c>
    </row>
    <row r="2507" customFormat="false" ht="15" hidden="false" customHeight="false" outlineLevel="0" collapsed="false">
      <c r="B2507" s="12" t="str">
        <f aca="false">IF(A2507="","",IFERROR(INDEX(Recipes!$B:$B,MATCH(A2507,Recipes!$A:$A,0)),"⚠ unknown recipe_id"))</f>
        <v/>
      </c>
      <c r="E2507" s="12" t="str">
        <f aca="false">IF(C2507="","",IFERROR(INDEX('Ingredient Catalog'!$C:$C,MATCH(C2507,'Ingredient Catalog'!$A:$A,0)),"⚠ not in catalog"))</f>
        <v/>
      </c>
      <c r="G2507" s="12" t="str">
        <f aca="false">IF(A2507="","",COUNTIFS('Weekly Log'!$A:$A,'Grocery List'!$B$3,'Weekly Log'!$C:$C,A2507,'Weekly Log'!$E:$E,"Yes"))</f>
        <v/>
      </c>
      <c r="H2507" s="12" t="str">
        <f aca="false">IF(OR(A2507="",D2507=""),"",D2507*G2507)</f>
        <v/>
      </c>
    </row>
    <row r="2508" customFormat="false" ht="15" hidden="false" customHeight="false" outlineLevel="0" collapsed="false">
      <c r="B2508" s="12" t="str">
        <f aca="false">IF(A2508="","",IFERROR(INDEX(Recipes!$B:$B,MATCH(A2508,Recipes!$A:$A,0)),"⚠ unknown recipe_id"))</f>
        <v/>
      </c>
      <c r="E2508" s="12" t="str">
        <f aca="false">IF(C2508="","",IFERROR(INDEX('Ingredient Catalog'!$C:$C,MATCH(C2508,'Ingredient Catalog'!$A:$A,0)),"⚠ not in catalog"))</f>
        <v/>
      </c>
      <c r="G2508" s="12" t="str">
        <f aca="false">IF(A2508="","",COUNTIFS('Weekly Log'!$A:$A,'Grocery List'!$B$3,'Weekly Log'!$C:$C,A2508,'Weekly Log'!$E:$E,"Yes"))</f>
        <v/>
      </c>
      <c r="H2508" s="12" t="str">
        <f aca="false">IF(OR(A2508="",D2508=""),"",D2508*G2508)</f>
        <v/>
      </c>
    </row>
    <row r="2509" customFormat="false" ht="15" hidden="false" customHeight="false" outlineLevel="0" collapsed="false">
      <c r="B2509" s="12" t="str">
        <f aca="false">IF(A2509="","",IFERROR(INDEX(Recipes!$B:$B,MATCH(A2509,Recipes!$A:$A,0)),"⚠ unknown recipe_id"))</f>
        <v/>
      </c>
      <c r="E2509" s="12" t="str">
        <f aca="false">IF(C2509="","",IFERROR(INDEX('Ingredient Catalog'!$C:$C,MATCH(C2509,'Ingredient Catalog'!$A:$A,0)),"⚠ not in catalog"))</f>
        <v/>
      </c>
      <c r="G2509" s="12" t="str">
        <f aca="false">IF(A2509="","",COUNTIFS('Weekly Log'!$A:$A,'Grocery List'!$B$3,'Weekly Log'!$C:$C,A2509,'Weekly Log'!$E:$E,"Yes"))</f>
        <v/>
      </c>
      <c r="H2509" s="12" t="str">
        <f aca="false">IF(OR(A2509="",D2509=""),"",D2509*G2509)</f>
        <v/>
      </c>
    </row>
    <row r="2510" customFormat="false" ht="15" hidden="false" customHeight="false" outlineLevel="0" collapsed="false">
      <c r="B2510" s="12" t="str">
        <f aca="false">IF(A2510="","",IFERROR(INDEX(Recipes!$B:$B,MATCH(A2510,Recipes!$A:$A,0)),"⚠ unknown recipe_id"))</f>
        <v/>
      </c>
      <c r="E2510" s="12" t="str">
        <f aca="false">IF(C2510="","",IFERROR(INDEX('Ingredient Catalog'!$C:$C,MATCH(C2510,'Ingredient Catalog'!$A:$A,0)),"⚠ not in catalog"))</f>
        <v/>
      </c>
      <c r="G2510" s="12" t="str">
        <f aca="false">IF(A2510="","",COUNTIFS('Weekly Log'!$A:$A,'Grocery List'!$B$3,'Weekly Log'!$C:$C,A2510,'Weekly Log'!$E:$E,"Yes"))</f>
        <v/>
      </c>
      <c r="H2510" s="12" t="str">
        <f aca="false">IF(OR(A2510="",D2510=""),"",D2510*G2510)</f>
        <v/>
      </c>
    </row>
    <row r="2511" customFormat="false" ht="15" hidden="false" customHeight="false" outlineLevel="0" collapsed="false">
      <c r="B2511" s="12" t="str">
        <f aca="false">IF(A2511="","",IFERROR(INDEX(Recipes!$B:$B,MATCH(A2511,Recipes!$A:$A,0)),"⚠ unknown recipe_id"))</f>
        <v/>
      </c>
      <c r="E2511" s="12" t="str">
        <f aca="false">IF(C2511="","",IFERROR(INDEX('Ingredient Catalog'!$C:$C,MATCH(C2511,'Ingredient Catalog'!$A:$A,0)),"⚠ not in catalog"))</f>
        <v/>
      </c>
      <c r="G2511" s="12" t="str">
        <f aca="false">IF(A2511="","",COUNTIFS('Weekly Log'!$A:$A,'Grocery List'!$B$3,'Weekly Log'!$C:$C,A2511,'Weekly Log'!$E:$E,"Yes"))</f>
        <v/>
      </c>
      <c r="H2511" s="12" t="str">
        <f aca="false">IF(OR(A2511="",D2511=""),"",D2511*G2511)</f>
        <v/>
      </c>
    </row>
    <row r="2512" customFormat="false" ht="15" hidden="false" customHeight="false" outlineLevel="0" collapsed="false">
      <c r="B2512" s="12" t="str">
        <f aca="false">IF(A2512="","",IFERROR(INDEX(Recipes!$B:$B,MATCH(A2512,Recipes!$A:$A,0)),"⚠ unknown recipe_id"))</f>
        <v/>
      </c>
      <c r="E2512" s="12" t="str">
        <f aca="false">IF(C2512="","",IFERROR(INDEX('Ingredient Catalog'!$C:$C,MATCH(C2512,'Ingredient Catalog'!$A:$A,0)),"⚠ not in catalog"))</f>
        <v/>
      </c>
      <c r="G2512" s="12" t="str">
        <f aca="false">IF(A2512="","",COUNTIFS('Weekly Log'!$A:$A,'Grocery List'!$B$3,'Weekly Log'!$C:$C,A2512,'Weekly Log'!$E:$E,"Yes"))</f>
        <v/>
      </c>
      <c r="H2512" s="12" t="str">
        <f aca="false">IF(OR(A2512="",D2512=""),"",D2512*G2512)</f>
        <v/>
      </c>
    </row>
    <row r="2513" customFormat="false" ht="15" hidden="false" customHeight="false" outlineLevel="0" collapsed="false">
      <c r="B2513" s="12" t="str">
        <f aca="false">IF(A2513="","",IFERROR(INDEX(Recipes!$B:$B,MATCH(A2513,Recipes!$A:$A,0)),"⚠ unknown recipe_id"))</f>
        <v/>
      </c>
      <c r="E2513" s="12" t="str">
        <f aca="false">IF(C2513="","",IFERROR(INDEX('Ingredient Catalog'!$C:$C,MATCH(C2513,'Ingredient Catalog'!$A:$A,0)),"⚠ not in catalog"))</f>
        <v/>
      </c>
      <c r="G2513" s="12" t="str">
        <f aca="false">IF(A2513="","",COUNTIFS('Weekly Log'!$A:$A,'Grocery List'!$B$3,'Weekly Log'!$C:$C,A2513,'Weekly Log'!$E:$E,"Yes"))</f>
        <v/>
      </c>
      <c r="H2513" s="12" t="str">
        <f aca="false">IF(OR(A2513="",D2513=""),"",D2513*G2513)</f>
        <v/>
      </c>
    </row>
    <row r="2514" customFormat="false" ht="15" hidden="false" customHeight="false" outlineLevel="0" collapsed="false">
      <c r="B2514" s="12" t="str">
        <f aca="false">IF(A2514="","",IFERROR(INDEX(Recipes!$B:$B,MATCH(A2514,Recipes!$A:$A,0)),"⚠ unknown recipe_id"))</f>
        <v/>
      </c>
      <c r="E2514" s="12" t="str">
        <f aca="false">IF(C2514="","",IFERROR(INDEX('Ingredient Catalog'!$C:$C,MATCH(C2514,'Ingredient Catalog'!$A:$A,0)),"⚠ not in catalog"))</f>
        <v/>
      </c>
      <c r="G2514" s="12" t="str">
        <f aca="false">IF(A2514="","",COUNTIFS('Weekly Log'!$A:$A,'Grocery List'!$B$3,'Weekly Log'!$C:$C,A2514,'Weekly Log'!$E:$E,"Yes"))</f>
        <v/>
      </c>
      <c r="H2514" s="12" t="str">
        <f aca="false">IF(OR(A2514="",D2514=""),"",D2514*G2514)</f>
        <v/>
      </c>
    </row>
    <row r="2515" customFormat="false" ht="15" hidden="false" customHeight="false" outlineLevel="0" collapsed="false">
      <c r="B2515" s="12" t="str">
        <f aca="false">IF(A2515="","",IFERROR(INDEX(Recipes!$B:$B,MATCH(A2515,Recipes!$A:$A,0)),"⚠ unknown recipe_id"))</f>
        <v/>
      </c>
      <c r="E2515" s="12" t="str">
        <f aca="false">IF(C2515="","",IFERROR(INDEX('Ingredient Catalog'!$C:$C,MATCH(C2515,'Ingredient Catalog'!$A:$A,0)),"⚠ not in catalog"))</f>
        <v/>
      </c>
      <c r="G2515" s="12" t="str">
        <f aca="false">IF(A2515="","",COUNTIFS('Weekly Log'!$A:$A,'Grocery List'!$B$3,'Weekly Log'!$C:$C,A2515,'Weekly Log'!$E:$E,"Yes"))</f>
        <v/>
      </c>
      <c r="H2515" s="12" t="str">
        <f aca="false">IF(OR(A2515="",D2515=""),"",D2515*G2515)</f>
        <v/>
      </c>
    </row>
    <row r="2516" customFormat="false" ht="15" hidden="false" customHeight="false" outlineLevel="0" collapsed="false">
      <c r="B2516" s="12" t="str">
        <f aca="false">IF(A2516="","",IFERROR(INDEX(Recipes!$B:$B,MATCH(A2516,Recipes!$A:$A,0)),"⚠ unknown recipe_id"))</f>
        <v/>
      </c>
      <c r="E2516" s="12" t="str">
        <f aca="false">IF(C2516="","",IFERROR(INDEX('Ingredient Catalog'!$C:$C,MATCH(C2516,'Ingredient Catalog'!$A:$A,0)),"⚠ not in catalog"))</f>
        <v/>
      </c>
      <c r="G2516" s="12" t="str">
        <f aca="false">IF(A2516="","",COUNTIFS('Weekly Log'!$A:$A,'Grocery List'!$B$3,'Weekly Log'!$C:$C,A2516,'Weekly Log'!$E:$E,"Yes"))</f>
        <v/>
      </c>
      <c r="H2516" s="12" t="str">
        <f aca="false">IF(OR(A2516="",D2516=""),"",D2516*G2516)</f>
        <v/>
      </c>
    </row>
    <row r="2517" customFormat="false" ht="15" hidden="false" customHeight="false" outlineLevel="0" collapsed="false">
      <c r="B2517" s="12" t="str">
        <f aca="false">IF(A2517="","",IFERROR(INDEX(Recipes!$B:$B,MATCH(A2517,Recipes!$A:$A,0)),"⚠ unknown recipe_id"))</f>
        <v/>
      </c>
      <c r="E2517" s="12" t="str">
        <f aca="false">IF(C2517="","",IFERROR(INDEX('Ingredient Catalog'!$C:$C,MATCH(C2517,'Ingredient Catalog'!$A:$A,0)),"⚠ not in catalog"))</f>
        <v/>
      </c>
      <c r="G2517" s="12" t="str">
        <f aca="false">IF(A2517="","",COUNTIFS('Weekly Log'!$A:$A,'Grocery List'!$B$3,'Weekly Log'!$C:$C,A2517,'Weekly Log'!$E:$E,"Yes"))</f>
        <v/>
      </c>
      <c r="H2517" s="12" t="str">
        <f aca="false">IF(OR(A2517="",D2517=""),"",D2517*G2517)</f>
        <v/>
      </c>
    </row>
    <row r="2518" customFormat="false" ht="15" hidden="false" customHeight="false" outlineLevel="0" collapsed="false">
      <c r="B2518" s="12" t="str">
        <f aca="false">IF(A2518="","",IFERROR(INDEX(Recipes!$B:$B,MATCH(A2518,Recipes!$A:$A,0)),"⚠ unknown recipe_id"))</f>
        <v/>
      </c>
      <c r="E2518" s="12" t="str">
        <f aca="false">IF(C2518="","",IFERROR(INDEX('Ingredient Catalog'!$C:$C,MATCH(C2518,'Ingredient Catalog'!$A:$A,0)),"⚠ not in catalog"))</f>
        <v/>
      </c>
      <c r="G2518" s="12" t="str">
        <f aca="false">IF(A2518="","",COUNTIFS('Weekly Log'!$A:$A,'Grocery List'!$B$3,'Weekly Log'!$C:$C,A2518,'Weekly Log'!$E:$E,"Yes"))</f>
        <v/>
      </c>
      <c r="H2518" s="12" t="str">
        <f aca="false">IF(OR(A2518="",D2518=""),"",D2518*G2518)</f>
        <v/>
      </c>
    </row>
    <row r="2519" customFormat="false" ht="15" hidden="false" customHeight="false" outlineLevel="0" collapsed="false">
      <c r="B2519" s="12" t="str">
        <f aca="false">IF(A2519="","",IFERROR(INDEX(Recipes!$B:$B,MATCH(A2519,Recipes!$A:$A,0)),"⚠ unknown recipe_id"))</f>
        <v/>
      </c>
      <c r="E2519" s="12" t="str">
        <f aca="false">IF(C2519="","",IFERROR(INDEX('Ingredient Catalog'!$C:$C,MATCH(C2519,'Ingredient Catalog'!$A:$A,0)),"⚠ not in catalog"))</f>
        <v/>
      </c>
      <c r="G2519" s="12" t="str">
        <f aca="false">IF(A2519="","",COUNTIFS('Weekly Log'!$A:$A,'Grocery List'!$B$3,'Weekly Log'!$C:$C,A2519,'Weekly Log'!$E:$E,"Yes"))</f>
        <v/>
      </c>
      <c r="H2519" s="12" t="str">
        <f aca="false">IF(OR(A2519="",D2519=""),"",D2519*G2519)</f>
        <v/>
      </c>
    </row>
    <row r="2520" customFormat="false" ht="15" hidden="false" customHeight="false" outlineLevel="0" collapsed="false">
      <c r="B2520" s="12" t="str">
        <f aca="false">IF(A2520="","",IFERROR(INDEX(Recipes!$B:$B,MATCH(A2520,Recipes!$A:$A,0)),"⚠ unknown recipe_id"))</f>
        <v/>
      </c>
      <c r="E2520" s="12" t="str">
        <f aca="false">IF(C2520="","",IFERROR(INDEX('Ingredient Catalog'!$C:$C,MATCH(C2520,'Ingredient Catalog'!$A:$A,0)),"⚠ not in catalog"))</f>
        <v/>
      </c>
      <c r="G2520" s="12" t="str">
        <f aca="false">IF(A2520="","",COUNTIFS('Weekly Log'!$A:$A,'Grocery List'!$B$3,'Weekly Log'!$C:$C,A2520,'Weekly Log'!$E:$E,"Yes"))</f>
        <v/>
      </c>
      <c r="H2520" s="12" t="str">
        <f aca="false">IF(OR(A2520="",D2520=""),"",D2520*G2520)</f>
        <v/>
      </c>
    </row>
    <row r="2521" customFormat="false" ht="15" hidden="false" customHeight="false" outlineLevel="0" collapsed="false">
      <c r="B2521" s="12" t="str">
        <f aca="false">IF(A2521="","",IFERROR(INDEX(Recipes!$B:$B,MATCH(A2521,Recipes!$A:$A,0)),"⚠ unknown recipe_id"))</f>
        <v/>
      </c>
      <c r="E2521" s="12" t="str">
        <f aca="false">IF(C2521="","",IFERROR(INDEX('Ingredient Catalog'!$C:$C,MATCH(C2521,'Ingredient Catalog'!$A:$A,0)),"⚠ not in catalog"))</f>
        <v/>
      </c>
      <c r="G2521" s="12" t="str">
        <f aca="false">IF(A2521="","",COUNTIFS('Weekly Log'!$A:$A,'Grocery List'!$B$3,'Weekly Log'!$C:$C,A2521,'Weekly Log'!$E:$E,"Yes"))</f>
        <v/>
      </c>
      <c r="H2521" s="12" t="str">
        <f aca="false">IF(OR(A2521="",D2521=""),"",D2521*G2521)</f>
        <v/>
      </c>
    </row>
    <row r="2522" customFormat="false" ht="15" hidden="false" customHeight="false" outlineLevel="0" collapsed="false">
      <c r="B2522" s="12" t="str">
        <f aca="false">IF(A2522="","",IFERROR(INDEX(Recipes!$B:$B,MATCH(A2522,Recipes!$A:$A,0)),"⚠ unknown recipe_id"))</f>
        <v/>
      </c>
      <c r="E2522" s="12" t="str">
        <f aca="false">IF(C2522="","",IFERROR(INDEX('Ingredient Catalog'!$C:$C,MATCH(C2522,'Ingredient Catalog'!$A:$A,0)),"⚠ not in catalog"))</f>
        <v/>
      </c>
      <c r="G2522" s="12" t="str">
        <f aca="false">IF(A2522="","",COUNTIFS('Weekly Log'!$A:$A,'Grocery List'!$B$3,'Weekly Log'!$C:$C,A2522,'Weekly Log'!$E:$E,"Yes"))</f>
        <v/>
      </c>
      <c r="H2522" s="12" t="str">
        <f aca="false">IF(OR(A2522="",D2522=""),"",D2522*G2522)</f>
        <v/>
      </c>
    </row>
    <row r="2523" customFormat="false" ht="15" hidden="false" customHeight="false" outlineLevel="0" collapsed="false">
      <c r="B2523" s="12" t="str">
        <f aca="false">IF(A2523="","",IFERROR(INDEX(Recipes!$B:$B,MATCH(A2523,Recipes!$A:$A,0)),"⚠ unknown recipe_id"))</f>
        <v/>
      </c>
      <c r="E2523" s="12" t="str">
        <f aca="false">IF(C2523="","",IFERROR(INDEX('Ingredient Catalog'!$C:$C,MATCH(C2523,'Ingredient Catalog'!$A:$A,0)),"⚠ not in catalog"))</f>
        <v/>
      </c>
      <c r="G2523" s="12" t="str">
        <f aca="false">IF(A2523="","",COUNTIFS('Weekly Log'!$A:$A,'Grocery List'!$B$3,'Weekly Log'!$C:$C,A2523,'Weekly Log'!$E:$E,"Yes"))</f>
        <v/>
      </c>
      <c r="H2523" s="12" t="str">
        <f aca="false">IF(OR(A2523="",D2523=""),"",D2523*G2523)</f>
        <v/>
      </c>
    </row>
    <row r="2524" customFormat="false" ht="15" hidden="false" customHeight="false" outlineLevel="0" collapsed="false">
      <c r="B2524" s="12" t="str">
        <f aca="false">IF(A2524="","",IFERROR(INDEX(Recipes!$B:$B,MATCH(A2524,Recipes!$A:$A,0)),"⚠ unknown recipe_id"))</f>
        <v/>
      </c>
      <c r="E2524" s="12" t="str">
        <f aca="false">IF(C2524="","",IFERROR(INDEX('Ingredient Catalog'!$C:$C,MATCH(C2524,'Ingredient Catalog'!$A:$A,0)),"⚠ not in catalog"))</f>
        <v/>
      </c>
      <c r="G2524" s="12" t="str">
        <f aca="false">IF(A2524="","",COUNTIFS('Weekly Log'!$A:$A,'Grocery List'!$B$3,'Weekly Log'!$C:$C,A2524,'Weekly Log'!$E:$E,"Yes"))</f>
        <v/>
      </c>
      <c r="H2524" s="12" t="str">
        <f aca="false">IF(OR(A2524="",D2524=""),"",D2524*G2524)</f>
        <v/>
      </c>
    </row>
    <row r="2525" customFormat="false" ht="15" hidden="false" customHeight="false" outlineLevel="0" collapsed="false">
      <c r="B2525" s="12" t="str">
        <f aca="false">IF(A2525="","",IFERROR(INDEX(Recipes!$B:$B,MATCH(A2525,Recipes!$A:$A,0)),"⚠ unknown recipe_id"))</f>
        <v/>
      </c>
      <c r="E2525" s="12" t="str">
        <f aca="false">IF(C2525="","",IFERROR(INDEX('Ingredient Catalog'!$C:$C,MATCH(C2525,'Ingredient Catalog'!$A:$A,0)),"⚠ not in catalog"))</f>
        <v/>
      </c>
      <c r="G2525" s="12" t="str">
        <f aca="false">IF(A2525="","",COUNTIFS('Weekly Log'!$A:$A,'Grocery List'!$B$3,'Weekly Log'!$C:$C,A2525,'Weekly Log'!$E:$E,"Yes"))</f>
        <v/>
      </c>
      <c r="H2525" s="12" t="str">
        <f aca="false">IF(OR(A2525="",D2525=""),"",D2525*G2525)</f>
        <v/>
      </c>
    </row>
    <row r="2526" customFormat="false" ht="15" hidden="false" customHeight="false" outlineLevel="0" collapsed="false">
      <c r="B2526" s="12" t="str">
        <f aca="false">IF(A2526="","",IFERROR(INDEX(Recipes!$B:$B,MATCH(A2526,Recipes!$A:$A,0)),"⚠ unknown recipe_id"))</f>
        <v/>
      </c>
      <c r="E2526" s="12" t="str">
        <f aca="false">IF(C2526="","",IFERROR(INDEX('Ingredient Catalog'!$C:$C,MATCH(C2526,'Ingredient Catalog'!$A:$A,0)),"⚠ not in catalog"))</f>
        <v/>
      </c>
      <c r="G2526" s="12" t="str">
        <f aca="false">IF(A2526="","",COUNTIFS('Weekly Log'!$A:$A,'Grocery List'!$B$3,'Weekly Log'!$C:$C,A2526,'Weekly Log'!$E:$E,"Yes"))</f>
        <v/>
      </c>
      <c r="H2526" s="12" t="str">
        <f aca="false">IF(OR(A2526="",D2526=""),"",D2526*G2526)</f>
        <v/>
      </c>
    </row>
    <row r="2527" customFormat="false" ht="15" hidden="false" customHeight="false" outlineLevel="0" collapsed="false">
      <c r="B2527" s="12" t="str">
        <f aca="false">IF(A2527="","",IFERROR(INDEX(Recipes!$B:$B,MATCH(A2527,Recipes!$A:$A,0)),"⚠ unknown recipe_id"))</f>
        <v/>
      </c>
      <c r="E2527" s="12" t="str">
        <f aca="false">IF(C2527="","",IFERROR(INDEX('Ingredient Catalog'!$C:$C,MATCH(C2527,'Ingredient Catalog'!$A:$A,0)),"⚠ not in catalog"))</f>
        <v/>
      </c>
      <c r="G2527" s="12" t="str">
        <f aca="false">IF(A2527="","",COUNTIFS('Weekly Log'!$A:$A,'Grocery List'!$B$3,'Weekly Log'!$C:$C,A2527,'Weekly Log'!$E:$E,"Yes"))</f>
        <v/>
      </c>
      <c r="H2527" s="12" t="str">
        <f aca="false">IF(OR(A2527="",D2527=""),"",D2527*G2527)</f>
        <v/>
      </c>
    </row>
    <row r="2528" customFormat="false" ht="15" hidden="false" customHeight="false" outlineLevel="0" collapsed="false">
      <c r="B2528" s="12" t="str">
        <f aca="false">IF(A2528="","",IFERROR(INDEX(Recipes!$B:$B,MATCH(A2528,Recipes!$A:$A,0)),"⚠ unknown recipe_id"))</f>
        <v/>
      </c>
      <c r="E2528" s="12" t="str">
        <f aca="false">IF(C2528="","",IFERROR(INDEX('Ingredient Catalog'!$C:$C,MATCH(C2528,'Ingredient Catalog'!$A:$A,0)),"⚠ not in catalog"))</f>
        <v/>
      </c>
      <c r="G2528" s="12" t="str">
        <f aca="false">IF(A2528="","",COUNTIFS('Weekly Log'!$A:$A,'Grocery List'!$B$3,'Weekly Log'!$C:$C,A2528,'Weekly Log'!$E:$E,"Yes"))</f>
        <v/>
      </c>
      <c r="H2528" s="12" t="str">
        <f aca="false">IF(OR(A2528="",D2528=""),"",D2528*G2528)</f>
        <v/>
      </c>
    </row>
    <row r="2529" customFormat="false" ht="15" hidden="false" customHeight="false" outlineLevel="0" collapsed="false">
      <c r="B2529" s="12" t="str">
        <f aca="false">IF(A2529="","",IFERROR(INDEX(Recipes!$B:$B,MATCH(A2529,Recipes!$A:$A,0)),"⚠ unknown recipe_id"))</f>
        <v/>
      </c>
      <c r="E2529" s="12" t="str">
        <f aca="false">IF(C2529="","",IFERROR(INDEX('Ingredient Catalog'!$C:$C,MATCH(C2529,'Ingredient Catalog'!$A:$A,0)),"⚠ not in catalog"))</f>
        <v/>
      </c>
      <c r="G2529" s="12" t="str">
        <f aca="false">IF(A2529="","",COUNTIFS('Weekly Log'!$A:$A,'Grocery List'!$B$3,'Weekly Log'!$C:$C,A2529,'Weekly Log'!$E:$E,"Yes"))</f>
        <v/>
      </c>
      <c r="H2529" s="12" t="str">
        <f aca="false">IF(OR(A2529="",D2529=""),"",D2529*G2529)</f>
        <v/>
      </c>
    </row>
    <row r="2530" customFormat="false" ht="15" hidden="false" customHeight="false" outlineLevel="0" collapsed="false">
      <c r="B2530" s="12" t="str">
        <f aca="false">IF(A2530="","",IFERROR(INDEX(Recipes!$B:$B,MATCH(A2530,Recipes!$A:$A,0)),"⚠ unknown recipe_id"))</f>
        <v/>
      </c>
      <c r="E2530" s="12" t="str">
        <f aca="false">IF(C2530="","",IFERROR(INDEX('Ingredient Catalog'!$C:$C,MATCH(C2530,'Ingredient Catalog'!$A:$A,0)),"⚠ not in catalog"))</f>
        <v/>
      </c>
      <c r="G2530" s="12" t="str">
        <f aca="false">IF(A2530="","",COUNTIFS('Weekly Log'!$A:$A,'Grocery List'!$B$3,'Weekly Log'!$C:$C,A2530,'Weekly Log'!$E:$E,"Yes"))</f>
        <v/>
      </c>
      <c r="H2530" s="12" t="str">
        <f aca="false">IF(OR(A2530="",D2530=""),"",D2530*G2530)</f>
        <v/>
      </c>
    </row>
    <row r="2531" customFormat="false" ht="15" hidden="false" customHeight="false" outlineLevel="0" collapsed="false">
      <c r="B2531" s="12" t="str">
        <f aca="false">IF(A2531="","",IFERROR(INDEX(Recipes!$B:$B,MATCH(A2531,Recipes!$A:$A,0)),"⚠ unknown recipe_id"))</f>
        <v/>
      </c>
      <c r="E2531" s="12" t="str">
        <f aca="false">IF(C2531="","",IFERROR(INDEX('Ingredient Catalog'!$C:$C,MATCH(C2531,'Ingredient Catalog'!$A:$A,0)),"⚠ not in catalog"))</f>
        <v/>
      </c>
      <c r="G2531" s="12" t="str">
        <f aca="false">IF(A2531="","",COUNTIFS('Weekly Log'!$A:$A,'Grocery List'!$B$3,'Weekly Log'!$C:$C,A2531,'Weekly Log'!$E:$E,"Yes"))</f>
        <v/>
      </c>
      <c r="H2531" s="12" t="str">
        <f aca="false">IF(OR(A2531="",D2531=""),"",D2531*G2531)</f>
        <v/>
      </c>
    </row>
    <row r="2532" customFormat="false" ht="15" hidden="false" customHeight="false" outlineLevel="0" collapsed="false">
      <c r="B2532" s="12" t="str">
        <f aca="false">IF(A2532="","",IFERROR(INDEX(Recipes!$B:$B,MATCH(A2532,Recipes!$A:$A,0)),"⚠ unknown recipe_id"))</f>
        <v/>
      </c>
      <c r="E2532" s="12" t="str">
        <f aca="false">IF(C2532="","",IFERROR(INDEX('Ingredient Catalog'!$C:$C,MATCH(C2532,'Ingredient Catalog'!$A:$A,0)),"⚠ not in catalog"))</f>
        <v/>
      </c>
      <c r="G2532" s="12" t="str">
        <f aca="false">IF(A2532="","",COUNTIFS('Weekly Log'!$A:$A,'Grocery List'!$B$3,'Weekly Log'!$C:$C,A2532,'Weekly Log'!$E:$E,"Yes"))</f>
        <v/>
      </c>
      <c r="H2532" s="12" t="str">
        <f aca="false">IF(OR(A2532="",D2532=""),"",D2532*G2532)</f>
        <v/>
      </c>
    </row>
    <row r="2533" customFormat="false" ht="15" hidden="false" customHeight="false" outlineLevel="0" collapsed="false">
      <c r="B2533" s="12" t="str">
        <f aca="false">IF(A2533="","",IFERROR(INDEX(Recipes!$B:$B,MATCH(A2533,Recipes!$A:$A,0)),"⚠ unknown recipe_id"))</f>
        <v/>
      </c>
      <c r="E2533" s="12" t="str">
        <f aca="false">IF(C2533="","",IFERROR(INDEX('Ingredient Catalog'!$C:$C,MATCH(C2533,'Ingredient Catalog'!$A:$A,0)),"⚠ not in catalog"))</f>
        <v/>
      </c>
      <c r="G2533" s="12" t="str">
        <f aca="false">IF(A2533="","",COUNTIFS('Weekly Log'!$A:$A,'Grocery List'!$B$3,'Weekly Log'!$C:$C,A2533,'Weekly Log'!$E:$E,"Yes"))</f>
        <v/>
      </c>
      <c r="H2533" s="12" t="str">
        <f aca="false">IF(OR(A2533="",D2533=""),"",D2533*G2533)</f>
        <v/>
      </c>
    </row>
    <row r="2534" customFormat="false" ht="15" hidden="false" customHeight="false" outlineLevel="0" collapsed="false">
      <c r="B2534" s="12" t="str">
        <f aca="false">IF(A2534="","",IFERROR(INDEX(Recipes!$B:$B,MATCH(A2534,Recipes!$A:$A,0)),"⚠ unknown recipe_id"))</f>
        <v/>
      </c>
      <c r="E2534" s="12" t="str">
        <f aca="false">IF(C2534="","",IFERROR(INDEX('Ingredient Catalog'!$C:$C,MATCH(C2534,'Ingredient Catalog'!$A:$A,0)),"⚠ not in catalog"))</f>
        <v/>
      </c>
      <c r="G2534" s="12" t="str">
        <f aca="false">IF(A2534="","",COUNTIFS('Weekly Log'!$A:$A,'Grocery List'!$B$3,'Weekly Log'!$C:$C,A2534,'Weekly Log'!$E:$E,"Yes"))</f>
        <v/>
      </c>
      <c r="H2534" s="12" t="str">
        <f aca="false">IF(OR(A2534="",D2534=""),"",D2534*G2534)</f>
        <v/>
      </c>
    </row>
    <row r="2535" customFormat="false" ht="15" hidden="false" customHeight="false" outlineLevel="0" collapsed="false">
      <c r="B2535" s="12" t="str">
        <f aca="false">IF(A2535="","",IFERROR(INDEX(Recipes!$B:$B,MATCH(A2535,Recipes!$A:$A,0)),"⚠ unknown recipe_id"))</f>
        <v/>
      </c>
      <c r="E2535" s="12" t="str">
        <f aca="false">IF(C2535="","",IFERROR(INDEX('Ingredient Catalog'!$C:$C,MATCH(C2535,'Ingredient Catalog'!$A:$A,0)),"⚠ not in catalog"))</f>
        <v/>
      </c>
      <c r="G2535" s="12" t="str">
        <f aca="false">IF(A2535="","",COUNTIFS('Weekly Log'!$A:$A,'Grocery List'!$B$3,'Weekly Log'!$C:$C,A2535,'Weekly Log'!$E:$E,"Yes"))</f>
        <v/>
      </c>
      <c r="H2535" s="12" t="str">
        <f aca="false">IF(OR(A2535="",D2535=""),"",D2535*G2535)</f>
        <v/>
      </c>
    </row>
    <row r="2536" customFormat="false" ht="15" hidden="false" customHeight="false" outlineLevel="0" collapsed="false">
      <c r="B2536" s="12" t="str">
        <f aca="false">IF(A2536="","",IFERROR(INDEX(Recipes!$B:$B,MATCH(A2536,Recipes!$A:$A,0)),"⚠ unknown recipe_id"))</f>
        <v/>
      </c>
      <c r="E2536" s="12" t="str">
        <f aca="false">IF(C2536="","",IFERROR(INDEX('Ingredient Catalog'!$C:$C,MATCH(C2536,'Ingredient Catalog'!$A:$A,0)),"⚠ not in catalog"))</f>
        <v/>
      </c>
      <c r="G2536" s="12" t="str">
        <f aca="false">IF(A2536="","",COUNTIFS('Weekly Log'!$A:$A,'Grocery List'!$B$3,'Weekly Log'!$C:$C,A2536,'Weekly Log'!$E:$E,"Yes"))</f>
        <v/>
      </c>
      <c r="H2536" s="12" t="str">
        <f aca="false">IF(OR(A2536="",D2536=""),"",D2536*G2536)</f>
        <v/>
      </c>
    </row>
    <row r="2537" customFormat="false" ht="15" hidden="false" customHeight="false" outlineLevel="0" collapsed="false">
      <c r="B2537" s="12" t="str">
        <f aca="false">IF(A2537="","",IFERROR(INDEX(Recipes!$B:$B,MATCH(A2537,Recipes!$A:$A,0)),"⚠ unknown recipe_id"))</f>
        <v/>
      </c>
      <c r="E2537" s="12" t="str">
        <f aca="false">IF(C2537="","",IFERROR(INDEX('Ingredient Catalog'!$C:$C,MATCH(C2537,'Ingredient Catalog'!$A:$A,0)),"⚠ not in catalog"))</f>
        <v/>
      </c>
      <c r="G2537" s="12" t="str">
        <f aca="false">IF(A2537="","",COUNTIFS('Weekly Log'!$A:$A,'Grocery List'!$B$3,'Weekly Log'!$C:$C,A2537,'Weekly Log'!$E:$E,"Yes"))</f>
        <v/>
      </c>
      <c r="H2537" s="12" t="str">
        <f aca="false">IF(OR(A2537="",D2537=""),"",D2537*G2537)</f>
        <v/>
      </c>
    </row>
    <row r="2538" customFormat="false" ht="15" hidden="false" customHeight="false" outlineLevel="0" collapsed="false">
      <c r="B2538" s="12" t="str">
        <f aca="false">IF(A2538="","",IFERROR(INDEX(Recipes!$B:$B,MATCH(A2538,Recipes!$A:$A,0)),"⚠ unknown recipe_id"))</f>
        <v/>
      </c>
      <c r="E2538" s="12" t="str">
        <f aca="false">IF(C2538="","",IFERROR(INDEX('Ingredient Catalog'!$C:$C,MATCH(C2538,'Ingredient Catalog'!$A:$A,0)),"⚠ not in catalog"))</f>
        <v/>
      </c>
      <c r="G2538" s="12" t="str">
        <f aca="false">IF(A2538="","",COUNTIFS('Weekly Log'!$A:$A,'Grocery List'!$B$3,'Weekly Log'!$C:$C,A2538,'Weekly Log'!$E:$E,"Yes"))</f>
        <v/>
      </c>
      <c r="H2538" s="12" t="str">
        <f aca="false">IF(OR(A2538="",D2538=""),"",D2538*G2538)</f>
        <v/>
      </c>
    </row>
    <row r="2539" customFormat="false" ht="15" hidden="false" customHeight="false" outlineLevel="0" collapsed="false">
      <c r="B2539" s="12" t="str">
        <f aca="false">IF(A2539="","",IFERROR(INDEX(Recipes!$B:$B,MATCH(A2539,Recipes!$A:$A,0)),"⚠ unknown recipe_id"))</f>
        <v/>
      </c>
      <c r="E2539" s="12" t="str">
        <f aca="false">IF(C2539="","",IFERROR(INDEX('Ingredient Catalog'!$C:$C,MATCH(C2539,'Ingredient Catalog'!$A:$A,0)),"⚠ not in catalog"))</f>
        <v/>
      </c>
      <c r="G2539" s="12" t="str">
        <f aca="false">IF(A2539="","",COUNTIFS('Weekly Log'!$A:$A,'Grocery List'!$B$3,'Weekly Log'!$C:$C,A2539,'Weekly Log'!$E:$E,"Yes"))</f>
        <v/>
      </c>
      <c r="H2539" s="12" t="str">
        <f aca="false">IF(OR(A2539="",D2539=""),"",D2539*G2539)</f>
        <v/>
      </c>
    </row>
    <row r="2540" customFormat="false" ht="15" hidden="false" customHeight="false" outlineLevel="0" collapsed="false">
      <c r="B2540" s="12" t="str">
        <f aca="false">IF(A2540="","",IFERROR(INDEX(Recipes!$B:$B,MATCH(A2540,Recipes!$A:$A,0)),"⚠ unknown recipe_id"))</f>
        <v/>
      </c>
      <c r="E2540" s="12" t="str">
        <f aca="false">IF(C2540="","",IFERROR(INDEX('Ingredient Catalog'!$C:$C,MATCH(C2540,'Ingredient Catalog'!$A:$A,0)),"⚠ not in catalog"))</f>
        <v/>
      </c>
      <c r="G2540" s="12" t="str">
        <f aca="false">IF(A2540="","",COUNTIFS('Weekly Log'!$A:$A,'Grocery List'!$B$3,'Weekly Log'!$C:$C,A2540,'Weekly Log'!$E:$E,"Yes"))</f>
        <v/>
      </c>
      <c r="H2540" s="12" t="str">
        <f aca="false">IF(OR(A2540="",D2540=""),"",D2540*G2540)</f>
        <v/>
      </c>
    </row>
    <row r="2541" customFormat="false" ht="15" hidden="false" customHeight="false" outlineLevel="0" collapsed="false">
      <c r="B2541" s="12" t="str">
        <f aca="false">IF(A2541="","",IFERROR(INDEX(Recipes!$B:$B,MATCH(A2541,Recipes!$A:$A,0)),"⚠ unknown recipe_id"))</f>
        <v/>
      </c>
      <c r="E2541" s="12" t="str">
        <f aca="false">IF(C2541="","",IFERROR(INDEX('Ingredient Catalog'!$C:$C,MATCH(C2541,'Ingredient Catalog'!$A:$A,0)),"⚠ not in catalog"))</f>
        <v/>
      </c>
      <c r="G2541" s="12" t="str">
        <f aca="false">IF(A2541="","",COUNTIFS('Weekly Log'!$A:$A,'Grocery List'!$B$3,'Weekly Log'!$C:$C,A2541,'Weekly Log'!$E:$E,"Yes"))</f>
        <v/>
      </c>
      <c r="H2541" s="12" t="str">
        <f aca="false">IF(OR(A2541="",D2541=""),"",D2541*G2541)</f>
        <v/>
      </c>
    </row>
    <row r="2542" customFormat="false" ht="15" hidden="false" customHeight="false" outlineLevel="0" collapsed="false">
      <c r="B2542" s="12" t="str">
        <f aca="false">IF(A2542="","",IFERROR(INDEX(Recipes!$B:$B,MATCH(A2542,Recipes!$A:$A,0)),"⚠ unknown recipe_id"))</f>
        <v/>
      </c>
      <c r="E2542" s="12" t="str">
        <f aca="false">IF(C2542="","",IFERROR(INDEX('Ingredient Catalog'!$C:$C,MATCH(C2542,'Ingredient Catalog'!$A:$A,0)),"⚠ not in catalog"))</f>
        <v/>
      </c>
      <c r="G2542" s="12" t="str">
        <f aca="false">IF(A2542="","",COUNTIFS('Weekly Log'!$A:$A,'Grocery List'!$B$3,'Weekly Log'!$C:$C,A2542,'Weekly Log'!$E:$E,"Yes"))</f>
        <v/>
      </c>
      <c r="H2542" s="12" t="str">
        <f aca="false">IF(OR(A2542="",D2542=""),"",D2542*G2542)</f>
        <v/>
      </c>
    </row>
    <row r="2543" customFormat="false" ht="15" hidden="false" customHeight="false" outlineLevel="0" collapsed="false">
      <c r="B2543" s="12" t="str">
        <f aca="false">IF(A2543="","",IFERROR(INDEX(Recipes!$B:$B,MATCH(A2543,Recipes!$A:$A,0)),"⚠ unknown recipe_id"))</f>
        <v/>
      </c>
      <c r="E2543" s="12" t="str">
        <f aca="false">IF(C2543="","",IFERROR(INDEX('Ingredient Catalog'!$C:$C,MATCH(C2543,'Ingredient Catalog'!$A:$A,0)),"⚠ not in catalog"))</f>
        <v/>
      </c>
      <c r="G2543" s="12" t="str">
        <f aca="false">IF(A2543="","",COUNTIFS('Weekly Log'!$A:$A,'Grocery List'!$B$3,'Weekly Log'!$C:$C,A2543,'Weekly Log'!$E:$E,"Yes"))</f>
        <v/>
      </c>
      <c r="H2543" s="12" t="str">
        <f aca="false">IF(OR(A2543="",D2543=""),"",D2543*G2543)</f>
        <v/>
      </c>
    </row>
    <row r="2544" customFormat="false" ht="15" hidden="false" customHeight="false" outlineLevel="0" collapsed="false">
      <c r="B2544" s="12" t="str">
        <f aca="false">IF(A2544="","",IFERROR(INDEX(Recipes!$B:$B,MATCH(A2544,Recipes!$A:$A,0)),"⚠ unknown recipe_id"))</f>
        <v/>
      </c>
      <c r="E2544" s="12" t="str">
        <f aca="false">IF(C2544="","",IFERROR(INDEX('Ingredient Catalog'!$C:$C,MATCH(C2544,'Ingredient Catalog'!$A:$A,0)),"⚠ not in catalog"))</f>
        <v/>
      </c>
      <c r="G2544" s="12" t="str">
        <f aca="false">IF(A2544="","",COUNTIFS('Weekly Log'!$A:$A,'Grocery List'!$B$3,'Weekly Log'!$C:$C,A2544,'Weekly Log'!$E:$E,"Yes"))</f>
        <v/>
      </c>
      <c r="H2544" s="12" t="str">
        <f aca="false">IF(OR(A2544="",D2544=""),"",D2544*G2544)</f>
        <v/>
      </c>
    </row>
    <row r="2545" customFormat="false" ht="15" hidden="false" customHeight="false" outlineLevel="0" collapsed="false">
      <c r="B2545" s="12" t="str">
        <f aca="false">IF(A2545="","",IFERROR(INDEX(Recipes!$B:$B,MATCH(A2545,Recipes!$A:$A,0)),"⚠ unknown recipe_id"))</f>
        <v/>
      </c>
      <c r="E2545" s="12" t="str">
        <f aca="false">IF(C2545="","",IFERROR(INDEX('Ingredient Catalog'!$C:$C,MATCH(C2545,'Ingredient Catalog'!$A:$A,0)),"⚠ not in catalog"))</f>
        <v/>
      </c>
      <c r="G2545" s="12" t="str">
        <f aca="false">IF(A2545="","",COUNTIFS('Weekly Log'!$A:$A,'Grocery List'!$B$3,'Weekly Log'!$C:$C,A2545,'Weekly Log'!$E:$E,"Yes"))</f>
        <v/>
      </c>
      <c r="H2545" s="12" t="str">
        <f aca="false">IF(OR(A2545="",D2545=""),"",D2545*G2545)</f>
        <v/>
      </c>
    </row>
    <row r="2546" customFormat="false" ht="15" hidden="false" customHeight="false" outlineLevel="0" collapsed="false">
      <c r="B2546" s="12" t="str">
        <f aca="false">IF(A2546="","",IFERROR(INDEX(Recipes!$B:$B,MATCH(A2546,Recipes!$A:$A,0)),"⚠ unknown recipe_id"))</f>
        <v/>
      </c>
      <c r="E2546" s="12" t="str">
        <f aca="false">IF(C2546="","",IFERROR(INDEX('Ingredient Catalog'!$C:$C,MATCH(C2546,'Ingredient Catalog'!$A:$A,0)),"⚠ not in catalog"))</f>
        <v/>
      </c>
      <c r="G2546" s="12" t="str">
        <f aca="false">IF(A2546="","",COUNTIFS('Weekly Log'!$A:$A,'Grocery List'!$B$3,'Weekly Log'!$C:$C,A2546,'Weekly Log'!$E:$E,"Yes"))</f>
        <v/>
      </c>
      <c r="H2546" s="12" t="str">
        <f aca="false">IF(OR(A2546="",D2546=""),"",D2546*G2546)</f>
        <v/>
      </c>
    </row>
    <row r="2547" customFormat="false" ht="15" hidden="false" customHeight="false" outlineLevel="0" collapsed="false">
      <c r="B2547" s="12" t="str">
        <f aca="false">IF(A2547="","",IFERROR(INDEX(Recipes!$B:$B,MATCH(A2547,Recipes!$A:$A,0)),"⚠ unknown recipe_id"))</f>
        <v/>
      </c>
      <c r="E2547" s="12" t="str">
        <f aca="false">IF(C2547="","",IFERROR(INDEX('Ingredient Catalog'!$C:$C,MATCH(C2547,'Ingredient Catalog'!$A:$A,0)),"⚠ not in catalog"))</f>
        <v/>
      </c>
      <c r="G2547" s="12" t="str">
        <f aca="false">IF(A2547="","",COUNTIFS('Weekly Log'!$A:$A,'Grocery List'!$B$3,'Weekly Log'!$C:$C,A2547,'Weekly Log'!$E:$E,"Yes"))</f>
        <v/>
      </c>
      <c r="H2547" s="12" t="str">
        <f aca="false">IF(OR(A2547="",D2547=""),"",D2547*G2547)</f>
        <v/>
      </c>
    </row>
    <row r="2548" customFormat="false" ht="15" hidden="false" customHeight="false" outlineLevel="0" collapsed="false">
      <c r="B2548" s="12" t="str">
        <f aca="false">IF(A2548="","",IFERROR(INDEX(Recipes!$B:$B,MATCH(A2548,Recipes!$A:$A,0)),"⚠ unknown recipe_id"))</f>
        <v/>
      </c>
      <c r="E2548" s="12" t="str">
        <f aca="false">IF(C2548="","",IFERROR(INDEX('Ingredient Catalog'!$C:$C,MATCH(C2548,'Ingredient Catalog'!$A:$A,0)),"⚠ not in catalog"))</f>
        <v/>
      </c>
      <c r="G2548" s="12" t="str">
        <f aca="false">IF(A2548="","",COUNTIFS('Weekly Log'!$A:$A,'Grocery List'!$B$3,'Weekly Log'!$C:$C,A2548,'Weekly Log'!$E:$E,"Yes"))</f>
        <v/>
      </c>
      <c r="H2548" s="12" t="str">
        <f aca="false">IF(OR(A2548="",D2548=""),"",D2548*G2548)</f>
        <v/>
      </c>
    </row>
    <row r="2549" customFormat="false" ht="15" hidden="false" customHeight="false" outlineLevel="0" collapsed="false">
      <c r="B2549" s="12" t="str">
        <f aca="false">IF(A2549="","",IFERROR(INDEX(Recipes!$B:$B,MATCH(A2549,Recipes!$A:$A,0)),"⚠ unknown recipe_id"))</f>
        <v/>
      </c>
      <c r="E2549" s="12" t="str">
        <f aca="false">IF(C2549="","",IFERROR(INDEX('Ingredient Catalog'!$C:$C,MATCH(C2549,'Ingredient Catalog'!$A:$A,0)),"⚠ not in catalog"))</f>
        <v/>
      </c>
      <c r="G2549" s="12" t="str">
        <f aca="false">IF(A2549="","",COUNTIFS('Weekly Log'!$A:$A,'Grocery List'!$B$3,'Weekly Log'!$C:$C,A2549,'Weekly Log'!$E:$E,"Yes"))</f>
        <v/>
      </c>
      <c r="H2549" s="12" t="str">
        <f aca="false">IF(OR(A2549="",D2549=""),"",D2549*G2549)</f>
        <v/>
      </c>
    </row>
    <row r="2550" customFormat="false" ht="15" hidden="false" customHeight="false" outlineLevel="0" collapsed="false">
      <c r="B2550" s="12" t="str">
        <f aca="false">IF(A2550="","",IFERROR(INDEX(Recipes!$B:$B,MATCH(A2550,Recipes!$A:$A,0)),"⚠ unknown recipe_id"))</f>
        <v/>
      </c>
      <c r="E2550" s="12" t="str">
        <f aca="false">IF(C2550="","",IFERROR(INDEX('Ingredient Catalog'!$C:$C,MATCH(C2550,'Ingredient Catalog'!$A:$A,0)),"⚠ not in catalog"))</f>
        <v/>
      </c>
      <c r="G2550" s="12" t="str">
        <f aca="false">IF(A2550="","",COUNTIFS('Weekly Log'!$A:$A,'Grocery List'!$B$3,'Weekly Log'!$C:$C,A2550,'Weekly Log'!$E:$E,"Yes"))</f>
        <v/>
      </c>
      <c r="H2550" s="12" t="str">
        <f aca="false">IF(OR(A2550="",D2550=""),"",D2550*G2550)</f>
        <v/>
      </c>
    </row>
    <row r="2551" customFormat="false" ht="15" hidden="false" customHeight="false" outlineLevel="0" collapsed="false">
      <c r="B2551" s="12" t="str">
        <f aca="false">IF(A2551="","",IFERROR(INDEX(Recipes!$B:$B,MATCH(A2551,Recipes!$A:$A,0)),"⚠ unknown recipe_id"))</f>
        <v/>
      </c>
      <c r="E2551" s="12" t="str">
        <f aca="false">IF(C2551="","",IFERROR(INDEX('Ingredient Catalog'!$C:$C,MATCH(C2551,'Ingredient Catalog'!$A:$A,0)),"⚠ not in catalog"))</f>
        <v/>
      </c>
      <c r="G2551" s="12" t="str">
        <f aca="false">IF(A2551="","",COUNTIFS('Weekly Log'!$A:$A,'Grocery List'!$B$3,'Weekly Log'!$C:$C,A2551,'Weekly Log'!$E:$E,"Yes"))</f>
        <v/>
      </c>
      <c r="H2551" s="12" t="str">
        <f aca="false">IF(OR(A2551="",D2551=""),"",D2551*G2551)</f>
        <v/>
      </c>
    </row>
    <row r="2552" customFormat="false" ht="15" hidden="false" customHeight="false" outlineLevel="0" collapsed="false">
      <c r="B2552" s="12" t="str">
        <f aca="false">IF(A2552="","",IFERROR(INDEX(Recipes!$B:$B,MATCH(A2552,Recipes!$A:$A,0)),"⚠ unknown recipe_id"))</f>
        <v/>
      </c>
      <c r="E2552" s="12" t="str">
        <f aca="false">IF(C2552="","",IFERROR(INDEX('Ingredient Catalog'!$C:$C,MATCH(C2552,'Ingredient Catalog'!$A:$A,0)),"⚠ not in catalog"))</f>
        <v/>
      </c>
      <c r="G2552" s="12" t="str">
        <f aca="false">IF(A2552="","",COUNTIFS('Weekly Log'!$A:$A,'Grocery List'!$B$3,'Weekly Log'!$C:$C,A2552,'Weekly Log'!$E:$E,"Yes"))</f>
        <v/>
      </c>
      <c r="H2552" s="12" t="str">
        <f aca="false">IF(OR(A2552="",D2552=""),"",D2552*G2552)</f>
        <v/>
      </c>
    </row>
    <row r="2553" customFormat="false" ht="15" hidden="false" customHeight="false" outlineLevel="0" collapsed="false">
      <c r="B2553" s="12" t="str">
        <f aca="false">IF(A2553="","",IFERROR(INDEX(Recipes!$B:$B,MATCH(A2553,Recipes!$A:$A,0)),"⚠ unknown recipe_id"))</f>
        <v/>
      </c>
      <c r="E2553" s="12" t="str">
        <f aca="false">IF(C2553="","",IFERROR(INDEX('Ingredient Catalog'!$C:$C,MATCH(C2553,'Ingredient Catalog'!$A:$A,0)),"⚠ not in catalog"))</f>
        <v/>
      </c>
      <c r="G2553" s="12" t="str">
        <f aca="false">IF(A2553="","",COUNTIFS('Weekly Log'!$A:$A,'Grocery List'!$B$3,'Weekly Log'!$C:$C,A2553,'Weekly Log'!$E:$E,"Yes"))</f>
        <v/>
      </c>
      <c r="H2553" s="12" t="str">
        <f aca="false">IF(OR(A2553="",D2553=""),"",D2553*G2553)</f>
        <v/>
      </c>
    </row>
    <row r="2554" customFormat="false" ht="15" hidden="false" customHeight="false" outlineLevel="0" collapsed="false">
      <c r="B2554" s="12" t="str">
        <f aca="false">IF(A2554="","",IFERROR(INDEX(Recipes!$B:$B,MATCH(A2554,Recipes!$A:$A,0)),"⚠ unknown recipe_id"))</f>
        <v/>
      </c>
      <c r="E2554" s="12" t="str">
        <f aca="false">IF(C2554="","",IFERROR(INDEX('Ingredient Catalog'!$C:$C,MATCH(C2554,'Ingredient Catalog'!$A:$A,0)),"⚠ not in catalog"))</f>
        <v/>
      </c>
      <c r="G2554" s="12" t="str">
        <f aca="false">IF(A2554="","",COUNTIFS('Weekly Log'!$A:$A,'Grocery List'!$B$3,'Weekly Log'!$C:$C,A2554,'Weekly Log'!$E:$E,"Yes"))</f>
        <v/>
      </c>
      <c r="H2554" s="12" t="str">
        <f aca="false">IF(OR(A2554="",D2554=""),"",D2554*G2554)</f>
        <v/>
      </c>
    </row>
    <row r="2555" customFormat="false" ht="15" hidden="false" customHeight="false" outlineLevel="0" collapsed="false">
      <c r="B2555" s="12" t="str">
        <f aca="false">IF(A2555="","",IFERROR(INDEX(Recipes!$B:$B,MATCH(A2555,Recipes!$A:$A,0)),"⚠ unknown recipe_id"))</f>
        <v/>
      </c>
      <c r="E2555" s="12" t="str">
        <f aca="false">IF(C2555="","",IFERROR(INDEX('Ingredient Catalog'!$C:$C,MATCH(C2555,'Ingredient Catalog'!$A:$A,0)),"⚠ not in catalog"))</f>
        <v/>
      </c>
      <c r="G2555" s="12" t="str">
        <f aca="false">IF(A2555="","",COUNTIFS('Weekly Log'!$A:$A,'Grocery List'!$B$3,'Weekly Log'!$C:$C,A2555,'Weekly Log'!$E:$E,"Yes"))</f>
        <v/>
      </c>
      <c r="H2555" s="12" t="str">
        <f aca="false">IF(OR(A2555="",D2555=""),"",D2555*G2555)</f>
        <v/>
      </c>
    </row>
    <row r="2556" customFormat="false" ht="15" hidden="false" customHeight="false" outlineLevel="0" collapsed="false">
      <c r="B2556" s="12" t="str">
        <f aca="false">IF(A2556="","",IFERROR(INDEX(Recipes!$B:$B,MATCH(A2556,Recipes!$A:$A,0)),"⚠ unknown recipe_id"))</f>
        <v/>
      </c>
      <c r="E2556" s="12" t="str">
        <f aca="false">IF(C2556="","",IFERROR(INDEX('Ingredient Catalog'!$C:$C,MATCH(C2556,'Ingredient Catalog'!$A:$A,0)),"⚠ not in catalog"))</f>
        <v/>
      </c>
      <c r="G2556" s="12" t="str">
        <f aca="false">IF(A2556="","",COUNTIFS('Weekly Log'!$A:$A,'Grocery List'!$B$3,'Weekly Log'!$C:$C,A2556,'Weekly Log'!$E:$E,"Yes"))</f>
        <v/>
      </c>
      <c r="H2556" s="12" t="str">
        <f aca="false">IF(OR(A2556="",D2556=""),"",D2556*G2556)</f>
        <v/>
      </c>
    </row>
    <row r="2557" customFormat="false" ht="15" hidden="false" customHeight="false" outlineLevel="0" collapsed="false">
      <c r="B2557" s="12" t="str">
        <f aca="false">IF(A2557="","",IFERROR(INDEX(Recipes!$B:$B,MATCH(A2557,Recipes!$A:$A,0)),"⚠ unknown recipe_id"))</f>
        <v/>
      </c>
      <c r="E2557" s="12" t="str">
        <f aca="false">IF(C2557="","",IFERROR(INDEX('Ingredient Catalog'!$C:$C,MATCH(C2557,'Ingredient Catalog'!$A:$A,0)),"⚠ not in catalog"))</f>
        <v/>
      </c>
      <c r="G2557" s="12" t="str">
        <f aca="false">IF(A2557="","",COUNTIFS('Weekly Log'!$A:$A,'Grocery List'!$B$3,'Weekly Log'!$C:$C,A2557,'Weekly Log'!$E:$E,"Yes"))</f>
        <v/>
      </c>
      <c r="H2557" s="12" t="str">
        <f aca="false">IF(OR(A2557="",D2557=""),"",D2557*G2557)</f>
        <v/>
      </c>
    </row>
    <row r="2558" customFormat="false" ht="15" hidden="false" customHeight="false" outlineLevel="0" collapsed="false">
      <c r="B2558" s="12" t="str">
        <f aca="false">IF(A2558="","",IFERROR(INDEX(Recipes!$B:$B,MATCH(A2558,Recipes!$A:$A,0)),"⚠ unknown recipe_id"))</f>
        <v/>
      </c>
      <c r="E2558" s="12" t="str">
        <f aca="false">IF(C2558="","",IFERROR(INDEX('Ingredient Catalog'!$C:$C,MATCH(C2558,'Ingredient Catalog'!$A:$A,0)),"⚠ not in catalog"))</f>
        <v/>
      </c>
      <c r="G2558" s="12" t="str">
        <f aca="false">IF(A2558="","",COUNTIFS('Weekly Log'!$A:$A,'Grocery List'!$B$3,'Weekly Log'!$C:$C,A2558,'Weekly Log'!$E:$E,"Yes"))</f>
        <v/>
      </c>
      <c r="H2558" s="12" t="str">
        <f aca="false">IF(OR(A2558="",D2558=""),"",D2558*G2558)</f>
        <v/>
      </c>
    </row>
    <row r="2559" customFormat="false" ht="15" hidden="false" customHeight="false" outlineLevel="0" collapsed="false">
      <c r="B2559" s="12" t="str">
        <f aca="false">IF(A2559="","",IFERROR(INDEX(Recipes!$B:$B,MATCH(A2559,Recipes!$A:$A,0)),"⚠ unknown recipe_id"))</f>
        <v/>
      </c>
      <c r="E2559" s="12" t="str">
        <f aca="false">IF(C2559="","",IFERROR(INDEX('Ingredient Catalog'!$C:$C,MATCH(C2559,'Ingredient Catalog'!$A:$A,0)),"⚠ not in catalog"))</f>
        <v/>
      </c>
      <c r="G2559" s="12" t="str">
        <f aca="false">IF(A2559="","",COUNTIFS('Weekly Log'!$A:$A,'Grocery List'!$B$3,'Weekly Log'!$C:$C,A2559,'Weekly Log'!$E:$E,"Yes"))</f>
        <v/>
      </c>
      <c r="H2559" s="12" t="str">
        <f aca="false">IF(OR(A2559="",D2559=""),"",D2559*G2559)</f>
        <v/>
      </c>
    </row>
    <row r="2560" customFormat="false" ht="15" hidden="false" customHeight="false" outlineLevel="0" collapsed="false">
      <c r="B2560" s="12" t="str">
        <f aca="false">IF(A2560="","",IFERROR(INDEX(Recipes!$B:$B,MATCH(A2560,Recipes!$A:$A,0)),"⚠ unknown recipe_id"))</f>
        <v/>
      </c>
      <c r="E2560" s="12" t="str">
        <f aca="false">IF(C2560="","",IFERROR(INDEX('Ingredient Catalog'!$C:$C,MATCH(C2560,'Ingredient Catalog'!$A:$A,0)),"⚠ not in catalog"))</f>
        <v/>
      </c>
      <c r="G2560" s="12" t="str">
        <f aca="false">IF(A2560="","",COUNTIFS('Weekly Log'!$A:$A,'Grocery List'!$B$3,'Weekly Log'!$C:$C,A2560,'Weekly Log'!$E:$E,"Yes"))</f>
        <v/>
      </c>
      <c r="H2560" s="12" t="str">
        <f aca="false">IF(OR(A2560="",D2560=""),"",D2560*G2560)</f>
        <v/>
      </c>
    </row>
    <row r="2561" customFormat="false" ht="15" hidden="false" customHeight="false" outlineLevel="0" collapsed="false">
      <c r="B2561" s="12" t="str">
        <f aca="false">IF(A2561="","",IFERROR(INDEX(Recipes!$B:$B,MATCH(A2561,Recipes!$A:$A,0)),"⚠ unknown recipe_id"))</f>
        <v/>
      </c>
      <c r="E2561" s="12" t="str">
        <f aca="false">IF(C2561="","",IFERROR(INDEX('Ingredient Catalog'!$C:$C,MATCH(C2561,'Ingredient Catalog'!$A:$A,0)),"⚠ not in catalog"))</f>
        <v/>
      </c>
      <c r="G2561" s="12" t="str">
        <f aca="false">IF(A2561="","",COUNTIFS('Weekly Log'!$A:$A,'Grocery List'!$B$3,'Weekly Log'!$C:$C,A2561,'Weekly Log'!$E:$E,"Yes"))</f>
        <v/>
      </c>
      <c r="H2561" s="12" t="str">
        <f aca="false">IF(OR(A2561="",D2561=""),"",D2561*G2561)</f>
        <v/>
      </c>
    </row>
    <row r="2562" customFormat="false" ht="15" hidden="false" customHeight="false" outlineLevel="0" collapsed="false">
      <c r="B2562" s="12" t="str">
        <f aca="false">IF(A2562="","",IFERROR(INDEX(Recipes!$B:$B,MATCH(A2562,Recipes!$A:$A,0)),"⚠ unknown recipe_id"))</f>
        <v/>
      </c>
      <c r="E2562" s="12" t="str">
        <f aca="false">IF(C2562="","",IFERROR(INDEX('Ingredient Catalog'!$C:$C,MATCH(C2562,'Ingredient Catalog'!$A:$A,0)),"⚠ not in catalog"))</f>
        <v/>
      </c>
      <c r="G2562" s="12" t="str">
        <f aca="false">IF(A2562="","",COUNTIFS('Weekly Log'!$A:$A,'Grocery List'!$B$3,'Weekly Log'!$C:$C,A2562,'Weekly Log'!$E:$E,"Yes"))</f>
        <v/>
      </c>
      <c r="H2562" s="12" t="str">
        <f aca="false">IF(OR(A2562="",D2562=""),"",D2562*G2562)</f>
        <v/>
      </c>
    </row>
    <row r="2563" customFormat="false" ht="15" hidden="false" customHeight="false" outlineLevel="0" collapsed="false">
      <c r="B2563" s="12" t="str">
        <f aca="false">IF(A2563="","",IFERROR(INDEX(Recipes!$B:$B,MATCH(A2563,Recipes!$A:$A,0)),"⚠ unknown recipe_id"))</f>
        <v/>
      </c>
      <c r="E2563" s="12" t="str">
        <f aca="false">IF(C2563="","",IFERROR(INDEX('Ingredient Catalog'!$C:$C,MATCH(C2563,'Ingredient Catalog'!$A:$A,0)),"⚠ not in catalog"))</f>
        <v/>
      </c>
      <c r="G2563" s="12" t="str">
        <f aca="false">IF(A2563="","",COUNTIFS('Weekly Log'!$A:$A,'Grocery List'!$B$3,'Weekly Log'!$C:$C,A2563,'Weekly Log'!$E:$E,"Yes"))</f>
        <v/>
      </c>
      <c r="H2563" s="12" t="str">
        <f aca="false">IF(OR(A2563="",D2563=""),"",D2563*G2563)</f>
        <v/>
      </c>
    </row>
    <row r="2564" customFormat="false" ht="15" hidden="false" customHeight="false" outlineLevel="0" collapsed="false">
      <c r="B2564" s="12" t="str">
        <f aca="false">IF(A2564="","",IFERROR(INDEX(Recipes!$B:$B,MATCH(A2564,Recipes!$A:$A,0)),"⚠ unknown recipe_id"))</f>
        <v/>
      </c>
      <c r="E2564" s="12" t="str">
        <f aca="false">IF(C2564="","",IFERROR(INDEX('Ingredient Catalog'!$C:$C,MATCH(C2564,'Ingredient Catalog'!$A:$A,0)),"⚠ not in catalog"))</f>
        <v/>
      </c>
      <c r="G2564" s="12" t="str">
        <f aca="false">IF(A2564="","",COUNTIFS('Weekly Log'!$A:$A,'Grocery List'!$B$3,'Weekly Log'!$C:$C,A2564,'Weekly Log'!$E:$E,"Yes"))</f>
        <v/>
      </c>
      <c r="H2564" s="12" t="str">
        <f aca="false">IF(OR(A2564="",D2564=""),"",D2564*G2564)</f>
        <v/>
      </c>
    </row>
    <row r="2565" customFormat="false" ht="15" hidden="false" customHeight="false" outlineLevel="0" collapsed="false">
      <c r="B2565" s="12" t="str">
        <f aca="false">IF(A2565="","",IFERROR(INDEX(Recipes!$B:$B,MATCH(A2565,Recipes!$A:$A,0)),"⚠ unknown recipe_id"))</f>
        <v/>
      </c>
      <c r="E2565" s="12" t="str">
        <f aca="false">IF(C2565="","",IFERROR(INDEX('Ingredient Catalog'!$C:$C,MATCH(C2565,'Ingredient Catalog'!$A:$A,0)),"⚠ not in catalog"))</f>
        <v/>
      </c>
      <c r="G2565" s="12" t="str">
        <f aca="false">IF(A2565="","",COUNTIFS('Weekly Log'!$A:$A,'Grocery List'!$B$3,'Weekly Log'!$C:$C,A2565,'Weekly Log'!$E:$E,"Yes"))</f>
        <v/>
      </c>
      <c r="H2565" s="12" t="str">
        <f aca="false">IF(OR(A2565="",D2565=""),"",D2565*G2565)</f>
        <v/>
      </c>
    </row>
    <row r="2566" customFormat="false" ht="15" hidden="false" customHeight="false" outlineLevel="0" collapsed="false">
      <c r="B2566" s="12" t="str">
        <f aca="false">IF(A2566="","",IFERROR(INDEX(Recipes!$B:$B,MATCH(A2566,Recipes!$A:$A,0)),"⚠ unknown recipe_id"))</f>
        <v/>
      </c>
      <c r="E2566" s="12" t="str">
        <f aca="false">IF(C2566="","",IFERROR(INDEX('Ingredient Catalog'!$C:$C,MATCH(C2566,'Ingredient Catalog'!$A:$A,0)),"⚠ not in catalog"))</f>
        <v/>
      </c>
      <c r="G2566" s="12" t="str">
        <f aca="false">IF(A2566="","",COUNTIFS('Weekly Log'!$A:$A,'Grocery List'!$B$3,'Weekly Log'!$C:$C,A2566,'Weekly Log'!$E:$E,"Yes"))</f>
        <v/>
      </c>
      <c r="H2566" s="12" t="str">
        <f aca="false">IF(OR(A2566="",D2566=""),"",D2566*G2566)</f>
        <v/>
      </c>
    </row>
    <row r="2567" customFormat="false" ht="15" hidden="false" customHeight="false" outlineLevel="0" collapsed="false">
      <c r="B2567" s="12" t="str">
        <f aca="false">IF(A2567="","",IFERROR(INDEX(Recipes!$B:$B,MATCH(A2567,Recipes!$A:$A,0)),"⚠ unknown recipe_id"))</f>
        <v/>
      </c>
      <c r="E2567" s="12" t="str">
        <f aca="false">IF(C2567="","",IFERROR(INDEX('Ingredient Catalog'!$C:$C,MATCH(C2567,'Ingredient Catalog'!$A:$A,0)),"⚠ not in catalog"))</f>
        <v/>
      </c>
      <c r="G2567" s="12" t="str">
        <f aca="false">IF(A2567="","",COUNTIFS('Weekly Log'!$A:$A,'Grocery List'!$B$3,'Weekly Log'!$C:$C,A2567,'Weekly Log'!$E:$E,"Yes"))</f>
        <v/>
      </c>
      <c r="H2567" s="12" t="str">
        <f aca="false">IF(OR(A2567="",D2567=""),"",D2567*G2567)</f>
        <v/>
      </c>
    </row>
    <row r="2568" customFormat="false" ht="15" hidden="false" customHeight="false" outlineLevel="0" collapsed="false">
      <c r="B2568" s="12" t="str">
        <f aca="false">IF(A2568="","",IFERROR(INDEX(Recipes!$B:$B,MATCH(A2568,Recipes!$A:$A,0)),"⚠ unknown recipe_id"))</f>
        <v/>
      </c>
      <c r="E2568" s="12" t="str">
        <f aca="false">IF(C2568="","",IFERROR(INDEX('Ingredient Catalog'!$C:$C,MATCH(C2568,'Ingredient Catalog'!$A:$A,0)),"⚠ not in catalog"))</f>
        <v/>
      </c>
      <c r="G2568" s="12" t="str">
        <f aca="false">IF(A2568="","",COUNTIFS('Weekly Log'!$A:$A,'Grocery List'!$B$3,'Weekly Log'!$C:$C,A2568,'Weekly Log'!$E:$E,"Yes"))</f>
        <v/>
      </c>
      <c r="H2568" s="12" t="str">
        <f aca="false">IF(OR(A2568="",D2568=""),"",D2568*G2568)</f>
        <v/>
      </c>
    </row>
    <row r="2569" customFormat="false" ht="15" hidden="false" customHeight="false" outlineLevel="0" collapsed="false">
      <c r="B2569" s="12" t="str">
        <f aca="false">IF(A2569="","",IFERROR(INDEX(Recipes!$B:$B,MATCH(A2569,Recipes!$A:$A,0)),"⚠ unknown recipe_id"))</f>
        <v/>
      </c>
      <c r="E2569" s="12" t="str">
        <f aca="false">IF(C2569="","",IFERROR(INDEX('Ingredient Catalog'!$C:$C,MATCH(C2569,'Ingredient Catalog'!$A:$A,0)),"⚠ not in catalog"))</f>
        <v/>
      </c>
      <c r="G2569" s="12" t="str">
        <f aca="false">IF(A2569="","",COUNTIFS('Weekly Log'!$A:$A,'Grocery List'!$B$3,'Weekly Log'!$C:$C,A2569,'Weekly Log'!$E:$E,"Yes"))</f>
        <v/>
      </c>
      <c r="H2569" s="12" t="str">
        <f aca="false">IF(OR(A2569="",D2569=""),"",D2569*G2569)</f>
        <v/>
      </c>
    </row>
    <row r="2570" customFormat="false" ht="15" hidden="false" customHeight="false" outlineLevel="0" collapsed="false">
      <c r="B2570" s="12" t="str">
        <f aca="false">IF(A2570="","",IFERROR(INDEX(Recipes!$B:$B,MATCH(A2570,Recipes!$A:$A,0)),"⚠ unknown recipe_id"))</f>
        <v/>
      </c>
      <c r="E2570" s="12" t="str">
        <f aca="false">IF(C2570="","",IFERROR(INDEX('Ingredient Catalog'!$C:$C,MATCH(C2570,'Ingredient Catalog'!$A:$A,0)),"⚠ not in catalog"))</f>
        <v/>
      </c>
      <c r="G2570" s="12" t="str">
        <f aca="false">IF(A2570="","",COUNTIFS('Weekly Log'!$A:$A,'Grocery List'!$B$3,'Weekly Log'!$C:$C,A2570,'Weekly Log'!$E:$E,"Yes"))</f>
        <v/>
      </c>
      <c r="H2570" s="12" t="str">
        <f aca="false">IF(OR(A2570="",D2570=""),"",D2570*G2570)</f>
        <v/>
      </c>
    </row>
    <row r="2571" customFormat="false" ht="15" hidden="false" customHeight="false" outlineLevel="0" collapsed="false">
      <c r="B2571" s="12" t="str">
        <f aca="false">IF(A2571="","",IFERROR(INDEX(Recipes!$B:$B,MATCH(A2571,Recipes!$A:$A,0)),"⚠ unknown recipe_id"))</f>
        <v/>
      </c>
      <c r="E2571" s="12" t="str">
        <f aca="false">IF(C2571="","",IFERROR(INDEX('Ingredient Catalog'!$C:$C,MATCH(C2571,'Ingredient Catalog'!$A:$A,0)),"⚠ not in catalog"))</f>
        <v/>
      </c>
      <c r="G2571" s="12" t="str">
        <f aca="false">IF(A2571="","",COUNTIFS('Weekly Log'!$A:$A,'Grocery List'!$B$3,'Weekly Log'!$C:$C,A2571,'Weekly Log'!$E:$E,"Yes"))</f>
        <v/>
      </c>
      <c r="H2571" s="12" t="str">
        <f aca="false">IF(OR(A2571="",D2571=""),"",D2571*G2571)</f>
        <v/>
      </c>
    </row>
    <row r="2572" customFormat="false" ht="15" hidden="false" customHeight="false" outlineLevel="0" collapsed="false">
      <c r="B2572" s="12" t="str">
        <f aca="false">IF(A2572="","",IFERROR(INDEX(Recipes!$B:$B,MATCH(A2572,Recipes!$A:$A,0)),"⚠ unknown recipe_id"))</f>
        <v/>
      </c>
      <c r="E2572" s="12" t="str">
        <f aca="false">IF(C2572="","",IFERROR(INDEX('Ingredient Catalog'!$C:$C,MATCH(C2572,'Ingredient Catalog'!$A:$A,0)),"⚠ not in catalog"))</f>
        <v/>
      </c>
      <c r="G2572" s="12" t="str">
        <f aca="false">IF(A2572="","",COUNTIFS('Weekly Log'!$A:$A,'Grocery List'!$B$3,'Weekly Log'!$C:$C,A2572,'Weekly Log'!$E:$E,"Yes"))</f>
        <v/>
      </c>
      <c r="H2572" s="12" t="str">
        <f aca="false">IF(OR(A2572="",D2572=""),"",D2572*G2572)</f>
        <v/>
      </c>
    </row>
    <row r="2573" customFormat="false" ht="15" hidden="false" customHeight="false" outlineLevel="0" collapsed="false">
      <c r="B2573" s="12" t="str">
        <f aca="false">IF(A2573="","",IFERROR(INDEX(Recipes!$B:$B,MATCH(A2573,Recipes!$A:$A,0)),"⚠ unknown recipe_id"))</f>
        <v/>
      </c>
      <c r="E2573" s="12" t="str">
        <f aca="false">IF(C2573="","",IFERROR(INDEX('Ingredient Catalog'!$C:$C,MATCH(C2573,'Ingredient Catalog'!$A:$A,0)),"⚠ not in catalog"))</f>
        <v/>
      </c>
      <c r="G2573" s="12" t="str">
        <f aca="false">IF(A2573="","",COUNTIFS('Weekly Log'!$A:$A,'Grocery List'!$B$3,'Weekly Log'!$C:$C,A2573,'Weekly Log'!$E:$E,"Yes"))</f>
        <v/>
      </c>
      <c r="H2573" s="12" t="str">
        <f aca="false">IF(OR(A2573="",D2573=""),"",D2573*G2573)</f>
        <v/>
      </c>
    </row>
    <row r="2574" customFormat="false" ht="15" hidden="false" customHeight="false" outlineLevel="0" collapsed="false">
      <c r="B2574" s="12" t="str">
        <f aca="false">IF(A2574="","",IFERROR(INDEX(Recipes!$B:$B,MATCH(A2574,Recipes!$A:$A,0)),"⚠ unknown recipe_id"))</f>
        <v/>
      </c>
      <c r="E2574" s="12" t="str">
        <f aca="false">IF(C2574="","",IFERROR(INDEX('Ingredient Catalog'!$C:$C,MATCH(C2574,'Ingredient Catalog'!$A:$A,0)),"⚠ not in catalog"))</f>
        <v/>
      </c>
      <c r="G2574" s="12" t="str">
        <f aca="false">IF(A2574="","",COUNTIFS('Weekly Log'!$A:$A,'Grocery List'!$B$3,'Weekly Log'!$C:$C,A2574,'Weekly Log'!$E:$E,"Yes"))</f>
        <v/>
      </c>
      <c r="H2574" s="12" t="str">
        <f aca="false">IF(OR(A2574="",D2574=""),"",D2574*G2574)</f>
        <v/>
      </c>
    </row>
    <row r="2575" customFormat="false" ht="15" hidden="false" customHeight="false" outlineLevel="0" collapsed="false">
      <c r="B2575" s="12" t="str">
        <f aca="false">IF(A2575="","",IFERROR(INDEX(Recipes!$B:$B,MATCH(A2575,Recipes!$A:$A,0)),"⚠ unknown recipe_id"))</f>
        <v/>
      </c>
      <c r="E2575" s="12" t="str">
        <f aca="false">IF(C2575="","",IFERROR(INDEX('Ingredient Catalog'!$C:$C,MATCH(C2575,'Ingredient Catalog'!$A:$A,0)),"⚠ not in catalog"))</f>
        <v/>
      </c>
      <c r="G2575" s="12" t="str">
        <f aca="false">IF(A2575="","",COUNTIFS('Weekly Log'!$A:$A,'Grocery List'!$B$3,'Weekly Log'!$C:$C,A2575,'Weekly Log'!$E:$E,"Yes"))</f>
        <v/>
      </c>
      <c r="H2575" s="12" t="str">
        <f aca="false">IF(OR(A2575="",D2575=""),"",D2575*G2575)</f>
        <v/>
      </c>
    </row>
    <row r="2576" customFormat="false" ht="15" hidden="false" customHeight="false" outlineLevel="0" collapsed="false">
      <c r="B2576" s="12" t="str">
        <f aca="false">IF(A2576="","",IFERROR(INDEX(Recipes!$B:$B,MATCH(A2576,Recipes!$A:$A,0)),"⚠ unknown recipe_id"))</f>
        <v/>
      </c>
      <c r="E2576" s="12" t="str">
        <f aca="false">IF(C2576="","",IFERROR(INDEX('Ingredient Catalog'!$C:$C,MATCH(C2576,'Ingredient Catalog'!$A:$A,0)),"⚠ not in catalog"))</f>
        <v/>
      </c>
      <c r="G2576" s="12" t="str">
        <f aca="false">IF(A2576="","",COUNTIFS('Weekly Log'!$A:$A,'Grocery List'!$B$3,'Weekly Log'!$C:$C,A2576,'Weekly Log'!$E:$E,"Yes"))</f>
        <v/>
      </c>
      <c r="H2576" s="12" t="str">
        <f aca="false">IF(OR(A2576="",D2576=""),"",D2576*G2576)</f>
        <v/>
      </c>
    </row>
    <row r="2577" customFormat="false" ht="15" hidden="false" customHeight="false" outlineLevel="0" collapsed="false">
      <c r="B2577" s="12" t="str">
        <f aca="false">IF(A2577="","",IFERROR(INDEX(Recipes!$B:$B,MATCH(A2577,Recipes!$A:$A,0)),"⚠ unknown recipe_id"))</f>
        <v/>
      </c>
      <c r="E2577" s="12" t="str">
        <f aca="false">IF(C2577="","",IFERROR(INDEX('Ingredient Catalog'!$C:$C,MATCH(C2577,'Ingredient Catalog'!$A:$A,0)),"⚠ not in catalog"))</f>
        <v/>
      </c>
      <c r="G2577" s="12" t="str">
        <f aca="false">IF(A2577="","",COUNTIFS('Weekly Log'!$A:$A,'Grocery List'!$B$3,'Weekly Log'!$C:$C,A2577,'Weekly Log'!$E:$E,"Yes"))</f>
        <v/>
      </c>
      <c r="H2577" s="12" t="str">
        <f aca="false">IF(OR(A2577="",D2577=""),"",D2577*G2577)</f>
        <v/>
      </c>
    </row>
    <row r="2578" customFormat="false" ht="15" hidden="false" customHeight="false" outlineLevel="0" collapsed="false">
      <c r="B2578" s="12" t="str">
        <f aca="false">IF(A2578="","",IFERROR(INDEX(Recipes!$B:$B,MATCH(A2578,Recipes!$A:$A,0)),"⚠ unknown recipe_id"))</f>
        <v/>
      </c>
      <c r="E2578" s="12" t="str">
        <f aca="false">IF(C2578="","",IFERROR(INDEX('Ingredient Catalog'!$C:$C,MATCH(C2578,'Ingredient Catalog'!$A:$A,0)),"⚠ not in catalog"))</f>
        <v/>
      </c>
      <c r="G2578" s="12" t="str">
        <f aca="false">IF(A2578="","",COUNTIFS('Weekly Log'!$A:$A,'Grocery List'!$B$3,'Weekly Log'!$C:$C,A2578,'Weekly Log'!$E:$E,"Yes"))</f>
        <v/>
      </c>
      <c r="H2578" s="12" t="str">
        <f aca="false">IF(OR(A2578="",D2578=""),"",D2578*G2578)</f>
        <v/>
      </c>
    </row>
    <row r="2579" customFormat="false" ht="15" hidden="false" customHeight="false" outlineLevel="0" collapsed="false">
      <c r="B2579" s="12" t="str">
        <f aca="false">IF(A2579="","",IFERROR(INDEX(Recipes!$B:$B,MATCH(A2579,Recipes!$A:$A,0)),"⚠ unknown recipe_id"))</f>
        <v/>
      </c>
      <c r="E2579" s="12" t="str">
        <f aca="false">IF(C2579="","",IFERROR(INDEX('Ingredient Catalog'!$C:$C,MATCH(C2579,'Ingredient Catalog'!$A:$A,0)),"⚠ not in catalog"))</f>
        <v/>
      </c>
      <c r="G2579" s="12" t="str">
        <f aca="false">IF(A2579="","",COUNTIFS('Weekly Log'!$A:$A,'Grocery List'!$B$3,'Weekly Log'!$C:$C,A2579,'Weekly Log'!$E:$E,"Yes"))</f>
        <v/>
      </c>
      <c r="H2579" s="12" t="str">
        <f aca="false">IF(OR(A2579="",D2579=""),"",D2579*G2579)</f>
        <v/>
      </c>
    </row>
    <row r="2580" customFormat="false" ht="15" hidden="false" customHeight="false" outlineLevel="0" collapsed="false">
      <c r="B2580" s="12" t="str">
        <f aca="false">IF(A2580="","",IFERROR(INDEX(Recipes!$B:$B,MATCH(A2580,Recipes!$A:$A,0)),"⚠ unknown recipe_id"))</f>
        <v/>
      </c>
      <c r="E2580" s="12" t="str">
        <f aca="false">IF(C2580="","",IFERROR(INDEX('Ingredient Catalog'!$C:$C,MATCH(C2580,'Ingredient Catalog'!$A:$A,0)),"⚠ not in catalog"))</f>
        <v/>
      </c>
      <c r="G2580" s="12" t="str">
        <f aca="false">IF(A2580="","",COUNTIFS('Weekly Log'!$A:$A,'Grocery List'!$B$3,'Weekly Log'!$C:$C,A2580,'Weekly Log'!$E:$E,"Yes"))</f>
        <v/>
      </c>
      <c r="H2580" s="12" t="str">
        <f aca="false">IF(OR(A2580="",D2580=""),"",D2580*G2580)</f>
        <v/>
      </c>
    </row>
    <row r="2581" customFormat="false" ht="15" hidden="false" customHeight="false" outlineLevel="0" collapsed="false">
      <c r="B2581" s="12" t="str">
        <f aca="false">IF(A2581="","",IFERROR(INDEX(Recipes!$B:$B,MATCH(A2581,Recipes!$A:$A,0)),"⚠ unknown recipe_id"))</f>
        <v/>
      </c>
      <c r="E2581" s="12" t="str">
        <f aca="false">IF(C2581="","",IFERROR(INDEX('Ingredient Catalog'!$C:$C,MATCH(C2581,'Ingredient Catalog'!$A:$A,0)),"⚠ not in catalog"))</f>
        <v/>
      </c>
      <c r="G2581" s="12" t="str">
        <f aca="false">IF(A2581="","",COUNTIFS('Weekly Log'!$A:$A,'Grocery List'!$B$3,'Weekly Log'!$C:$C,A2581,'Weekly Log'!$E:$E,"Yes"))</f>
        <v/>
      </c>
      <c r="H2581" s="12" t="str">
        <f aca="false">IF(OR(A2581="",D2581=""),"",D2581*G2581)</f>
        <v/>
      </c>
    </row>
    <row r="2582" customFormat="false" ht="15" hidden="false" customHeight="false" outlineLevel="0" collapsed="false">
      <c r="B2582" s="12" t="str">
        <f aca="false">IF(A2582="","",IFERROR(INDEX(Recipes!$B:$B,MATCH(A2582,Recipes!$A:$A,0)),"⚠ unknown recipe_id"))</f>
        <v/>
      </c>
      <c r="E2582" s="12" t="str">
        <f aca="false">IF(C2582="","",IFERROR(INDEX('Ingredient Catalog'!$C:$C,MATCH(C2582,'Ingredient Catalog'!$A:$A,0)),"⚠ not in catalog"))</f>
        <v/>
      </c>
      <c r="G2582" s="12" t="str">
        <f aca="false">IF(A2582="","",COUNTIFS('Weekly Log'!$A:$A,'Grocery List'!$B$3,'Weekly Log'!$C:$C,A2582,'Weekly Log'!$E:$E,"Yes"))</f>
        <v/>
      </c>
      <c r="H2582" s="12" t="str">
        <f aca="false">IF(OR(A2582="",D2582=""),"",D2582*G2582)</f>
        <v/>
      </c>
    </row>
    <row r="2583" customFormat="false" ht="15" hidden="false" customHeight="false" outlineLevel="0" collapsed="false">
      <c r="B2583" s="12" t="str">
        <f aca="false">IF(A2583="","",IFERROR(INDEX(Recipes!$B:$B,MATCH(A2583,Recipes!$A:$A,0)),"⚠ unknown recipe_id"))</f>
        <v/>
      </c>
      <c r="E2583" s="12" t="str">
        <f aca="false">IF(C2583="","",IFERROR(INDEX('Ingredient Catalog'!$C:$C,MATCH(C2583,'Ingredient Catalog'!$A:$A,0)),"⚠ not in catalog"))</f>
        <v/>
      </c>
      <c r="G2583" s="12" t="str">
        <f aca="false">IF(A2583="","",COUNTIFS('Weekly Log'!$A:$A,'Grocery List'!$B$3,'Weekly Log'!$C:$C,A2583,'Weekly Log'!$E:$E,"Yes"))</f>
        <v/>
      </c>
      <c r="H2583" s="12" t="str">
        <f aca="false">IF(OR(A2583="",D2583=""),"",D2583*G2583)</f>
        <v/>
      </c>
    </row>
    <row r="2584" customFormat="false" ht="15" hidden="false" customHeight="false" outlineLevel="0" collapsed="false">
      <c r="B2584" s="12" t="str">
        <f aca="false">IF(A2584="","",IFERROR(INDEX(Recipes!$B:$B,MATCH(A2584,Recipes!$A:$A,0)),"⚠ unknown recipe_id"))</f>
        <v/>
      </c>
      <c r="E2584" s="12" t="str">
        <f aca="false">IF(C2584="","",IFERROR(INDEX('Ingredient Catalog'!$C:$C,MATCH(C2584,'Ingredient Catalog'!$A:$A,0)),"⚠ not in catalog"))</f>
        <v/>
      </c>
      <c r="G2584" s="12" t="str">
        <f aca="false">IF(A2584="","",COUNTIFS('Weekly Log'!$A:$A,'Grocery List'!$B$3,'Weekly Log'!$C:$C,A2584,'Weekly Log'!$E:$E,"Yes"))</f>
        <v/>
      </c>
      <c r="H2584" s="12" t="str">
        <f aca="false">IF(OR(A2584="",D2584=""),"",D2584*G2584)</f>
        <v/>
      </c>
    </row>
    <row r="2585" customFormat="false" ht="15" hidden="false" customHeight="false" outlineLevel="0" collapsed="false">
      <c r="B2585" s="12" t="str">
        <f aca="false">IF(A2585="","",IFERROR(INDEX(Recipes!$B:$B,MATCH(A2585,Recipes!$A:$A,0)),"⚠ unknown recipe_id"))</f>
        <v/>
      </c>
      <c r="E2585" s="12" t="str">
        <f aca="false">IF(C2585="","",IFERROR(INDEX('Ingredient Catalog'!$C:$C,MATCH(C2585,'Ingredient Catalog'!$A:$A,0)),"⚠ not in catalog"))</f>
        <v/>
      </c>
      <c r="G2585" s="12" t="str">
        <f aca="false">IF(A2585="","",COUNTIFS('Weekly Log'!$A:$A,'Grocery List'!$B$3,'Weekly Log'!$C:$C,A2585,'Weekly Log'!$E:$E,"Yes"))</f>
        <v/>
      </c>
      <c r="H2585" s="12" t="str">
        <f aca="false">IF(OR(A2585="",D2585=""),"",D2585*G2585)</f>
        <v/>
      </c>
    </row>
    <row r="2586" customFormat="false" ht="15" hidden="false" customHeight="false" outlineLevel="0" collapsed="false">
      <c r="B2586" s="12" t="str">
        <f aca="false">IF(A2586="","",IFERROR(INDEX(Recipes!$B:$B,MATCH(A2586,Recipes!$A:$A,0)),"⚠ unknown recipe_id"))</f>
        <v/>
      </c>
      <c r="E2586" s="12" t="str">
        <f aca="false">IF(C2586="","",IFERROR(INDEX('Ingredient Catalog'!$C:$C,MATCH(C2586,'Ingredient Catalog'!$A:$A,0)),"⚠ not in catalog"))</f>
        <v/>
      </c>
      <c r="G2586" s="12" t="str">
        <f aca="false">IF(A2586="","",COUNTIFS('Weekly Log'!$A:$A,'Grocery List'!$B$3,'Weekly Log'!$C:$C,A2586,'Weekly Log'!$E:$E,"Yes"))</f>
        <v/>
      </c>
      <c r="H2586" s="12" t="str">
        <f aca="false">IF(OR(A2586="",D2586=""),"",D2586*G2586)</f>
        <v/>
      </c>
    </row>
    <row r="2587" customFormat="false" ht="15" hidden="false" customHeight="false" outlineLevel="0" collapsed="false">
      <c r="B2587" s="12" t="str">
        <f aca="false">IF(A2587="","",IFERROR(INDEX(Recipes!$B:$B,MATCH(A2587,Recipes!$A:$A,0)),"⚠ unknown recipe_id"))</f>
        <v/>
      </c>
      <c r="E2587" s="12" t="str">
        <f aca="false">IF(C2587="","",IFERROR(INDEX('Ingredient Catalog'!$C:$C,MATCH(C2587,'Ingredient Catalog'!$A:$A,0)),"⚠ not in catalog"))</f>
        <v/>
      </c>
      <c r="G2587" s="12" t="str">
        <f aca="false">IF(A2587="","",COUNTIFS('Weekly Log'!$A:$A,'Grocery List'!$B$3,'Weekly Log'!$C:$C,A2587,'Weekly Log'!$E:$E,"Yes"))</f>
        <v/>
      </c>
      <c r="H2587" s="12" t="str">
        <f aca="false">IF(OR(A2587="",D2587=""),"",D2587*G2587)</f>
        <v/>
      </c>
    </row>
    <row r="2588" customFormat="false" ht="15" hidden="false" customHeight="false" outlineLevel="0" collapsed="false">
      <c r="B2588" s="12" t="str">
        <f aca="false">IF(A2588="","",IFERROR(INDEX(Recipes!$B:$B,MATCH(A2588,Recipes!$A:$A,0)),"⚠ unknown recipe_id"))</f>
        <v/>
      </c>
      <c r="E2588" s="12" t="str">
        <f aca="false">IF(C2588="","",IFERROR(INDEX('Ingredient Catalog'!$C:$C,MATCH(C2588,'Ingredient Catalog'!$A:$A,0)),"⚠ not in catalog"))</f>
        <v/>
      </c>
      <c r="G2588" s="12" t="str">
        <f aca="false">IF(A2588="","",COUNTIFS('Weekly Log'!$A:$A,'Grocery List'!$B$3,'Weekly Log'!$C:$C,A2588,'Weekly Log'!$E:$E,"Yes"))</f>
        <v/>
      </c>
      <c r="H2588" s="12" t="str">
        <f aca="false">IF(OR(A2588="",D2588=""),"",D2588*G2588)</f>
        <v/>
      </c>
    </row>
    <row r="2589" customFormat="false" ht="15" hidden="false" customHeight="false" outlineLevel="0" collapsed="false">
      <c r="B2589" s="12" t="str">
        <f aca="false">IF(A2589="","",IFERROR(INDEX(Recipes!$B:$B,MATCH(A2589,Recipes!$A:$A,0)),"⚠ unknown recipe_id"))</f>
        <v/>
      </c>
      <c r="E2589" s="12" t="str">
        <f aca="false">IF(C2589="","",IFERROR(INDEX('Ingredient Catalog'!$C:$C,MATCH(C2589,'Ingredient Catalog'!$A:$A,0)),"⚠ not in catalog"))</f>
        <v/>
      </c>
      <c r="G2589" s="12" t="str">
        <f aca="false">IF(A2589="","",COUNTIFS('Weekly Log'!$A:$A,'Grocery List'!$B$3,'Weekly Log'!$C:$C,A2589,'Weekly Log'!$E:$E,"Yes"))</f>
        <v/>
      </c>
      <c r="H2589" s="12" t="str">
        <f aca="false">IF(OR(A2589="",D2589=""),"",D2589*G2589)</f>
        <v/>
      </c>
    </row>
    <row r="2590" customFormat="false" ht="15" hidden="false" customHeight="false" outlineLevel="0" collapsed="false">
      <c r="B2590" s="12" t="str">
        <f aca="false">IF(A2590="","",IFERROR(INDEX(Recipes!$B:$B,MATCH(A2590,Recipes!$A:$A,0)),"⚠ unknown recipe_id"))</f>
        <v/>
      </c>
      <c r="E2590" s="12" t="str">
        <f aca="false">IF(C2590="","",IFERROR(INDEX('Ingredient Catalog'!$C:$C,MATCH(C2590,'Ingredient Catalog'!$A:$A,0)),"⚠ not in catalog"))</f>
        <v/>
      </c>
      <c r="G2590" s="12" t="str">
        <f aca="false">IF(A2590="","",COUNTIFS('Weekly Log'!$A:$A,'Grocery List'!$B$3,'Weekly Log'!$C:$C,A2590,'Weekly Log'!$E:$E,"Yes"))</f>
        <v/>
      </c>
      <c r="H2590" s="12" t="str">
        <f aca="false">IF(OR(A2590="",D2590=""),"",D2590*G2590)</f>
        <v/>
      </c>
    </row>
    <row r="2591" customFormat="false" ht="15" hidden="false" customHeight="false" outlineLevel="0" collapsed="false">
      <c r="B2591" s="12" t="str">
        <f aca="false">IF(A2591="","",IFERROR(INDEX(Recipes!$B:$B,MATCH(A2591,Recipes!$A:$A,0)),"⚠ unknown recipe_id"))</f>
        <v/>
      </c>
      <c r="E2591" s="12" t="str">
        <f aca="false">IF(C2591="","",IFERROR(INDEX('Ingredient Catalog'!$C:$C,MATCH(C2591,'Ingredient Catalog'!$A:$A,0)),"⚠ not in catalog"))</f>
        <v/>
      </c>
      <c r="G2591" s="12" t="str">
        <f aca="false">IF(A2591="","",COUNTIFS('Weekly Log'!$A:$A,'Grocery List'!$B$3,'Weekly Log'!$C:$C,A2591,'Weekly Log'!$E:$E,"Yes"))</f>
        <v/>
      </c>
      <c r="H2591" s="12" t="str">
        <f aca="false">IF(OR(A2591="",D2591=""),"",D2591*G2591)</f>
        <v/>
      </c>
    </row>
    <row r="2592" customFormat="false" ht="15" hidden="false" customHeight="false" outlineLevel="0" collapsed="false">
      <c r="B2592" s="12" t="str">
        <f aca="false">IF(A2592="","",IFERROR(INDEX(Recipes!$B:$B,MATCH(A2592,Recipes!$A:$A,0)),"⚠ unknown recipe_id"))</f>
        <v/>
      </c>
      <c r="E2592" s="12" t="str">
        <f aca="false">IF(C2592="","",IFERROR(INDEX('Ingredient Catalog'!$C:$C,MATCH(C2592,'Ingredient Catalog'!$A:$A,0)),"⚠ not in catalog"))</f>
        <v/>
      </c>
      <c r="G2592" s="12" t="str">
        <f aca="false">IF(A2592="","",COUNTIFS('Weekly Log'!$A:$A,'Grocery List'!$B$3,'Weekly Log'!$C:$C,A2592,'Weekly Log'!$E:$E,"Yes"))</f>
        <v/>
      </c>
      <c r="H2592" s="12" t="str">
        <f aca="false">IF(OR(A2592="",D2592=""),"",D2592*G2592)</f>
        <v/>
      </c>
    </row>
    <row r="2593" customFormat="false" ht="15" hidden="false" customHeight="false" outlineLevel="0" collapsed="false">
      <c r="B2593" s="12" t="str">
        <f aca="false">IF(A2593="","",IFERROR(INDEX(Recipes!$B:$B,MATCH(A2593,Recipes!$A:$A,0)),"⚠ unknown recipe_id"))</f>
        <v/>
      </c>
      <c r="E2593" s="12" t="str">
        <f aca="false">IF(C2593="","",IFERROR(INDEX('Ingredient Catalog'!$C:$C,MATCH(C2593,'Ingredient Catalog'!$A:$A,0)),"⚠ not in catalog"))</f>
        <v/>
      </c>
      <c r="G2593" s="12" t="str">
        <f aca="false">IF(A2593="","",COUNTIFS('Weekly Log'!$A:$A,'Grocery List'!$B$3,'Weekly Log'!$C:$C,A2593,'Weekly Log'!$E:$E,"Yes"))</f>
        <v/>
      </c>
      <c r="H2593" s="12" t="str">
        <f aca="false">IF(OR(A2593="",D2593=""),"",D2593*G2593)</f>
        <v/>
      </c>
    </row>
    <row r="2594" customFormat="false" ht="15" hidden="false" customHeight="false" outlineLevel="0" collapsed="false">
      <c r="B2594" s="12" t="str">
        <f aca="false">IF(A2594="","",IFERROR(INDEX(Recipes!$B:$B,MATCH(A2594,Recipes!$A:$A,0)),"⚠ unknown recipe_id"))</f>
        <v/>
      </c>
      <c r="E2594" s="12" t="str">
        <f aca="false">IF(C2594="","",IFERROR(INDEX('Ingredient Catalog'!$C:$C,MATCH(C2594,'Ingredient Catalog'!$A:$A,0)),"⚠ not in catalog"))</f>
        <v/>
      </c>
      <c r="G2594" s="12" t="str">
        <f aca="false">IF(A2594="","",COUNTIFS('Weekly Log'!$A:$A,'Grocery List'!$B$3,'Weekly Log'!$C:$C,A2594,'Weekly Log'!$E:$E,"Yes"))</f>
        <v/>
      </c>
      <c r="H2594" s="12" t="str">
        <f aca="false">IF(OR(A2594="",D2594=""),"",D2594*G2594)</f>
        <v/>
      </c>
    </row>
    <row r="2595" customFormat="false" ht="15" hidden="false" customHeight="false" outlineLevel="0" collapsed="false">
      <c r="B2595" s="12" t="str">
        <f aca="false">IF(A2595="","",IFERROR(INDEX(Recipes!$B:$B,MATCH(A2595,Recipes!$A:$A,0)),"⚠ unknown recipe_id"))</f>
        <v/>
      </c>
      <c r="E2595" s="12" t="str">
        <f aca="false">IF(C2595="","",IFERROR(INDEX('Ingredient Catalog'!$C:$C,MATCH(C2595,'Ingredient Catalog'!$A:$A,0)),"⚠ not in catalog"))</f>
        <v/>
      </c>
      <c r="G2595" s="12" t="str">
        <f aca="false">IF(A2595="","",COUNTIFS('Weekly Log'!$A:$A,'Grocery List'!$B$3,'Weekly Log'!$C:$C,A2595,'Weekly Log'!$E:$E,"Yes"))</f>
        <v/>
      </c>
      <c r="H2595" s="12" t="str">
        <f aca="false">IF(OR(A2595="",D2595=""),"",D2595*G2595)</f>
        <v/>
      </c>
    </row>
    <row r="2596" customFormat="false" ht="15" hidden="false" customHeight="false" outlineLevel="0" collapsed="false">
      <c r="B2596" s="12" t="str">
        <f aca="false">IF(A2596="","",IFERROR(INDEX(Recipes!$B:$B,MATCH(A2596,Recipes!$A:$A,0)),"⚠ unknown recipe_id"))</f>
        <v/>
      </c>
      <c r="E2596" s="12" t="str">
        <f aca="false">IF(C2596="","",IFERROR(INDEX('Ingredient Catalog'!$C:$C,MATCH(C2596,'Ingredient Catalog'!$A:$A,0)),"⚠ not in catalog"))</f>
        <v/>
      </c>
      <c r="G2596" s="12" t="str">
        <f aca="false">IF(A2596="","",COUNTIFS('Weekly Log'!$A:$A,'Grocery List'!$B$3,'Weekly Log'!$C:$C,A2596,'Weekly Log'!$E:$E,"Yes"))</f>
        <v/>
      </c>
      <c r="H2596" s="12" t="str">
        <f aca="false">IF(OR(A2596="",D2596=""),"",D2596*G2596)</f>
        <v/>
      </c>
    </row>
    <row r="2597" customFormat="false" ht="15" hidden="false" customHeight="false" outlineLevel="0" collapsed="false">
      <c r="B2597" s="12" t="str">
        <f aca="false">IF(A2597="","",IFERROR(INDEX(Recipes!$B:$B,MATCH(A2597,Recipes!$A:$A,0)),"⚠ unknown recipe_id"))</f>
        <v/>
      </c>
      <c r="E2597" s="12" t="str">
        <f aca="false">IF(C2597="","",IFERROR(INDEX('Ingredient Catalog'!$C:$C,MATCH(C2597,'Ingredient Catalog'!$A:$A,0)),"⚠ not in catalog"))</f>
        <v/>
      </c>
      <c r="G2597" s="12" t="str">
        <f aca="false">IF(A2597="","",COUNTIFS('Weekly Log'!$A:$A,'Grocery List'!$B$3,'Weekly Log'!$C:$C,A2597,'Weekly Log'!$E:$E,"Yes"))</f>
        <v/>
      </c>
      <c r="H2597" s="12" t="str">
        <f aca="false">IF(OR(A2597="",D2597=""),"",D2597*G2597)</f>
        <v/>
      </c>
    </row>
    <row r="2598" customFormat="false" ht="15" hidden="false" customHeight="false" outlineLevel="0" collapsed="false">
      <c r="B2598" s="12" t="str">
        <f aca="false">IF(A2598="","",IFERROR(INDEX(Recipes!$B:$B,MATCH(A2598,Recipes!$A:$A,0)),"⚠ unknown recipe_id"))</f>
        <v/>
      </c>
      <c r="E2598" s="12" t="str">
        <f aca="false">IF(C2598="","",IFERROR(INDEX('Ingredient Catalog'!$C:$C,MATCH(C2598,'Ingredient Catalog'!$A:$A,0)),"⚠ not in catalog"))</f>
        <v/>
      </c>
      <c r="G2598" s="12" t="str">
        <f aca="false">IF(A2598="","",COUNTIFS('Weekly Log'!$A:$A,'Grocery List'!$B$3,'Weekly Log'!$C:$C,A2598,'Weekly Log'!$E:$E,"Yes"))</f>
        <v/>
      </c>
      <c r="H2598" s="12" t="str">
        <f aca="false">IF(OR(A2598="",D2598=""),"",D2598*G2598)</f>
        <v/>
      </c>
    </row>
    <row r="2599" customFormat="false" ht="15" hidden="false" customHeight="false" outlineLevel="0" collapsed="false">
      <c r="B2599" s="12" t="str">
        <f aca="false">IF(A2599="","",IFERROR(INDEX(Recipes!$B:$B,MATCH(A2599,Recipes!$A:$A,0)),"⚠ unknown recipe_id"))</f>
        <v/>
      </c>
      <c r="E2599" s="12" t="str">
        <f aca="false">IF(C2599="","",IFERROR(INDEX('Ingredient Catalog'!$C:$C,MATCH(C2599,'Ingredient Catalog'!$A:$A,0)),"⚠ not in catalog"))</f>
        <v/>
      </c>
      <c r="G2599" s="12" t="str">
        <f aca="false">IF(A2599="","",COUNTIFS('Weekly Log'!$A:$A,'Grocery List'!$B$3,'Weekly Log'!$C:$C,A2599,'Weekly Log'!$E:$E,"Yes"))</f>
        <v/>
      </c>
      <c r="H2599" s="12" t="str">
        <f aca="false">IF(OR(A2599="",D2599=""),"",D2599*G2599)</f>
        <v/>
      </c>
    </row>
    <row r="2600" customFormat="false" ht="15" hidden="false" customHeight="false" outlineLevel="0" collapsed="false">
      <c r="B2600" s="12" t="str">
        <f aca="false">IF(A2600="","",IFERROR(INDEX(Recipes!$B:$B,MATCH(A2600,Recipes!$A:$A,0)),"⚠ unknown recipe_id"))</f>
        <v/>
      </c>
      <c r="E2600" s="12" t="str">
        <f aca="false">IF(C2600="","",IFERROR(INDEX('Ingredient Catalog'!$C:$C,MATCH(C2600,'Ingredient Catalog'!$A:$A,0)),"⚠ not in catalog"))</f>
        <v/>
      </c>
      <c r="G2600" s="12" t="str">
        <f aca="false">IF(A2600="","",COUNTIFS('Weekly Log'!$A:$A,'Grocery List'!$B$3,'Weekly Log'!$C:$C,A2600,'Weekly Log'!$E:$E,"Yes"))</f>
        <v/>
      </c>
      <c r="H2600" s="12" t="str">
        <f aca="false">IF(OR(A2600="",D2600=""),"",D2600*G2600)</f>
        <v/>
      </c>
    </row>
    <row r="2601" customFormat="false" ht="15" hidden="false" customHeight="false" outlineLevel="0" collapsed="false">
      <c r="B2601" s="12" t="str">
        <f aca="false">IF(A2601="","",IFERROR(INDEX(Recipes!$B:$B,MATCH(A2601,Recipes!$A:$A,0)),"⚠ unknown recipe_id"))</f>
        <v/>
      </c>
      <c r="E2601" s="12" t="str">
        <f aca="false">IF(C2601="","",IFERROR(INDEX('Ingredient Catalog'!$C:$C,MATCH(C2601,'Ingredient Catalog'!$A:$A,0)),"⚠ not in catalog"))</f>
        <v/>
      </c>
      <c r="G2601" s="12" t="str">
        <f aca="false">IF(A2601="","",COUNTIFS('Weekly Log'!$A:$A,'Grocery List'!$B$3,'Weekly Log'!$C:$C,A2601,'Weekly Log'!$E:$E,"Yes"))</f>
        <v/>
      </c>
      <c r="H2601" s="12" t="str">
        <f aca="false">IF(OR(A2601="",D2601=""),"",D2601*G2601)</f>
        <v/>
      </c>
    </row>
    <row r="2602" customFormat="false" ht="15" hidden="false" customHeight="false" outlineLevel="0" collapsed="false">
      <c r="B2602" s="12" t="str">
        <f aca="false">IF(A2602="","",IFERROR(INDEX(Recipes!$B:$B,MATCH(A2602,Recipes!$A:$A,0)),"⚠ unknown recipe_id"))</f>
        <v/>
      </c>
      <c r="E2602" s="12" t="str">
        <f aca="false">IF(C2602="","",IFERROR(INDEX('Ingredient Catalog'!$C:$C,MATCH(C2602,'Ingredient Catalog'!$A:$A,0)),"⚠ not in catalog"))</f>
        <v/>
      </c>
      <c r="G2602" s="12" t="str">
        <f aca="false">IF(A2602="","",COUNTIFS('Weekly Log'!$A:$A,'Grocery List'!$B$3,'Weekly Log'!$C:$C,A2602,'Weekly Log'!$E:$E,"Yes"))</f>
        <v/>
      </c>
      <c r="H2602" s="12" t="str">
        <f aca="false">IF(OR(A2602="",D2602=""),"",D2602*G2602)</f>
        <v/>
      </c>
    </row>
    <row r="2603" customFormat="false" ht="15" hidden="false" customHeight="false" outlineLevel="0" collapsed="false">
      <c r="B2603" s="12" t="str">
        <f aca="false">IF(A2603="","",IFERROR(INDEX(Recipes!$B:$B,MATCH(A2603,Recipes!$A:$A,0)),"⚠ unknown recipe_id"))</f>
        <v/>
      </c>
      <c r="E2603" s="12" t="str">
        <f aca="false">IF(C2603="","",IFERROR(INDEX('Ingredient Catalog'!$C:$C,MATCH(C2603,'Ingredient Catalog'!$A:$A,0)),"⚠ not in catalog"))</f>
        <v/>
      </c>
      <c r="G2603" s="12" t="str">
        <f aca="false">IF(A2603="","",COUNTIFS('Weekly Log'!$A:$A,'Grocery List'!$B$3,'Weekly Log'!$C:$C,A2603,'Weekly Log'!$E:$E,"Yes"))</f>
        <v/>
      </c>
      <c r="H2603" s="12" t="str">
        <f aca="false">IF(OR(A2603="",D2603=""),"",D2603*G2603)</f>
        <v/>
      </c>
    </row>
    <row r="2604" customFormat="false" ht="15" hidden="false" customHeight="false" outlineLevel="0" collapsed="false">
      <c r="B2604" s="12" t="str">
        <f aca="false">IF(A2604="","",IFERROR(INDEX(Recipes!$B:$B,MATCH(A2604,Recipes!$A:$A,0)),"⚠ unknown recipe_id"))</f>
        <v/>
      </c>
      <c r="E2604" s="12" t="str">
        <f aca="false">IF(C2604="","",IFERROR(INDEX('Ingredient Catalog'!$C:$C,MATCH(C2604,'Ingredient Catalog'!$A:$A,0)),"⚠ not in catalog"))</f>
        <v/>
      </c>
      <c r="G2604" s="12" t="str">
        <f aca="false">IF(A2604="","",COUNTIFS('Weekly Log'!$A:$A,'Grocery List'!$B$3,'Weekly Log'!$C:$C,A2604,'Weekly Log'!$E:$E,"Yes"))</f>
        <v/>
      </c>
      <c r="H2604" s="12" t="str">
        <f aca="false">IF(OR(A2604="",D2604=""),"",D2604*G2604)</f>
        <v/>
      </c>
    </row>
    <row r="2605" customFormat="false" ht="15" hidden="false" customHeight="false" outlineLevel="0" collapsed="false">
      <c r="B2605" s="12" t="str">
        <f aca="false">IF(A2605="","",IFERROR(INDEX(Recipes!$B:$B,MATCH(A2605,Recipes!$A:$A,0)),"⚠ unknown recipe_id"))</f>
        <v/>
      </c>
      <c r="E2605" s="12" t="str">
        <f aca="false">IF(C2605="","",IFERROR(INDEX('Ingredient Catalog'!$C:$C,MATCH(C2605,'Ingredient Catalog'!$A:$A,0)),"⚠ not in catalog"))</f>
        <v/>
      </c>
      <c r="G2605" s="12" t="str">
        <f aca="false">IF(A2605="","",COUNTIFS('Weekly Log'!$A:$A,'Grocery List'!$B$3,'Weekly Log'!$C:$C,A2605,'Weekly Log'!$E:$E,"Yes"))</f>
        <v/>
      </c>
      <c r="H2605" s="12" t="str">
        <f aca="false">IF(OR(A2605="",D2605=""),"",D2605*G2605)</f>
        <v/>
      </c>
    </row>
    <row r="2606" customFormat="false" ht="15" hidden="false" customHeight="false" outlineLevel="0" collapsed="false">
      <c r="B2606" s="12" t="str">
        <f aca="false">IF(A2606="","",IFERROR(INDEX(Recipes!$B:$B,MATCH(A2606,Recipes!$A:$A,0)),"⚠ unknown recipe_id"))</f>
        <v/>
      </c>
      <c r="E2606" s="12" t="str">
        <f aca="false">IF(C2606="","",IFERROR(INDEX('Ingredient Catalog'!$C:$C,MATCH(C2606,'Ingredient Catalog'!$A:$A,0)),"⚠ not in catalog"))</f>
        <v/>
      </c>
      <c r="G2606" s="12" t="str">
        <f aca="false">IF(A2606="","",COUNTIFS('Weekly Log'!$A:$A,'Grocery List'!$B$3,'Weekly Log'!$C:$C,A2606,'Weekly Log'!$E:$E,"Yes"))</f>
        <v/>
      </c>
      <c r="H2606" s="12" t="str">
        <f aca="false">IF(OR(A2606="",D2606=""),"",D2606*G2606)</f>
        <v/>
      </c>
    </row>
    <row r="2607" customFormat="false" ht="15" hidden="false" customHeight="false" outlineLevel="0" collapsed="false">
      <c r="B2607" s="12" t="str">
        <f aca="false">IF(A2607="","",IFERROR(INDEX(Recipes!$B:$B,MATCH(A2607,Recipes!$A:$A,0)),"⚠ unknown recipe_id"))</f>
        <v/>
      </c>
      <c r="E2607" s="12" t="str">
        <f aca="false">IF(C2607="","",IFERROR(INDEX('Ingredient Catalog'!$C:$C,MATCH(C2607,'Ingredient Catalog'!$A:$A,0)),"⚠ not in catalog"))</f>
        <v/>
      </c>
      <c r="G2607" s="12" t="str">
        <f aca="false">IF(A2607="","",COUNTIFS('Weekly Log'!$A:$A,'Grocery List'!$B$3,'Weekly Log'!$C:$C,A2607,'Weekly Log'!$E:$E,"Yes"))</f>
        <v/>
      </c>
      <c r="H2607" s="12" t="str">
        <f aca="false">IF(OR(A2607="",D2607=""),"",D2607*G2607)</f>
        <v/>
      </c>
    </row>
    <row r="2608" customFormat="false" ht="15" hidden="false" customHeight="false" outlineLevel="0" collapsed="false">
      <c r="B2608" s="12" t="str">
        <f aca="false">IF(A2608="","",IFERROR(INDEX(Recipes!$B:$B,MATCH(A2608,Recipes!$A:$A,0)),"⚠ unknown recipe_id"))</f>
        <v/>
      </c>
      <c r="E2608" s="12" t="str">
        <f aca="false">IF(C2608="","",IFERROR(INDEX('Ingredient Catalog'!$C:$C,MATCH(C2608,'Ingredient Catalog'!$A:$A,0)),"⚠ not in catalog"))</f>
        <v/>
      </c>
      <c r="G2608" s="12" t="str">
        <f aca="false">IF(A2608="","",COUNTIFS('Weekly Log'!$A:$A,'Grocery List'!$B$3,'Weekly Log'!$C:$C,A2608,'Weekly Log'!$E:$E,"Yes"))</f>
        <v/>
      </c>
      <c r="H2608" s="12" t="str">
        <f aca="false">IF(OR(A2608="",D2608=""),"",D2608*G2608)</f>
        <v/>
      </c>
    </row>
    <row r="2609" customFormat="false" ht="15" hidden="false" customHeight="false" outlineLevel="0" collapsed="false">
      <c r="B2609" s="12" t="str">
        <f aca="false">IF(A2609="","",IFERROR(INDEX(Recipes!$B:$B,MATCH(A2609,Recipes!$A:$A,0)),"⚠ unknown recipe_id"))</f>
        <v/>
      </c>
      <c r="E2609" s="12" t="str">
        <f aca="false">IF(C2609="","",IFERROR(INDEX('Ingredient Catalog'!$C:$C,MATCH(C2609,'Ingredient Catalog'!$A:$A,0)),"⚠ not in catalog"))</f>
        <v/>
      </c>
      <c r="G2609" s="12" t="str">
        <f aca="false">IF(A2609="","",COUNTIFS('Weekly Log'!$A:$A,'Grocery List'!$B$3,'Weekly Log'!$C:$C,A2609,'Weekly Log'!$E:$E,"Yes"))</f>
        <v/>
      </c>
      <c r="H2609" s="12" t="str">
        <f aca="false">IF(OR(A2609="",D2609=""),"",D2609*G2609)</f>
        <v/>
      </c>
    </row>
    <row r="2610" customFormat="false" ht="15" hidden="false" customHeight="false" outlineLevel="0" collapsed="false">
      <c r="B2610" s="12" t="str">
        <f aca="false">IF(A2610="","",IFERROR(INDEX(Recipes!$B:$B,MATCH(A2610,Recipes!$A:$A,0)),"⚠ unknown recipe_id"))</f>
        <v/>
      </c>
      <c r="E2610" s="12" t="str">
        <f aca="false">IF(C2610="","",IFERROR(INDEX('Ingredient Catalog'!$C:$C,MATCH(C2610,'Ingredient Catalog'!$A:$A,0)),"⚠ not in catalog"))</f>
        <v/>
      </c>
      <c r="G2610" s="12" t="str">
        <f aca="false">IF(A2610="","",COUNTIFS('Weekly Log'!$A:$A,'Grocery List'!$B$3,'Weekly Log'!$C:$C,A2610,'Weekly Log'!$E:$E,"Yes"))</f>
        <v/>
      </c>
      <c r="H2610" s="12" t="str">
        <f aca="false">IF(OR(A2610="",D2610=""),"",D2610*G2610)</f>
        <v/>
      </c>
    </row>
    <row r="2611" customFormat="false" ht="15" hidden="false" customHeight="false" outlineLevel="0" collapsed="false">
      <c r="B2611" s="12" t="str">
        <f aca="false">IF(A2611="","",IFERROR(INDEX(Recipes!$B:$B,MATCH(A2611,Recipes!$A:$A,0)),"⚠ unknown recipe_id"))</f>
        <v/>
      </c>
      <c r="E2611" s="12" t="str">
        <f aca="false">IF(C2611="","",IFERROR(INDEX('Ingredient Catalog'!$C:$C,MATCH(C2611,'Ingredient Catalog'!$A:$A,0)),"⚠ not in catalog"))</f>
        <v/>
      </c>
      <c r="G2611" s="12" t="str">
        <f aca="false">IF(A2611="","",COUNTIFS('Weekly Log'!$A:$A,'Grocery List'!$B$3,'Weekly Log'!$C:$C,A2611,'Weekly Log'!$E:$E,"Yes"))</f>
        <v/>
      </c>
      <c r="H2611" s="12" t="str">
        <f aca="false">IF(OR(A2611="",D2611=""),"",D2611*G2611)</f>
        <v/>
      </c>
    </row>
    <row r="2612" customFormat="false" ht="15" hidden="false" customHeight="false" outlineLevel="0" collapsed="false">
      <c r="B2612" s="12" t="str">
        <f aca="false">IF(A2612="","",IFERROR(INDEX(Recipes!$B:$B,MATCH(A2612,Recipes!$A:$A,0)),"⚠ unknown recipe_id"))</f>
        <v/>
      </c>
      <c r="E2612" s="12" t="str">
        <f aca="false">IF(C2612="","",IFERROR(INDEX('Ingredient Catalog'!$C:$C,MATCH(C2612,'Ingredient Catalog'!$A:$A,0)),"⚠ not in catalog"))</f>
        <v/>
      </c>
      <c r="G2612" s="12" t="str">
        <f aca="false">IF(A2612="","",COUNTIFS('Weekly Log'!$A:$A,'Grocery List'!$B$3,'Weekly Log'!$C:$C,A2612,'Weekly Log'!$E:$E,"Yes"))</f>
        <v/>
      </c>
      <c r="H2612" s="12" t="str">
        <f aca="false">IF(OR(A2612="",D2612=""),"",D2612*G2612)</f>
        <v/>
      </c>
    </row>
    <row r="2613" customFormat="false" ht="15" hidden="false" customHeight="false" outlineLevel="0" collapsed="false">
      <c r="B2613" s="12" t="str">
        <f aca="false">IF(A2613="","",IFERROR(INDEX(Recipes!$B:$B,MATCH(A2613,Recipes!$A:$A,0)),"⚠ unknown recipe_id"))</f>
        <v/>
      </c>
      <c r="E2613" s="12" t="str">
        <f aca="false">IF(C2613="","",IFERROR(INDEX('Ingredient Catalog'!$C:$C,MATCH(C2613,'Ingredient Catalog'!$A:$A,0)),"⚠ not in catalog"))</f>
        <v/>
      </c>
      <c r="G2613" s="12" t="str">
        <f aca="false">IF(A2613="","",COUNTIFS('Weekly Log'!$A:$A,'Grocery List'!$B$3,'Weekly Log'!$C:$C,A2613,'Weekly Log'!$E:$E,"Yes"))</f>
        <v/>
      </c>
      <c r="H2613" s="12" t="str">
        <f aca="false">IF(OR(A2613="",D2613=""),"",D2613*G2613)</f>
        <v/>
      </c>
    </row>
    <row r="2614" customFormat="false" ht="15" hidden="false" customHeight="false" outlineLevel="0" collapsed="false">
      <c r="B2614" s="12" t="str">
        <f aca="false">IF(A2614="","",IFERROR(INDEX(Recipes!$B:$B,MATCH(A2614,Recipes!$A:$A,0)),"⚠ unknown recipe_id"))</f>
        <v/>
      </c>
      <c r="E2614" s="12" t="str">
        <f aca="false">IF(C2614="","",IFERROR(INDEX('Ingredient Catalog'!$C:$C,MATCH(C2614,'Ingredient Catalog'!$A:$A,0)),"⚠ not in catalog"))</f>
        <v/>
      </c>
      <c r="G2614" s="12" t="str">
        <f aca="false">IF(A2614="","",COUNTIFS('Weekly Log'!$A:$A,'Grocery List'!$B$3,'Weekly Log'!$C:$C,A2614,'Weekly Log'!$E:$E,"Yes"))</f>
        <v/>
      </c>
      <c r="H2614" s="12" t="str">
        <f aca="false">IF(OR(A2614="",D2614=""),"",D2614*G2614)</f>
        <v/>
      </c>
    </row>
    <row r="2615" customFormat="false" ht="15" hidden="false" customHeight="false" outlineLevel="0" collapsed="false">
      <c r="B2615" s="12" t="str">
        <f aca="false">IF(A2615="","",IFERROR(INDEX(Recipes!$B:$B,MATCH(A2615,Recipes!$A:$A,0)),"⚠ unknown recipe_id"))</f>
        <v/>
      </c>
      <c r="E2615" s="12" t="str">
        <f aca="false">IF(C2615="","",IFERROR(INDEX('Ingredient Catalog'!$C:$C,MATCH(C2615,'Ingredient Catalog'!$A:$A,0)),"⚠ not in catalog"))</f>
        <v/>
      </c>
      <c r="G2615" s="12" t="str">
        <f aca="false">IF(A2615="","",COUNTIFS('Weekly Log'!$A:$A,'Grocery List'!$B$3,'Weekly Log'!$C:$C,A2615,'Weekly Log'!$E:$E,"Yes"))</f>
        <v/>
      </c>
      <c r="H2615" s="12" t="str">
        <f aca="false">IF(OR(A2615="",D2615=""),"",D2615*G2615)</f>
        <v/>
      </c>
    </row>
    <row r="2616" customFormat="false" ht="15" hidden="false" customHeight="false" outlineLevel="0" collapsed="false">
      <c r="B2616" s="12" t="str">
        <f aca="false">IF(A2616="","",IFERROR(INDEX(Recipes!$B:$B,MATCH(A2616,Recipes!$A:$A,0)),"⚠ unknown recipe_id"))</f>
        <v/>
      </c>
      <c r="E2616" s="12" t="str">
        <f aca="false">IF(C2616="","",IFERROR(INDEX('Ingredient Catalog'!$C:$C,MATCH(C2616,'Ingredient Catalog'!$A:$A,0)),"⚠ not in catalog"))</f>
        <v/>
      </c>
      <c r="G2616" s="12" t="str">
        <f aca="false">IF(A2616="","",COUNTIFS('Weekly Log'!$A:$A,'Grocery List'!$B$3,'Weekly Log'!$C:$C,A2616,'Weekly Log'!$E:$E,"Yes"))</f>
        <v/>
      </c>
      <c r="H2616" s="12" t="str">
        <f aca="false">IF(OR(A2616="",D2616=""),"",D2616*G2616)</f>
        <v/>
      </c>
    </row>
    <row r="2617" customFormat="false" ht="15" hidden="false" customHeight="false" outlineLevel="0" collapsed="false">
      <c r="B2617" s="12" t="str">
        <f aca="false">IF(A2617="","",IFERROR(INDEX(Recipes!$B:$B,MATCH(A2617,Recipes!$A:$A,0)),"⚠ unknown recipe_id"))</f>
        <v/>
      </c>
      <c r="E2617" s="12" t="str">
        <f aca="false">IF(C2617="","",IFERROR(INDEX('Ingredient Catalog'!$C:$C,MATCH(C2617,'Ingredient Catalog'!$A:$A,0)),"⚠ not in catalog"))</f>
        <v/>
      </c>
      <c r="G2617" s="12" t="str">
        <f aca="false">IF(A2617="","",COUNTIFS('Weekly Log'!$A:$A,'Grocery List'!$B$3,'Weekly Log'!$C:$C,A2617,'Weekly Log'!$E:$E,"Yes"))</f>
        <v/>
      </c>
      <c r="H2617" s="12" t="str">
        <f aca="false">IF(OR(A2617="",D2617=""),"",D2617*G2617)</f>
        <v/>
      </c>
    </row>
    <row r="2618" customFormat="false" ht="15" hidden="false" customHeight="false" outlineLevel="0" collapsed="false">
      <c r="B2618" s="12" t="str">
        <f aca="false">IF(A2618="","",IFERROR(INDEX(Recipes!$B:$B,MATCH(A2618,Recipes!$A:$A,0)),"⚠ unknown recipe_id"))</f>
        <v/>
      </c>
      <c r="E2618" s="12" t="str">
        <f aca="false">IF(C2618="","",IFERROR(INDEX('Ingredient Catalog'!$C:$C,MATCH(C2618,'Ingredient Catalog'!$A:$A,0)),"⚠ not in catalog"))</f>
        <v/>
      </c>
      <c r="G2618" s="12" t="str">
        <f aca="false">IF(A2618="","",COUNTIFS('Weekly Log'!$A:$A,'Grocery List'!$B$3,'Weekly Log'!$C:$C,A2618,'Weekly Log'!$E:$E,"Yes"))</f>
        <v/>
      </c>
      <c r="H2618" s="12" t="str">
        <f aca="false">IF(OR(A2618="",D2618=""),"",D2618*G2618)</f>
        <v/>
      </c>
    </row>
    <row r="2619" customFormat="false" ht="15" hidden="false" customHeight="false" outlineLevel="0" collapsed="false">
      <c r="B2619" s="12" t="str">
        <f aca="false">IF(A2619="","",IFERROR(INDEX(Recipes!$B:$B,MATCH(A2619,Recipes!$A:$A,0)),"⚠ unknown recipe_id"))</f>
        <v/>
      </c>
      <c r="E2619" s="12" t="str">
        <f aca="false">IF(C2619="","",IFERROR(INDEX('Ingredient Catalog'!$C:$C,MATCH(C2619,'Ingredient Catalog'!$A:$A,0)),"⚠ not in catalog"))</f>
        <v/>
      </c>
      <c r="G2619" s="12" t="str">
        <f aca="false">IF(A2619="","",COUNTIFS('Weekly Log'!$A:$A,'Grocery List'!$B$3,'Weekly Log'!$C:$C,A2619,'Weekly Log'!$E:$E,"Yes"))</f>
        <v/>
      </c>
      <c r="H2619" s="12" t="str">
        <f aca="false">IF(OR(A2619="",D2619=""),"",D2619*G2619)</f>
        <v/>
      </c>
    </row>
    <row r="2620" customFormat="false" ht="15" hidden="false" customHeight="false" outlineLevel="0" collapsed="false">
      <c r="B2620" s="12" t="str">
        <f aca="false">IF(A2620="","",IFERROR(INDEX(Recipes!$B:$B,MATCH(A2620,Recipes!$A:$A,0)),"⚠ unknown recipe_id"))</f>
        <v/>
      </c>
      <c r="E2620" s="12" t="str">
        <f aca="false">IF(C2620="","",IFERROR(INDEX('Ingredient Catalog'!$C:$C,MATCH(C2620,'Ingredient Catalog'!$A:$A,0)),"⚠ not in catalog"))</f>
        <v/>
      </c>
      <c r="G2620" s="12" t="str">
        <f aca="false">IF(A2620="","",COUNTIFS('Weekly Log'!$A:$A,'Grocery List'!$B$3,'Weekly Log'!$C:$C,A2620,'Weekly Log'!$E:$E,"Yes"))</f>
        <v/>
      </c>
      <c r="H2620" s="12" t="str">
        <f aca="false">IF(OR(A2620="",D2620=""),"",D2620*G2620)</f>
        <v/>
      </c>
    </row>
    <row r="2621" customFormat="false" ht="15" hidden="false" customHeight="false" outlineLevel="0" collapsed="false">
      <c r="B2621" s="12" t="str">
        <f aca="false">IF(A2621="","",IFERROR(INDEX(Recipes!$B:$B,MATCH(A2621,Recipes!$A:$A,0)),"⚠ unknown recipe_id"))</f>
        <v/>
      </c>
      <c r="E2621" s="12" t="str">
        <f aca="false">IF(C2621="","",IFERROR(INDEX('Ingredient Catalog'!$C:$C,MATCH(C2621,'Ingredient Catalog'!$A:$A,0)),"⚠ not in catalog"))</f>
        <v/>
      </c>
      <c r="G2621" s="12" t="str">
        <f aca="false">IF(A2621="","",COUNTIFS('Weekly Log'!$A:$A,'Grocery List'!$B$3,'Weekly Log'!$C:$C,A2621,'Weekly Log'!$E:$E,"Yes"))</f>
        <v/>
      </c>
      <c r="H2621" s="12" t="str">
        <f aca="false">IF(OR(A2621="",D2621=""),"",D2621*G2621)</f>
        <v/>
      </c>
    </row>
    <row r="2622" customFormat="false" ht="15" hidden="false" customHeight="false" outlineLevel="0" collapsed="false">
      <c r="B2622" s="12" t="str">
        <f aca="false">IF(A2622="","",IFERROR(INDEX(Recipes!$B:$B,MATCH(A2622,Recipes!$A:$A,0)),"⚠ unknown recipe_id"))</f>
        <v/>
      </c>
      <c r="E2622" s="12" t="str">
        <f aca="false">IF(C2622="","",IFERROR(INDEX('Ingredient Catalog'!$C:$C,MATCH(C2622,'Ingredient Catalog'!$A:$A,0)),"⚠ not in catalog"))</f>
        <v/>
      </c>
      <c r="G2622" s="12" t="str">
        <f aca="false">IF(A2622="","",COUNTIFS('Weekly Log'!$A:$A,'Grocery List'!$B$3,'Weekly Log'!$C:$C,A2622,'Weekly Log'!$E:$E,"Yes"))</f>
        <v/>
      </c>
      <c r="H2622" s="12" t="str">
        <f aca="false">IF(OR(A2622="",D2622=""),"",D2622*G2622)</f>
        <v/>
      </c>
    </row>
    <row r="2623" customFormat="false" ht="15" hidden="false" customHeight="false" outlineLevel="0" collapsed="false">
      <c r="B2623" s="12" t="str">
        <f aca="false">IF(A2623="","",IFERROR(INDEX(Recipes!$B:$B,MATCH(A2623,Recipes!$A:$A,0)),"⚠ unknown recipe_id"))</f>
        <v/>
      </c>
      <c r="E2623" s="12" t="str">
        <f aca="false">IF(C2623="","",IFERROR(INDEX('Ingredient Catalog'!$C:$C,MATCH(C2623,'Ingredient Catalog'!$A:$A,0)),"⚠ not in catalog"))</f>
        <v/>
      </c>
      <c r="G2623" s="12" t="str">
        <f aca="false">IF(A2623="","",COUNTIFS('Weekly Log'!$A:$A,'Grocery List'!$B$3,'Weekly Log'!$C:$C,A2623,'Weekly Log'!$E:$E,"Yes"))</f>
        <v/>
      </c>
      <c r="H2623" s="12" t="str">
        <f aca="false">IF(OR(A2623="",D2623=""),"",D2623*G2623)</f>
        <v/>
      </c>
    </row>
    <row r="2624" customFormat="false" ht="15" hidden="false" customHeight="false" outlineLevel="0" collapsed="false">
      <c r="B2624" s="12" t="str">
        <f aca="false">IF(A2624="","",IFERROR(INDEX(Recipes!$B:$B,MATCH(A2624,Recipes!$A:$A,0)),"⚠ unknown recipe_id"))</f>
        <v/>
      </c>
      <c r="E2624" s="12" t="str">
        <f aca="false">IF(C2624="","",IFERROR(INDEX('Ingredient Catalog'!$C:$C,MATCH(C2624,'Ingredient Catalog'!$A:$A,0)),"⚠ not in catalog"))</f>
        <v/>
      </c>
      <c r="G2624" s="12" t="str">
        <f aca="false">IF(A2624="","",COUNTIFS('Weekly Log'!$A:$A,'Grocery List'!$B$3,'Weekly Log'!$C:$C,A2624,'Weekly Log'!$E:$E,"Yes"))</f>
        <v/>
      </c>
      <c r="H2624" s="12" t="str">
        <f aca="false">IF(OR(A2624="",D2624=""),"",D2624*G2624)</f>
        <v/>
      </c>
    </row>
    <row r="2625" customFormat="false" ht="15" hidden="false" customHeight="false" outlineLevel="0" collapsed="false">
      <c r="B2625" s="12" t="str">
        <f aca="false">IF(A2625="","",IFERROR(INDEX(Recipes!$B:$B,MATCH(A2625,Recipes!$A:$A,0)),"⚠ unknown recipe_id"))</f>
        <v/>
      </c>
      <c r="E2625" s="12" t="str">
        <f aca="false">IF(C2625="","",IFERROR(INDEX('Ingredient Catalog'!$C:$C,MATCH(C2625,'Ingredient Catalog'!$A:$A,0)),"⚠ not in catalog"))</f>
        <v/>
      </c>
      <c r="G2625" s="12" t="str">
        <f aca="false">IF(A2625="","",COUNTIFS('Weekly Log'!$A:$A,'Grocery List'!$B$3,'Weekly Log'!$C:$C,A2625,'Weekly Log'!$E:$E,"Yes"))</f>
        <v/>
      </c>
      <c r="H2625" s="12" t="str">
        <f aca="false">IF(OR(A2625="",D2625=""),"",D2625*G2625)</f>
        <v/>
      </c>
    </row>
    <row r="2626" customFormat="false" ht="15" hidden="false" customHeight="false" outlineLevel="0" collapsed="false">
      <c r="B2626" s="12" t="str">
        <f aca="false">IF(A2626="","",IFERROR(INDEX(Recipes!$B:$B,MATCH(A2626,Recipes!$A:$A,0)),"⚠ unknown recipe_id"))</f>
        <v/>
      </c>
      <c r="E2626" s="12" t="str">
        <f aca="false">IF(C2626="","",IFERROR(INDEX('Ingredient Catalog'!$C:$C,MATCH(C2626,'Ingredient Catalog'!$A:$A,0)),"⚠ not in catalog"))</f>
        <v/>
      </c>
      <c r="G2626" s="12" t="str">
        <f aca="false">IF(A2626="","",COUNTIFS('Weekly Log'!$A:$A,'Grocery List'!$B$3,'Weekly Log'!$C:$C,A2626,'Weekly Log'!$E:$E,"Yes"))</f>
        <v/>
      </c>
      <c r="H2626" s="12" t="str">
        <f aca="false">IF(OR(A2626="",D2626=""),"",D2626*G2626)</f>
        <v/>
      </c>
    </row>
    <row r="2627" customFormat="false" ht="15" hidden="false" customHeight="false" outlineLevel="0" collapsed="false">
      <c r="B2627" s="12" t="str">
        <f aca="false">IF(A2627="","",IFERROR(INDEX(Recipes!$B:$B,MATCH(A2627,Recipes!$A:$A,0)),"⚠ unknown recipe_id"))</f>
        <v/>
      </c>
      <c r="E2627" s="12" t="str">
        <f aca="false">IF(C2627="","",IFERROR(INDEX('Ingredient Catalog'!$C:$C,MATCH(C2627,'Ingredient Catalog'!$A:$A,0)),"⚠ not in catalog"))</f>
        <v/>
      </c>
      <c r="G2627" s="12" t="str">
        <f aca="false">IF(A2627="","",COUNTIFS('Weekly Log'!$A:$A,'Grocery List'!$B$3,'Weekly Log'!$C:$C,A2627,'Weekly Log'!$E:$E,"Yes"))</f>
        <v/>
      </c>
      <c r="H2627" s="12" t="str">
        <f aca="false">IF(OR(A2627="",D2627=""),"",D2627*G2627)</f>
        <v/>
      </c>
    </row>
    <row r="2628" customFormat="false" ht="15" hidden="false" customHeight="false" outlineLevel="0" collapsed="false">
      <c r="B2628" s="12" t="str">
        <f aca="false">IF(A2628="","",IFERROR(INDEX(Recipes!$B:$B,MATCH(A2628,Recipes!$A:$A,0)),"⚠ unknown recipe_id"))</f>
        <v/>
      </c>
      <c r="E2628" s="12" t="str">
        <f aca="false">IF(C2628="","",IFERROR(INDEX('Ingredient Catalog'!$C:$C,MATCH(C2628,'Ingredient Catalog'!$A:$A,0)),"⚠ not in catalog"))</f>
        <v/>
      </c>
      <c r="G2628" s="12" t="str">
        <f aca="false">IF(A2628="","",COUNTIFS('Weekly Log'!$A:$A,'Grocery List'!$B$3,'Weekly Log'!$C:$C,A2628,'Weekly Log'!$E:$E,"Yes"))</f>
        <v/>
      </c>
      <c r="H2628" s="12" t="str">
        <f aca="false">IF(OR(A2628="",D2628=""),"",D2628*G2628)</f>
        <v/>
      </c>
    </row>
    <row r="2629" customFormat="false" ht="15" hidden="false" customHeight="false" outlineLevel="0" collapsed="false">
      <c r="B2629" s="12" t="str">
        <f aca="false">IF(A2629="","",IFERROR(INDEX(Recipes!$B:$B,MATCH(A2629,Recipes!$A:$A,0)),"⚠ unknown recipe_id"))</f>
        <v/>
      </c>
      <c r="E2629" s="12" t="str">
        <f aca="false">IF(C2629="","",IFERROR(INDEX('Ingredient Catalog'!$C:$C,MATCH(C2629,'Ingredient Catalog'!$A:$A,0)),"⚠ not in catalog"))</f>
        <v/>
      </c>
      <c r="G2629" s="12" t="str">
        <f aca="false">IF(A2629="","",COUNTIFS('Weekly Log'!$A:$A,'Grocery List'!$B$3,'Weekly Log'!$C:$C,A2629,'Weekly Log'!$E:$E,"Yes"))</f>
        <v/>
      </c>
      <c r="H2629" s="12" t="str">
        <f aca="false">IF(OR(A2629="",D2629=""),"",D2629*G2629)</f>
        <v/>
      </c>
    </row>
    <row r="2630" customFormat="false" ht="15" hidden="false" customHeight="false" outlineLevel="0" collapsed="false">
      <c r="B2630" s="12" t="str">
        <f aca="false">IF(A2630="","",IFERROR(INDEX(Recipes!$B:$B,MATCH(A2630,Recipes!$A:$A,0)),"⚠ unknown recipe_id"))</f>
        <v/>
      </c>
      <c r="E2630" s="12" t="str">
        <f aca="false">IF(C2630="","",IFERROR(INDEX('Ingredient Catalog'!$C:$C,MATCH(C2630,'Ingredient Catalog'!$A:$A,0)),"⚠ not in catalog"))</f>
        <v/>
      </c>
      <c r="G2630" s="12" t="str">
        <f aca="false">IF(A2630="","",COUNTIFS('Weekly Log'!$A:$A,'Grocery List'!$B$3,'Weekly Log'!$C:$C,A2630,'Weekly Log'!$E:$E,"Yes"))</f>
        <v/>
      </c>
      <c r="H2630" s="12" t="str">
        <f aca="false">IF(OR(A2630="",D2630=""),"",D2630*G2630)</f>
        <v/>
      </c>
    </row>
    <row r="2631" customFormat="false" ht="15" hidden="false" customHeight="false" outlineLevel="0" collapsed="false">
      <c r="B2631" s="12" t="str">
        <f aca="false">IF(A2631="","",IFERROR(INDEX(Recipes!$B:$B,MATCH(A2631,Recipes!$A:$A,0)),"⚠ unknown recipe_id"))</f>
        <v/>
      </c>
      <c r="E2631" s="12" t="str">
        <f aca="false">IF(C2631="","",IFERROR(INDEX('Ingredient Catalog'!$C:$C,MATCH(C2631,'Ingredient Catalog'!$A:$A,0)),"⚠ not in catalog"))</f>
        <v/>
      </c>
      <c r="G2631" s="12" t="str">
        <f aca="false">IF(A2631="","",COUNTIFS('Weekly Log'!$A:$A,'Grocery List'!$B$3,'Weekly Log'!$C:$C,A2631,'Weekly Log'!$E:$E,"Yes"))</f>
        <v/>
      </c>
      <c r="H2631" s="12" t="str">
        <f aca="false">IF(OR(A2631="",D2631=""),"",D2631*G2631)</f>
        <v/>
      </c>
    </row>
    <row r="2632" customFormat="false" ht="15" hidden="false" customHeight="false" outlineLevel="0" collapsed="false">
      <c r="B2632" s="12" t="str">
        <f aca="false">IF(A2632="","",IFERROR(INDEX(Recipes!$B:$B,MATCH(A2632,Recipes!$A:$A,0)),"⚠ unknown recipe_id"))</f>
        <v/>
      </c>
      <c r="E2632" s="12" t="str">
        <f aca="false">IF(C2632="","",IFERROR(INDEX('Ingredient Catalog'!$C:$C,MATCH(C2632,'Ingredient Catalog'!$A:$A,0)),"⚠ not in catalog"))</f>
        <v/>
      </c>
      <c r="G2632" s="12" t="str">
        <f aca="false">IF(A2632="","",COUNTIFS('Weekly Log'!$A:$A,'Grocery List'!$B$3,'Weekly Log'!$C:$C,A2632,'Weekly Log'!$E:$E,"Yes"))</f>
        <v/>
      </c>
      <c r="H2632" s="12" t="str">
        <f aca="false">IF(OR(A2632="",D2632=""),"",D2632*G2632)</f>
        <v/>
      </c>
    </row>
    <row r="2633" customFormat="false" ht="15" hidden="false" customHeight="false" outlineLevel="0" collapsed="false">
      <c r="B2633" s="12" t="str">
        <f aca="false">IF(A2633="","",IFERROR(INDEX(Recipes!$B:$B,MATCH(A2633,Recipes!$A:$A,0)),"⚠ unknown recipe_id"))</f>
        <v/>
      </c>
      <c r="E2633" s="12" t="str">
        <f aca="false">IF(C2633="","",IFERROR(INDEX('Ingredient Catalog'!$C:$C,MATCH(C2633,'Ingredient Catalog'!$A:$A,0)),"⚠ not in catalog"))</f>
        <v/>
      </c>
      <c r="G2633" s="12" t="str">
        <f aca="false">IF(A2633="","",COUNTIFS('Weekly Log'!$A:$A,'Grocery List'!$B$3,'Weekly Log'!$C:$C,A2633,'Weekly Log'!$E:$E,"Yes"))</f>
        <v/>
      </c>
      <c r="H2633" s="12" t="str">
        <f aca="false">IF(OR(A2633="",D2633=""),"",D2633*G2633)</f>
        <v/>
      </c>
    </row>
    <row r="2634" customFormat="false" ht="15" hidden="false" customHeight="false" outlineLevel="0" collapsed="false">
      <c r="B2634" s="12" t="str">
        <f aca="false">IF(A2634="","",IFERROR(INDEX(Recipes!$B:$B,MATCH(A2634,Recipes!$A:$A,0)),"⚠ unknown recipe_id"))</f>
        <v/>
      </c>
      <c r="E2634" s="12" t="str">
        <f aca="false">IF(C2634="","",IFERROR(INDEX('Ingredient Catalog'!$C:$C,MATCH(C2634,'Ingredient Catalog'!$A:$A,0)),"⚠ not in catalog"))</f>
        <v/>
      </c>
      <c r="G2634" s="12" t="str">
        <f aca="false">IF(A2634="","",COUNTIFS('Weekly Log'!$A:$A,'Grocery List'!$B$3,'Weekly Log'!$C:$C,A2634,'Weekly Log'!$E:$E,"Yes"))</f>
        <v/>
      </c>
      <c r="H2634" s="12" t="str">
        <f aca="false">IF(OR(A2634="",D2634=""),"",D2634*G2634)</f>
        <v/>
      </c>
    </row>
    <row r="2635" customFormat="false" ht="15" hidden="false" customHeight="false" outlineLevel="0" collapsed="false">
      <c r="B2635" s="12" t="str">
        <f aca="false">IF(A2635="","",IFERROR(INDEX(Recipes!$B:$B,MATCH(A2635,Recipes!$A:$A,0)),"⚠ unknown recipe_id"))</f>
        <v/>
      </c>
      <c r="E2635" s="12" t="str">
        <f aca="false">IF(C2635="","",IFERROR(INDEX('Ingredient Catalog'!$C:$C,MATCH(C2635,'Ingredient Catalog'!$A:$A,0)),"⚠ not in catalog"))</f>
        <v/>
      </c>
      <c r="G2635" s="12" t="str">
        <f aca="false">IF(A2635="","",COUNTIFS('Weekly Log'!$A:$A,'Grocery List'!$B$3,'Weekly Log'!$C:$C,A2635,'Weekly Log'!$E:$E,"Yes"))</f>
        <v/>
      </c>
      <c r="H2635" s="12" t="str">
        <f aca="false">IF(OR(A2635="",D2635=""),"",D2635*G2635)</f>
        <v/>
      </c>
    </row>
    <row r="2636" customFormat="false" ht="15" hidden="false" customHeight="false" outlineLevel="0" collapsed="false">
      <c r="B2636" s="12" t="str">
        <f aca="false">IF(A2636="","",IFERROR(INDEX(Recipes!$B:$B,MATCH(A2636,Recipes!$A:$A,0)),"⚠ unknown recipe_id"))</f>
        <v/>
      </c>
      <c r="E2636" s="12" t="str">
        <f aca="false">IF(C2636="","",IFERROR(INDEX('Ingredient Catalog'!$C:$C,MATCH(C2636,'Ingredient Catalog'!$A:$A,0)),"⚠ not in catalog"))</f>
        <v/>
      </c>
      <c r="G2636" s="12" t="str">
        <f aca="false">IF(A2636="","",COUNTIFS('Weekly Log'!$A:$A,'Grocery List'!$B$3,'Weekly Log'!$C:$C,A2636,'Weekly Log'!$E:$E,"Yes"))</f>
        <v/>
      </c>
      <c r="H2636" s="12" t="str">
        <f aca="false">IF(OR(A2636="",D2636=""),"",D2636*G2636)</f>
        <v/>
      </c>
    </row>
    <row r="2637" customFormat="false" ht="15" hidden="false" customHeight="false" outlineLevel="0" collapsed="false">
      <c r="B2637" s="12" t="str">
        <f aca="false">IF(A2637="","",IFERROR(INDEX(Recipes!$B:$B,MATCH(A2637,Recipes!$A:$A,0)),"⚠ unknown recipe_id"))</f>
        <v/>
      </c>
      <c r="E2637" s="12" t="str">
        <f aca="false">IF(C2637="","",IFERROR(INDEX('Ingredient Catalog'!$C:$C,MATCH(C2637,'Ingredient Catalog'!$A:$A,0)),"⚠ not in catalog"))</f>
        <v/>
      </c>
      <c r="G2637" s="12" t="str">
        <f aca="false">IF(A2637="","",COUNTIFS('Weekly Log'!$A:$A,'Grocery List'!$B$3,'Weekly Log'!$C:$C,A2637,'Weekly Log'!$E:$E,"Yes"))</f>
        <v/>
      </c>
      <c r="H2637" s="12" t="str">
        <f aca="false">IF(OR(A2637="",D2637=""),"",D2637*G2637)</f>
        <v/>
      </c>
    </row>
    <row r="2638" customFormat="false" ht="15" hidden="false" customHeight="false" outlineLevel="0" collapsed="false">
      <c r="B2638" s="12" t="str">
        <f aca="false">IF(A2638="","",IFERROR(INDEX(Recipes!$B:$B,MATCH(A2638,Recipes!$A:$A,0)),"⚠ unknown recipe_id"))</f>
        <v/>
      </c>
      <c r="E2638" s="12" t="str">
        <f aca="false">IF(C2638="","",IFERROR(INDEX('Ingredient Catalog'!$C:$C,MATCH(C2638,'Ingredient Catalog'!$A:$A,0)),"⚠ not in catalog"))</f>
        <v/>
      </c>
      <c r="G2638" s="12" t="str">
        <f aca="false">IF(A2638="","",COUNTIFS('Weekly Log'!$A:$A,'Grocery List'!$B$3,'Weekly Log'!$C:$C,A2638,'Weekly Log'!$E:$E,"Yes"))</f>
        <v/>
      </c>
      <c r="H2638" s="12" t="str">
        <f aca="false">IF(OR(A2638="",D2638=""),"",D2638*G2638)</f>
        <v/>
      </c>
    </row>
    <row r="2639" customFormat="false" ht="15" hidden="false" customHeight="false" outlineLevel="0" collapsed="false">
      <c r="B2639" s="12" t="str">
        <f aca="false">IF(A2639="","",IFERROR(INDEX(Recipes!$B:$B,MATCH(A2639,Recipes!$A:$A,0)),"⚠ unknown recipe_id"))</f>
        <v/>
      </c>
      <c r="E2639" s="12" t="str">
        <f aca="false">IF(C2639="","",IFERROR(INDEX('Ingredient Catalog'!$C:$C,MATCH(C2639,'Ingredient Catalog'!$A:$A,0)),"⚠ not in catalog"))</f>
        <v/>
      </c>
      <c r="G2639" s="12" t="str">
        <f aca="false">IF(A2639="","",COUNTIFS('Weekly Log'!$A:$A,'Grocery List'!$B$3,'Weekly Log'!$C:$C,A2639,'Weekly Log'!$E:$E,"Yes"))</f>
        <v/>
      </c>
      <c r="H2639" s="12" t="str">
        <f aca="false">IF(OR(A2639="",D2639=""),"",D2639*G2639)</f>
        <v/>
      </c>
    </row>
    <row r="2640" customFormat="false" ht="15" hidden="false" customHeight="false" outlineLevel="0" collapsed="false">
      <c r="B2640" s="12" t="str">
        <f aca="false">IF(A2640="","",IFERROR(INDEX(Recipes!$B:$B,MATCH(A2640,Recipes!$A:$A,0)),"⚠ unknown recipe_id"))</f>
        <v/>
      </c>
      <c r="E2640" s="12" t="str">
        <f aca="false">IF(C2640="","",IFERROR(INDEX('Ingredient Catalog'!$C:$C,MATCH(C2640,'Ingredient Catalog'!$A:$A,0)),"⚠ not in catalog"))</f>
        <v/>
      </c>
      <c r="G2640" s="12" t="str">
        <f aca="false">IF(A2640="","",COUNTIFS('Weekly Log'!$A:$A,'Grocery List'!$B$3,'Weekly Log'!$C:$C,A2640,'Weekly Log'!$E:$E,"Yes"))</f>
        <v/>
      </c>
      <c r="H2640" s="12" t="str">
        <f aca="false">IF(OR(A2640="",D2640=""),"",D2640*G2640)</f>
        <v/>
      </c>
    </row>
    <row r="2641" customFormat="false" ht="15" hidden="false" customHeight="false" outlineLevel="0" collapsed="false">
      <c r="B2641" s="12" t="str">
        <f aca="false">IF(A2641="","",IFERROR(INDEX(Recipes!$B:$B,MATCH(A2641,Recipes!$A:$A,0)),"⚠ unknown recipe_id"))</f>
        <v/>
      </c>
      <c r="E2641" s="12" t="str">
        <f aca="false">IF(C2641="","",IFERROR(INDEX('Ingredient Catalog'!$C:$C,MATCH(C2641,'Ingredient Catalog'!$A:$A,0)),"⚠ not in catalog"))</f>
        <v/>
      </c>
      <c r="G2641" s="12" t="str">
        <f aca="false">IF(A2641="","",COUNTIFS('Weekly Log'!$A:$A,'Grocery List'!$B$3,'Weekly Log'!$C:$C,A2641,'Weekly Log'!$E:$E,"Yes"))</f>
        <v/>
      </c>
      <c r="H2641" s="12" t="str">
        <f aca="false">IF(OR(A2641="",D2641=""),"",D2641*G2641)</f>
        <v/>
      </c>
    </row>
    <row r="2642" customFormat="false" ht="15" hidden="false" customHeight="false" outlineLevel="0" collapsed="false">
      <c r="B2642" s="12" t="str">
        <f aca="false">IF(A2642="","",IFERROR(INDEX(Recipes!$B:$B,MATCH(A2642,Recipes!$A:$A,0)),"⚠ unknown recipe_id"))</f>
        <v/>
      </c>
      <c r="E2642" s="12" t="str">
        <f aca="false">IF(C2642="","",IFERROR(INDEX('Ingredient Catalog'!$C:$C,MATCH(C2642,'Ingredient Catalog'!$A:$A,0)),"⚠ not in catalog"))</f>
        <v/>
      </c>
      <c r="G2642" s="12" t="str">
        <f aca="false">IF(A2642="","",COUNTIFS('Weekly Log'!$A:$A,'Grocery List'!$B$3,'Weekly Log'!$C:$C,A2642,'Weekly Log'!$E:$E,"Yes"))</f>
        <v/>
      </c>
      <c r="H2642" s="12" t="str">
        <f aca="false">IF(OR(A2642="",D2642=""),"",D2642*G2642)</f>
        <v/>
      </c>
    </row>
    <row r="2643" customFormat="false" ht="15" hidden="false" customHeight="false" outlineLevel="0" collapsed="false">
      <c r="B2643" s="12" t="str">
        <f aca="false">IF(A2643="","",IFERROR(INDEX(Recipes!$B:$B,MATCH(A2643,Recipes!$A:$A,0)),"⚠ unknown recipe_id"))</f>
        <v/>
      </c>
      <c r="E2643" s="12" t="str">
        <f aca="false">IF(C2643="","",IFERROR(INDEX('Ingredient Catalog'!$C:$C,MATCH(C2643,'Ingredient Catalog'!$A:$A,0)),"⚠ not in catalog"))</f>
        <v/>
      </c>
      <c r="G2643" s="12" t="str">
        <f aca="false">IF(A2643="","",COUNTIFS('Weekly Log'!$A:$A,'Grocery List'!$B$3,'Weekly Log'!$C:$C,A2643,'Weekly Log'!$E:$E,"Yes"))</f>
        <v/>
      </c>
      <c r="H2643" s="12" t="str">
        <f aca="false">IF(OR(A2643="",D2643=""),"",D2643*G2643)</f>
        <v/>
      </c>
    </row>
    <row r="2644" customFormat="false" ht="15" hidden="false" customHeight="false" outlineLevel="0" collapsed="false">
      <c r="B2644" s="12" t="str">
        <f aca="false">IF(A2644="","",IFERROR(INDEX(Recipes!$B:$B,MATCH(A2644,Recipes!$A:$A,0)),"⚠ unknown recipe_id"))</f>
        <v/>
      </c>
      <c r="E2644" s="12" t="str">
        <f aca="false">IF(C2644="","",IFERROR(INDEX('Ingredient Catalog'!$C:$C,MATCH(C2644,'Ingredient Catalog'!$A:$A,0)),"⚠ not in catalog"))</f>
        <v/>
      </c>
      <c r="G2644" s="12" t="str">
        <f aca="false">IF(A2644="","",COUNTIFS('Weekly Log'!$A:$A,'Grocery List'!$B$3,'Weekly Log'!$C:$C,A2644,'Weekly Log'!$E:$E,"Yes"))</f>
        <v/>
      </c>
      <c r="H2644" s="12" t="str">
        <f aca="false">IF(OR(A2644="",D2644=""),"",D2644*G2644)</f>
        <v/>
      </c>
    </row>
    <row r="2645" customFormat="false" ht="15" hidden="false" customHeight="false" outlineLevel="0" collapsed="false">
      <c r="B2645" s="12" t="str">
        <f aca="false">IF(A2645="","",IFERROR(INDEX(Recipes!$B:$B,MATCH(A2645,Recipes!$A:$A,0)),"⚠ unknown recipe_id"))</f>
        <v/>
      </c>
      <c r="E2645" s="12" t="str">
        <f aca="false">IF(C2645="","",IFERROR(INDEX('Ingredient Catalog'!$C:$C,MATCH(C2645,'Ingredient Catalog'!$A:$A,0)),"⚠ not in catalog"))</f>
        <v/>
      </c>
      <c r="G2645" s="12" t="str">
        <f aca="false">IF(A2645="","",COUNTIFS('Weekly Log'!$A:$A,'Grocery List'!$B$3,'Weekly Log'!$C:$C,A2645,'Weekly Log'!$E:$E,"Yes"))</f>
        <v/>
      </c>
      <c r="H2645" s="12" t="str">
        <f aca="false">IF(OR(A2645="",D2645=""),"",D2645*G2645)</f>
        <v/>
      </c>
    </row>
    <row r="2646" customFormat="false" ht="15" hidden="false" customHeight="false" outlineLevel="0" collapsed="false">
      <c r="B2646" s="12" t="str">
        <f aca="false">IF(A2646="","",IFERROR(INDEX(Recipes!$B:$B,MATCH(A2646,Recipes!$A:$A,0)),"⚠ unknown recipe_id"))</f>
        <v/>
      </c>
      <c r="E2646" s="12" t="str">
        <f aca="false">IF(C2646="","",IFERROR(INDEX('Ingredient Catalog'!$C:$C,MATCH(C2646,'Ingredient Catalog'!$A:$A,0)),"⚠ not in catalog"))</f>
        <v/>
      </c>
      <c r="G2646" s="12" t="str">
        <f aca="false">IF(A2646="","",COUNTIFS('Weekly Log'!$A:$A,'Grocery List'!$B$3,'Weekly Log'!$C:$C,A2646,'Weekly Log'!$E:$E,"Yes"))</f>
        <v/>
      </c>
      <c r="H2646" s="12" t="str">
        <f aca="false">IF(OR(A2646="",D2646=""),"",D2646*G2646)</f>
        <v/>
      </c>
    </row>
    <row r="2647" customFormat="false" ht="15" hidden="false" customHeight="false" outlineLevel="0" collapsed="false">
      <c r="B2647" s="12" t="str">
        <f aca="false">IF(A2647="","",IFERROR(INDEX(Recipes!$B:$B,MATCH(A2647,Recipes!$A:$A,0)),"⚠ unknown recipe_id"))</f>
        <v/>
      </c>
      <c r="E2647" s="12" t="str">
        <f aca="false">IF(C2647="","",IFERROR(INDEX('Ingredient Catalog'!$C:$C,MATCH(C2647,'Ingredient Catalog'!$A:$A,0)),"⚠ not in catalog"))</f>
        <v/>
      </c>
      <c r="G2647" s="12" t="str">
        <f aca="false">IF(A2647="","",COUNTIFS('Weekly Log'!$A:$A,'Grocery List'!$B$3,'Weekly Log'!$C:$C,A2647,'Weekly Log'!$E:$E,"Yes"))</f>
        <v/>
      </c>
      <c r="H2647" s="12" t="str">
        <f aca="false">IF(OR(A2647="",D2647=""),"",D2647*G2647)</f>
        <v/>
      </c>
    </row>
    <row r="2648" customFormat="false" ht="15" hidden="false" customHeight="false" outlineLevel="0" collapsed="false">
      <c r="B2648" s="12" t="str">
        <f aca="false">IF(A2648="","",IFERROR(INDEX(Recipes!$B:$B,MATCH(A2648,Recipes!$A:$A,0)),"⚠ unknown recipe_id"))</f>
        <v/>
      </c>
      <c r="E2648" s="12" t="str">
        <f aca="false">IF(C2648="","",IFERROR(INDEX('Ingredient Catalog'!$C:$C,MATCH(C2648,'Ingredient Catalog'!$A:$A,0)),"⚠ not in catalog"))</f>
        <v/>
      </c>
      <c r="G2648" s="12" t="str">
        <f aca="false">IF(A2648="","",COUNTIFS('Weekly Log'!$A:$A,'Grocery List'!$B$3,'Weekly Log'!$C:$C,A2648,'Weekly Log'!$E:$E,"Yes"))</f>
        <v/>
      </c>
      <c r="H2648" s="12" t="str">
        <f aca="false">IF(OR(A2648="",D2648=""),"",D2648*G2648)</f>
        <v/>
      </c>
    </row>
    <row r="2649" customFormat="false" ht="15" hidden="false" customHeight="false" outlineLevel="0" collapsed="false">
      <c r="B2649" s="12" t="str">
        <f aca="false">IF(A2649="","",IFERROR(INDEX(Recipes!$B:$B,MATCH(A2649,Recipes!$A:$A,0)),"⚠ unknown recipe_id"))</f>
        <v/>
      </c>
      <c r="E2649" s="12" t="str">
        <f aca="false">IF(C2649="","",IFERROR(INDEX('Ingredient Catalog'!$C:$C,MATCH(C2649,'Ingredient Catalog'!$A:$A,0)),"⚠ not in catalog"))</f>
        <v/>
      </c>
      <c r="G2649" s="12" t="str">
        <f aca="false">IF(A2649="","",COUNTIFS('Weekly Log'!$A:$A,'Grocery List'!$B$3,'Weekly Log'!$C:$C,A2649,'Weekly Log'!$E:$E,"Yes"))</f>
        <v/>
      </c>
      <c r="H2649" s="12" t="str">
        <f aca="false">IF(OR(A2649="",D2649=""),"",D2649*G2649)</f>
        <v/>
      </c>
    </row>
    <row r="2650" customFormat="false" ht="15" hidden="false" customHeight="false" outlineLevel="0" collapsed="false">
      <c r="B2650" s="12" t="str">
        <f aca="false">IF(A2650="","",IFERROR(INDEX(Recipes!$B:$B,MATCH(A2650,Recipes!$A:$A,0)),"⚠ unknown recipe_id"))</f>
        <v/>
      </c>
      <c r="E2650" s="12" t="str">
        <f aca="false">IF(C2650="","",IFERROR(INDEX('Ingredient Catalog'!$C:$C,MATCH(C2650,'Ingredient Catalog'!$A:$A,0)),"⚠ not in catalog"))</f>
        <v/>
      </c>
      <c r="G2650" s="12" t="str">
        <f aca="false">IF(A2650="","",COUNTIFS('Weekly Log'!$A:$A,'Grocery List'!$B$3,'Weekly Log'!$C:$C,A2650,'Weekly Log'!$E:$E,"Yes"))</f>
        <v/>
      </c>
      <c r="H2650" s="12" t="str">
        <f aca="false">IF(OR(A2650="",D2650=""),"",D2650*G2650)</f>
        <v/>
      </c>
    </row>
    <row r="2651" customFormat="false" ht="15" hidden="false" customHeight="false" outlineLevel="0" collapsed="false">
      <c r="B2651" s="12" t="str">
        <f aca="false">IF(A2651="","",IFERROR(INDEX(Recipes!$B:$B,MATCH(A2651,Recipes!$A:$A,0)),"⚠ unknown recipe_id"))</f>
        <v/>
      </c>
      <c r="E2651" s="12" t="str">
        <f aca="false">IF(C2651="","",IFERROR(INDEX('Ingredient Catalog'!$C:$C,MATCH(C2651,'Ingredient Catalog'!$A:$A,0)),"⚠ not in catalog"))</f>
        <v/>
      </c>
      <c r="G2651" s="12" t="str">
        <f aca="false">IF(A2651="","",COUNTIFS('Weekly Log'!$A:$A,'Grocery List'!$B$3,'Weekly Log'!$C:$C,A2651,'Weekly Log'!$E:$E,"Yes"))</f>
        <v/>
      </c>
      <c r="H2651" s="12" t="str">
        <f aca="false">IF(OR(A2651="",D2651=""),"",D2651*G2651)</f>
        <v/>
      </c>
    </row>
    <row r="2652" customFormat="false" ht="15" hidden="false" customHeight="false" outlineLevel="0" collapsed="false">
      <c r="B2652" s="12" t="str">
        <f aca="false">IF(A2652="","",IFERROR(INDEX(Recipes!$B:$B,MATCH(A2652,Recipes!$A:$A,0)),"⚠ unknown recipe_id"))</f>
        <v/>
      </c>
      <c r="E2652" s="12" t="str">
        <f aca="false">IF(C2652="","",IFERROR(INDEX('Ingredient Catalog'!$C:$C,MATCH(C2652,'Ingredient Catalog'!$A:$A,0)),"⚠ not in catalog"))</f>
        <v/>
      </c>
      <c r="G2652" s="12" t="str">
        <f aca="false">IF(A2652="","",COUNTIFS('Weekly Log'!$A:$A,'Grocery List'!$B$3,'Weekly Log'!$C:$C,A2652,'Weekly Log'!$E:$E,"Yes"))</f>
        <v/>
      </c>
      <c r="H2652" s="12" t="str">
        <f aca="false">IF(OR(A2652="",D2652=""),"",D2652*G2652)</f>
        <v/>
      </c>
    </row>
    <row r="2653" customFormat="false" ht="15" hidden="false" customHeight="false" outlineLevel="0" collapsed="false">
      <c r="B2653" s="12" t="str">
        <f aca="false">IF(A2653="","",IFERROR(INDEX(Recipes!$B:$B,MATCH(A2653,Recipes!$A:$A,0)),"⚠ unknown recipe_id"))</f>
        <v/>
      </c>
      <c r="E2653" s="12" t="str">
        <f aca="false">IF(C2653="","",IFERROR(INDEX('Ingredient Catalog'!$C:$C,MATCH(C2653,'Ingredient Catalog'!$A:$A,0)),"⚠ not in catalog"))</f>
        <v/>
      </c>
      <c r="G2653" s="12" t="str">
        <f aca="false">IF(A2653="","",COUNTIFS('Weekly Log'!$A:$A,'Grocery List'!$B$3,'Weekly Log'!$C:$C,A2653,'Weekly Log'!$E:$E,"Yes"))</f>
        <v/>
      </c>
      <c r="H2653" s="12" t="str">
        <f aca="false">IF(OR(A2653="",D2653=""),"",D2653*G2653)</f>
        <v/>
      </c>
    </row>
    <row r="2654" customFormat="false" ht="15" hidden="false" customHeight="false" outlineLevel="0" collapsed="false">
      <c r="B2654" s="12" t="str">
        <f aca="false">IF(A2654="","",IFERROR(INDEX(Recipes!$B:$B,MATCH(A2654,Recipes!$A:$A,0)),"⚠ unknown recipe_id"))</f>
        <v/>
      </c>
      <c r="E2654" s="12" t="str">
        <f aca="false">IF(C2654="","",IFERROR(INDEX('Ingredient Catalog'!$C:$C,MATCH(C2654,'Ingredient Catalog'!$A:$A,0)),"⚠ not in catalog"))</f>
        <v/>
      </c>
      <c r="G2654" s="12" t="str">
        <f aca="false">IF(A2654="","",COUNTIFS('Weekly Log'!$A:$A,'Grocery List'!$B$3,'Weekly Log'!$C:$C,A2654,'Weekly Log'!$E:$E,"Yes"))</f>
        <v/>
      </c>
      <c r="H2654" s="12" t="str">
        <f aca="false">IF(OR(A2654="",D2654=""),"",D2654*G2654)</f>
        <v/>
      </c>
    </row>
    <row r="2655" customFormat="false" ht="15" hidden="false" customHeight="false" outlineLevel="0" collapsed="false">
      <c r="B2655" s="12" t="str">
        <f aca="false">IF(A2655="","",IFERROR(INDEX(Recipes!$B:$B,MATCH(A2655,Recipes!$A:$A,0)),"⚠ unknown recipe_id"))</f>
        <v/>
      </c>
      <c r="E2655" s="12" t="str">
        <f aca="false">IF(C2655="","",IFERROR(INDEX('Ingredient Catalog'!$C:$C,MATCH(C2655,'Ingredient Catalog'!$A:$A,0)),"⚠ not in catalog"))</f>
        <v/>
      </c>
      <c r="G2655" s="12" t="str">
        <f aca="false">IF(A2655="","",COUNTIFS('Weekly Log'!$A:$A,'Grocery List'!$B$3,'Weekly Log'!$C:$C,A2655,'Weekly Log'!$E:$E,"Yes"))</f>
        <v/>
      </c>
      <c r="H2655" s="12" t="str">
        <f aca="false">IF(OR(A2655="",D2655=""),"",D2655*G2655)</f>
        <v/>
      </c>
    </row>
    <row r="2656" customFormat="false" ht="15" hidden="false" customHeight="false" outlineLevel="0" collapsed="false">
      <c r="B2656" s="12" t="str">
        <f aca="false">IF(A2656="","",IFERROR(INDEX(Recipes!$B:$B,MATCH(A2656,Recipes!$A:$A,0)),"⚠ unknown recipe_id"))</f>
        <v/>
      </c>
      <c r="E2656" s="12" t="str">
        <f aca="false">IF(C2656="","",IFERROR(INDEX('Ingredient Catalog'!$C:$C,MATCH(C2656,'Ingredient Catalog'!$A:$A,0)),"⚠ not in catalog"))</f>
        <v/>
      </c>
      <c r="G2656" s="12" t="str">
        <f aca="false">IF(A2656="","",COUNTIFS('Weekly Log'!$A:$A,'Grocery List'!$B$3,'Weekly Log'!$C:$C,A2656,'Weekly Log'!$E:$E,"Yes"))</f>
        <v/>
      </c>
      <c r="H2656" s="12" t="str">
        <f aca="false">IF(OR(A2656="",D2656=""),"",D2656*G2656)</f>
        <v/>
      </c>
    </row>
    <row r="2657" customFormat="false" ht="15" hidden="false" customHeight="false" outlineLevel="0" collapsed="false">
      <c r="B2657" s="12" t="str">
        <f aca="false">IF(A2657="","",IFERROR(INDEX(Recipes!$B:$B,MATCH(A2657,Recipes!$A:$A,0)),"⚠ unknown recipe_id"))</f>
        <v/>
      </c>
      <c r="E2657" s="12" t="str">
        <f aca="false">IF(C2657="","",IFERROR(INDEX('Ingredient Catalog'!$C:$C,MATCH(C2657,'Ingredient Catalog'!$A:$A,0)),"⚠ not in catalog"))</f>
        <v/>
      </c>
      <c r="G2657" s="12" t="str">
        <f aca="false">IF(A2657="","",COUNTIFS('Weekly Log'!$A:$A,'Grocery List'!$B$3,'Weekly Log'!$C:$C,A2657,'Weekly Log'!$E:$E,"Yes"))</f>
        <v/>
      </c>
      <c r="H2657" s="12" t="str">
        <f aca="false">IF(OR(A2657="",D2657=""),"",D2657*G2657)</f>
        <v/>
      </c>
    </row>
    <row r="2658" customFormat="false" ht="15" hidden="false" customHeight="false" outlineLevel="0" collapsed="false">
      <c r="B2658" s="12" t="str">
        <f aca="false">IF(A2658="","",IFERROR(INDEX(Recipes!$B:$B,MATCH(A2658,Recipes!$A:$A,0)),"⚠ unknown recipe_id"))</f>
        <v/>
      </c>
      <c r="E2658" s="12" t="str">
        <f aca="false">IF(C2658="","",IFERROR(INDEX('Ingredient Catalog'!$C:$C,MATCH(C2658,'Ingredient Catalog'!$A:$A,0)),"⚠ not in catalog"))</f>
        <v/>
      </c>
      <c r="G2658" s="12" t="str">
        <f aca="false">IF(A2658="","",COUNTIFS('Weekly Log'!$A:$A,'Grocery List'!$B$3,'Weekly Log'!$C:$C,A2658,'Weekly Log'!$E:$E,"Yes"))</f>
        <v/>
      </c>
      <c r="H2658" s="12" t="str">
        <f aca="false">IF(OR(A2658="",D2658=""),"",D2658*G2658)</f>
        <v/>
      </c>
    </row>
    <row r="2659" customFormat="false" ht="15" hidden="false" customHeight="false" outlineLevel="0" collapsed="false">
      <c r="B2659" s="12" t="str">
        <f aca="false">IF(A2659="","",IFERROR(INDEX(Recipes!$B:$B,MATCH(A2659,Recipes!$A:$A,0)),"⚠ unknown recipe_id"))</f>
        <v/>
      </c>
      <c r="E2659" s="12" t="str">
        <f aca="false">IF(C2659="","",IFERROR(INDEX('Ingredient Catalog'!$C:$C,MATCH(C2659,'Ingredient Catalog'!$A:$A,0)),"⚠ not in catalog"))</f>
        <v/>
      </c>
      <c r="G2659" s="12" t="str">
        <f aca="false">IF(A2659="","",COUNTIFS('Weekly Log'!$A:$A,'Grocery List'!$B$3,'Weekly Log'!$C:$C,A2659,'Weekly Log'!$E:$E,"Yes"))</f>
        <v/>
      </c>
      <c r="H2659" s="12" t="str">
        <f aca="false">IF(OR(A2659="",D2659=""),"",D2659*G2659)</f>
        <v/>
      </c>
    </row>
    <row r="2660" customFormat="false" ht="15" hidden="false" customHeight="false" outlineLevel="0" collapsed="false">
      <c r="B2660" s="12" t="str">
        <f aca="false">IF(A2660="","",IFERROR(INDEX(Recipes!$B:$B,MATCH(A2660,Recipes!$A:$A,0)),"⚠ unknown recipe_id"))</f>
        <v/>
      </c>
      <c r="E2660" s="12" t="str">
        <f aca="false">IF(C2660="","",IFERROR(INDEX('Ingredient Catalog'!$C:$C,MATCH(C2660,'Ingredient Catalog'!$A:$A,0)),"⚠ not in catalog"))</f>
        <v/>
      </c>
      <c r="G2660" s="12" t="str">
        <f aca="false">IF(A2660="","",COUNTIFS('Weekly Log'!$A:$A,'Grocery List'!$B$3,'Weekly Log'!$C:$C,A2660,'Weekly Log'!$E:$E,"Yes"))</f>
        <v/>
      </c>
      <c r="H2660" s="12" t="str">
        <f aca="false">IF(OR(A2660="",D2660=""),"",D2660*G2660)</f>
        <v/>
      </c>
    </row>
    <row r="2661" customFormat="false" ht="15" hidden="false" customHeight="false" outlineLevel="0" collapsed="false">
      <c r="B2661" s="12" t="str">
        <f aca="false">IF(A2661="","",IFERROR(INDEX(Recipes!$B:$B,MATCH(A2661,Recipes!$A:$A,0)),"⚠ unknown recipe_id"))</f>
        <v/>
      </c>
      <c r="E2661" s="12" t="str">
        <f aca="false">IF(C2661="","",IFERROR(INDEX('Ingredient Catalog'!$C:$C,MATCH(C2661,'Ingredient Catalog'!$A:$A,0)),"⚠ not in catalog"))</f>
        <v/>
      </c>
      <c r="G2661" s="12" t="str">
        <f aca="false">IF(A2661="","",COUNTIFS('Weekly Log'!$A:$A,'Grocery List'!$B$3,'Weekly Log'!$C:$C,A2661,'Weekly Log'!$E:$E,"Yes"))</f>
        <v/>
      </c>
      <c r="H2661" s="12" t="str">
        <f aca="false">IF(OR(A2661="",D2661=""),"",D2661*G2661)</f>
        <v/>
      </c>
    </row>
    <row r="2662" customFormat="false" ht="15" hidden="false" customHeight="false" outlineLevel="0" collapsed="false">
      <c r="B2662" s="12" t="str">
        <f aca="false">IF(A2662="","",IFERROR(INDEX(Recipes!$B:$B,MATCH(A2662,Recipes!$A:$A,0)),"⚠ unknown recipe_id"))</f>
        <v/>
      </c>
      <c r="E2662" s="12" t="str">
        <f aca="false">IF(C2662="","",IFERROR(INDEX('Ingredient Catalog'!$C:$C,MATCH(C2662,'Ingredient Catalog'!$A:$A,0)),"⚠ not in catalog"))</f>
        <v/>
      </c>
      <c r="G2662" s="12" t="str">
        <f aca="false">IF(A2662="","",COUNTIFS('Weekly Log'!$A:$A,'Grocery List'!$B$3,'Weekly Log'!$C:$C,A2662,'Weekly Log'!$E:$E,"Yes"))</f>
        <v/>
      </c>
      <c r="H2662" s="12" t="str">
        <f aca="false">IF(OR(A2662="",D2662=""),"",D2662*G2662)</f>
        <v/>
      </c>
    </row>
    <row r="2663" customFormat="false" ht="15" hidden="false" customHeight="false" outlineLevel="0" collapsed="false">
      <c r="B2663" s="12" t="str">
        <f aca="false">IF(A2663="","",IFERROR(INDEX(Recipes!$B:$B,MATCH(A2663,Recipes!$A:$A,0)),"⚠ unknown recipe_id"))</f>
        <v/>
      </c>
      <c r="E2663" s="12" t="str">
        <f aca="false">IF(C2663="","",IFERROR(INDEX('Ingredient Catalog'!$C:$C,MATCH(C2663,'Ingredient Catalog'!$A:$A,0)),"⚠ not in catalog"))</f>
        <v/>
      </c>
      <c r="G2663" s="12" t="str">
        <f aca="false">IF(A2663="","",COUNTIFS('Weekly Log'!$A:$A,'Grocery List'!$B$3,'Weekly Log'!$C:$C,A2663,'Weekly Log'!$E:$E,"Yes"))</f>
        <v/>
      </c>
      <c r="H2663" s="12" t="str">
        <f aca="false">IF(OR(A2663="",D2663=""),"",D2663*G2663)</f>
        <v/>
      </c>
    </row>
    <row r="2664" customFormat="false" ht="15" hidden="false" customHeight="false" outlineLevel="0" collapsed="false">
      <c r="B2664" s="12" t="str">
        <f aca="false">IF(A2664="","",IFERROR(INDEX(Recipes!$B:$B,MATCH(A2664,Recipes!$A:$A,0)),"⚠ unknown recipe_id"))</f>
        <v/>
      </c>
      <c r="E2664" s="12" t="str">
        <f aca="false">IF(C2664="","",IFERROR(INDEX('Ingredient Catalog'!$C:$C,MATCH(C2664,'Ingredient Catalog'!$A:$A,0)),"⚠ not in catalog"))</f>
        <v/>
      </c>
      <c r="G2664" s="12" t="str">
        <f aca="false">IF(A2664="","",COUNTIFS('Weekly Log'!$A:$A,'Grocery List'!$B$3,'Weekly Log'!$C:$C,A2664,'Weekly Log'!$E:$E,"Yes"))</f>
        <v/>
      </c>
      <c r="H2664" s="12" t="str">
        <f aca="false">IF(OR(A2664="",D2664=""),"",D2664*G2664)</f>
        <v/>
      </c>
    </row>
    <row r="2665" customFormat="false" ht="15" hidden="false" customHeight="false" outlineLevel="0" collapsed="false">
      <c r="B2665" s="12" t="str">
        <f aca="false">IF(A2665="","",IFERROR(INDEX(Recipes!$B:$B,MATCH(A2665,Recipes!$A:$A,0)),"⚠ unknown recipe_id"))</f>
        <v/>
      </c>
      <c r="E2665" s="12" t="str">
        <f aca="false">IF(C2665="","",IFERROR(INDEX('Ingredient Catalog'!$C:$C,MATCH(C2665,'Ingredient Catalog'!$A:$A,0)),"⚠ not in catalog"))</f>
        <v/>
      </c>
      <c r="G2665" s="12" t="str">
        <f aca="false">IF(A2665="","",COUNTIFS('Weekly Log'!$A:$A,'Grocery List'!$B$3,'Weekly Log'!$C:$C,A2665,'Weekly Log'!$E:$E,"Yes"))</f>
        <v/>
      </c>
      <c r="H2665" s="12" t="str">
        <f aca="false">IF(OR(A2665="",D2665=""),"",D2665*G2665)</f>
        <v/>
      </c>
    </row>
    <row r="2666" customFormat="false" ht="15" hidden="false" customHeight="false" outlineLevel="0" collapsed="false">
      <c r="B2666" s="12" t="str">
        <f aca="false">IF(A2666="","",IFERROR(INDEX(Recipes!$B:$B,MATCH(A2666,Recipes!$A:$A,0)),"⚠ unknown recipe_id"))</f>
        <v/>
      </c>
      <c r="E2666" s="12" t="str">
        <f aca="false">IF(C2666="","",IFERROR(INDEX('Ingredient Catalog'!$C:$C,MATCH(C2666,'Ingredient Catalog'!$A:$A,0)),"⚠ not in catalog"))</f>
        <v/>
      </c>
      <c r="G2666" s="12" t="str">
        <f aca="false">IF(A2666="","",COUNTIFS('Weekly Log'!$A:$A,'Grocery List'!$B$3,'Weekly Log'!$C:$C,A2666,'Weekly Log'!$E:$E,"Yes"))</f>
        <v/>
      </c>
      <c r="H2666" s="12" t="str">
        <f aca="false">IF(OR(A2666="",D2666=""),"",D2666*G2666)</f>
        <v/>
      </c>
    </row>
    <row r="2667" customFormat="false" ht="15" hidden="false" customHeight="false" outlineLevel="0" collapsed="false">
      <c r="B2667" s="12" t="str">
        <f aca="false">IF(A2667="","",IFERROR(INDEX(Recipes!$B:$B,MATCH(A2667,Recipes!$A:$A,0)),"⚠ unknown recipe_id"))</f>
        <v/>
      </c>
      <c r="E2667" s="12" t="str">
        <f aca="false">IF(C2667="","",IFERROR(INDEX('Ingredient Catalog'!$C:$C,MATCH(C2667,'Ingredient Catalog'!$A:$A,0)),"⚠ not in catalog"))</f>
        <v/>
      </c>
      <c r="G2667" s="12" t="str">
        <f aca="false">IF(A2667="","",COUNTIFS('Weekly Log'!$A:$A,'Grocery List'!$B$3,'Weekly Log'!$C:$C,A2667,'Weekly Log'!$E:$E,"Yes"))</f>
        <v/>
      </c>
      <c r="H2667" s="12" t="str">
        <f aca="false">IF(OR(A2667="",D2667=""),"",D2667*G2667)</f>
        <v/>
      </c>
    </row>
    <row r="2668" customFormat="false" ht="15" hidden="false" customHeight="false" outlineLevel="0" collapsed="false">
      <c r="B2668" s="12" t="str">
        <f aca="false">IF(A2668="","",IFERROR(INDEX(Recipes!$B:$B,MATCH(A2668,Recipes!$A:$A,0)),"⚠ unknown recipe_id"))</f>
        <v/>
      </c>
      <c r="E2668" s="12" t="str">
        <f aca="false">IF(C2668="","",IFERROR(INDEX('Ingredient Catalog'!$C:$C,MATCH(C2668,'Ingredient Catalog'!$A:$A,0)),"⚠ not in catalog"))</f>
        <v/>
      </c>
      <c r="G2668" s="12" t="str">
        <f aca="false">IF(A2668="","",COUNTIFS('Weekly Log'!$A:$A,'Grocery List'!$B$3,'Weekly Log'!$C:$C,A2668,'Weekly Log'!$E:$E,"Yes"))</f>
        <v/>
      </c>
      <c r="H2668" s="12" t="str">
        <f aca="false">IF(OR(A2668="",D2668=""),"",D2668*G2668)</f>
        <v/>
      </c>
    </row>
    <row r="2669" customFormat="false" ht="15" hidden="false" customHeight="false" outlineLevel="0" collapsed="false">
      <c r="B2669" s="12" t="str">
        <f aca="false">IF(A2669="","",IFERROR(INDEX(Recipes!$B:$B,MATCH(A2669,Recipes!$A:$A,0)),"⚠ unknown recipe_id"))</f>
        <v/>
      </c>
      <c r="E2669" s="12" t="str">
        <f aca="false">IF(C2669="","",IFERROR(INDEX('Ingredient Catalog'!$C:$C,MATCH(C2669,'Ingredient Catalog'!$A:$A,0)),"⚠ not in catalog"))</f>
        <v/>
      </c>
      <c r="G2669" s="12" t="str">
        <f aca="false">IF(A2669="","",COUNTIFS('Weekly Log'!$A:$A,'Grocery List'!$B$3,'Weekly Log'!$C:$C,A2669,'Weekly Log'!$E:$E,"Yes"))</f>
        <v/>
      </c>
      <c r="H2669" s="12" t="str">
        <f aca="false">IF(OR(A2669="",D2669=""),"",D2669*G2669)</f>
        <v/>
      </c>
    </row>
    <row r="2670" customFormat="false" ht="15" hidden="false" customHeight="false" outlineLevel="0" collapsed="false">
      <c r="B2670" s="12" t="str">
        <f aca="false">IF(A2670="","",IFERROR(INDEX(Recipes!$B:$B,MATCH(A2670,Recipes!$A:$A,0)),"⚠ unknown recipe_id"))</f>
        <v/>
      </c>
      <c r="E2670" s="12" t="str">
        <f aca="false">IF(C2670="","",IFERROR(INDEX('Ingredient Catalog'!$C:$C,MATCH(C2670,'Ingredient Catalog'!$A:$A,0)),"⚠ not in catalog"))</f>
        <v/>
      </c>
      <c r="G2670" s="12" t="str">
        <f aca="false">IF(A2670="","",COUNTIFS('Weekly Log'!$A:$A,'Grocery List'!$B$3,'Weekly Log'!$C:$C,A2670,'Weekly Log'!$E:$E,"Yes"))</f>
        <v/>
      </c>
      <c r="H2670" s="12" t="str">
        <f aca="false">IF(OR(A2670="",D2670=""),"",D2670*G2670)</f>
        <v/>
      </c>
    </row>
    <row r="2671" customFormat="false" ht="15" hidden="false" customHeight="false" outlineLevel="0" collapsed="false">
      <c r="B2671" s="12" t="str">
        <f aca="false">IF(A2671="","",IFERROR(INDEX(Recipes!$B:$B,MATCH(A2671,Recipes!$A:$A,0)),"⚠ unknown recipe_id"))</f>
        <v/>
      </c>
      <c r="E2671" s="12" t="str">
        <f aca="false">IF(C2671="","",IFERROR(INDEX('Ingredient Catalog'!$C:$C,MATCH(C2671,'Ingredient Catalog'!$A:$A,0)),"⚠ not in catalog"))</f>
        <v/>
      </c>
      <c r="G2671" s="12" t="str">
        <f aca="false">IF(A2671="","",COUNTIFS('Weekly Log'!$A:$A,'Grocery List'!$B$3,'Weekly Log'!$C:$C,A2671,'Weekly Log'!$E:$E,"Yes"))</f>
        <v/>
      </c>
      <c r="H2671" s="12" t="str">
        <f aca="false">IF(OR(A2671="",D2671=""),"",D2671*G2671)</f>
        <v/>
      </c>
    </row>
    <row r="2672" customFormat="false" ht="15" hidden="false" customHeight="false" outlineLevel="0" collapsed="false">
      <c r="B2672" s="12" t="str">
        <f aca="false">IF(A2672="","",IFERROR(INDEX(Recipes!$B:$B,MATCH(A2672,Recipes!$A:$A,0)),"⚠ unknown recipe_id"))</f>
        <v/>
      </c>
      <c r="E2672" s="12" t="str">
        <f aca="false">IF(C2672="","",IFERROR(INDEX('Ingredient Catalog'!$C:$C,MATCH(C2672,'Ingredient Catalog'!$A:$A,0)),"⚠ not in catalog"))</f>
        <v/>
      </c>
      <c r="G2672" s="12" t="str">
        <f aca="false">IF(A2672="","",COUNTIFS('Weekly Log'!$A:$A,'Grocery List'!$B$3,'Weekly Log'!$C:$C,A2672,'Weekly Log'!$E:$E,"Yes"))</f>
        <v/>
      </c>
      <c r="H2672" s="12" t="str">
        <f aca="false">IF(OR(A2672="",D2672=""),"",D2672*G2672)</f>
        <v/>
      </c>
    </row>
    <row r="2673" customFormat="false" ht="15" hidden="false" customHeight="false" outlineLevel="0" collapsed="false">
      <c r="B2673" s="12" t="str">
        <f aca="false">IF(A2673="","",IFERROR(INDEX(Recipes!$B:$B,MATCH(A2673,Recipes!$A:$A,0)),"⚠ unknown recipe_id"))</f>
        <v/>
      </c>
      <c r="E2673" s="12" t="str">
        <f aca="false">IF(C2673="","",IFERROR(INDEX('Ingredient Catalog'!$C:$C,MATCH(C2673,'Ingredient Catalog'!$A:$A,0)),"⚠ not in catalog"))</f>
        <v/>
      </c>
      <c r="G2673" s="12" t="str">
        <f aca="false">IF(A2673="","",COUNTIFS('Weekly Log'!$A:$A,'Grocery List'!$B$3,'Weekly Log'!$C:$C,A2673,'Weekly Log'!$E:$E,"Yes"))</f>
        <v/>
      </c>
      <c r="H2673" s="12" t="str">
        <f aca="false">IF(OR(A2673="",D2673=""),"",D2673*G2673)</f>
        <v/>
      </c>
    </row>
    <row r="2674" customFormat="false" ht="15" hidden="false" customHeight="false" outlineLevel="0" collapsed="false">
      <c r="B2674" s="12" t="str">
        <f aca="false">IF(A2674="","",IFERROR(INDEX(Recipes!$B:$B,MATCH(A2674,Recipes!$A:$A,0)),"⚠ unknown recipe_id"))</f>
        <v/>
      </c>
      <c r="E2674" s="12" t="str">
        <f aca="false">IF(C2674="","",IFERROR(INDEX('Ingredient Catalog'!$C:$C,MATCH(C2674,'Ingredient Catalog'!$A:$A,0)),"⚠ not in catalog"))</f>
        <v/>
      </c>
      <c r="G2674" s="12" t="str">
        <f aca="false">IF(A2674="","",COUNTIFS('Weekly Log'!$A:$A,'Grocery List'!$B$3,'Weekly Log'!$C:$C,A2674,'Weekly Log'!$E:$E,"Yes"))</f>
        <v/>
      </c>
      <c r="H2674" s="12" t="str">
        <f aca="false">IF(OR(A2674="",D2674=""),"",D2674*G2674)</f>
        <v/>
      </c>
    </row>
    <row r="2675" customFormat="false" ht="15" hidden="false" customHeight="false" outlineLevel="0" collapsed="false">
      <c r="B2675" s="12" t="str">
        <f aca="false">IF(A2675="","",IFERROR(INDEX(Recipes!$B:$B,MATCH(A2675,Recipes!$A:$A,0)),"⚠ unknown recipe_id"))</f>
        <v/>
      </c>
      <c r="E2675" s="12" t="str">
        <f aca="false">IF(C2675="","",IFERROR(INDEX('Ingredient Catalog'!$C:$C,MATCH(C2675,'Ingredient Catalog'!$A:$A,0)),"⚠ not in catalog"))</f>
        <v/>
      </c>
      <c r="G2675" s="12" t="str">
        <f aca="false">IF(A2675="","",COUNTIFS('Weekly Log'!$A:$A,'Grocery List'!$B$3,'Weekly Log'!$C:$C,A2675,'Weekly Log'!$E:$E,"Yes"))</f>
        <v/>
      </c>
      <c r="H2675" s="12" t="str">
        <f aca="false">IF(OR(A2675="",D2675=""),"",D2675*G2675)</f>
        <v/>
      </c>
    </row>
    <row r="2676" customFormat="false" ht="15" hidden="false" customHeight="false" outlineLevel="0" collapsed="false">
      <c r="B2676" s="12" t="str">
        <f aca="false">IF(A2676="","",IFERROR(INDEX(Recipes!$B:$B,MATCH(A2676,Recipes!$A:$A,0)),"⚠ unknown recipe_id"))</f>
        <v/>
      </c>
      <c r="E2676" s="12" t="str">
        <f aca="false">IF(C2676="","",IFERROR(INDEX('Ingredient Catalog'!$C:$C,MATCH(C2676,'Ingredient Catalog'!$A:$A,0)),"⚠ not in catalog"))</f>
        <v/>
      </c>
      <c r="G2676" s="12" t="str">
        <f aca="false">IF(A2676="","",COUNTIFS('Weekly Log'!$A:$A,'Grocery List'!$B$3,'Weekly Log'!$C:$C,A2676,'Weekly Log'!$E:$E,"Yes"))</f>
        <v/>
      </c>
      <c r="H2676" s="12" t="str">
        <f aca="false">IF(OR(A2676="",D2676=""),"",D2676*G2676)</f>
        <v/>
      </c>
    </row>
    <row r="2677" customFormat="false" ht="15" hidden="false" customHeight="false" outlineLevel="0" collapsed="false">
      <c r="B2677" s="12" t="str">
        <f aca="false">IF(A2677="","",IFERROR(INDEX(Recipes!$B:$B,MATCH(A2677,Recipes!$A:$A,0)),"⚠ unknown recipe_id"))</f>
        <v/>
      </c>
      <c r="E2677" s="12" t="str">
        <f aca="false">IF(C2677="","",IFERROR(INDEX('Ingredient Catalog'!$C:$C,MATCH(C2677,'Ingredient Catalog'!$A:$A,0)),"⚠ not in catalog"))</f>
        <v/>
      </c>
      <c r="G2677" s="12" t="str">
        <f aca="false">IF(A2677="","",COUNTIFS('Weekly Log'!$A:$A,'Grocery List'!$B$3,'Weekly Log'!$C:$C,A2677,'Weekly Log'!$E:$E,"Yes"))</f>
        <v/>
      </c>
      <c r="H2677" s="12" t="str">
        <f aca="false">IF(OR(A2677="",D2677=""),"",D2677*G2677)</f>
        <v/>
      </c>
    </row>
    <row r="2678" customFormat="false" ht="15" hidden="false" customHeight="false" outlineLevel="0" collapsed="false">
      <c r="B2678" s="12" t="str">
        <f aca="false">IF(A2678="","",IFERROR(INDEX(Recipes!$B:$B,MATCH(A2678,Recipes!$A:$A,0)),"⚠ unknown recipe_id"))</f>
        <v/>
      </c>
      <c r="E2678" s="12" t="str">
        <f aca="false">IF(C2678="","",IFERROR(INDEX('Ingredient Catalog'!$C:$C,MATCH(C2678,'Ingredient Catalog'!$A:$A,0)),"⚠ not in catalog"))</f>
        <v/>
      </c>
      <c r="G2678" s="12" t="str">
        <f aca="false">IF(A2678="","",COUNTIFS('Weekly Log'!$A:$A,'Grocery List'!$B$3,'Weekly Log'!$C:$C,A2678,'Weekly Log'!$E:$E,"Yes"))</f>
        <v/>
      </c>
      <c r="H2678" s="12" t="str">
        <f aca="false">IF(OR(A2678="",D2678=""),"",D2678*G2678)</f>
        <v/>
      </c>
    </row>
    <row r="2679" customFormat="false" ht="15" hidden="false" customHeight="false" outlineLevel="0" collapsed="false">
      <c r="B2679" s="12" t="str">
        <f aca="false">IF(A2679="","",IFERROR(INDEX(Recipes!$B:$B,MATCH(A2679,Recipes!$A:$A,0)),"⚠ unknown recipe_id"))</f>
        <v/>
      </c>
      <c r="E2679" s="12" t="str">
        <f aca="false">IF(C2679="","",IFERROR(INDEX('Ingredient Catalog'!$C:$C,MATCH(C2679,'Ingredient Catalog'!$A:$A,0)),"⚠ not in catalog"))</f>
        <v/>
      </c>
      <c r="G2679" s="12" t="str">
        <f aca="false">IF(A2679="","",COUNTIFS('Weekly Log'!$A:$A,'Grocery List'!$B$3,'Weekly Log'!$C:$C,A2679,'Weekly Log'!$E:$E,"Yes"))</f>
        <v/>
      </c>
      <c r="H2679" s="12" t="str">
        <f aca="false">IF(OR(A2679="",D2679=""),"",D2679*G2679)</f>
        <v/>
      </c>
    </row>
    <row r="2680" customFormat="false" ht="15" hidden="false" customHeight="false" outlineLevel="0" collapsed="false">
      <c r="B2680" s="12" t="str">
        <f aca="false">IF(A2680="","",IFERROR(INDEX(Recipes!$B:$B,MATCH(A2680,Recipes!$A:$A,0)),"⚠ unknown recipe_id"))</f>
        <v/>
      </c>
      <c r="E2680" s="12" t="str">
        <f aca="false">IF(C2680="","",IFERROR(INDEX('Ingredient Catalog'!$C:$C,MATCH(C2680,'Ingredient Catalog'!$A:$A,0)),"⚠ not in catalog"))</f>
        <v/>
      </c>
      <c r="G2680" s="12" t="str">
        <f aca="false">IF(A2680="","",COUNTIFS('Weekly Log'!$A:$A,'Grocery List'!$B$3,'Weekly Log'!$C:$C,A2680,'Weekly Log'!$E:$E,"Yes"))</f>
        <v/>
      </c>
      <c r="H2680" s="12" t="str">
        <f aca="false">IF(OR(A2680="",D2680=""),"",D2680*G2680)</f>
        <v/>
      </c>
    </row>
    <row r="2681" customFormat="false" ht="15" hidden="false" customHeight="false" outlineLevel="0" collapsed="false">
      <c r="B2681" s="12" t="str">
        <f aca="false">IF(A2681="","",IFERROR(INDEX(Recipes!$B:$B,MATCH(A2681,Recipes!$A:$A,0)),"⚠ unknown recipe_id"))</f>
        <v/>
      </c>
      <c r="E2681" s="12" t="str">
        <f aca="false">IF(C2681="","",IFERROR(INDEX('Ingredient Catalog'!$C:$C,MATCH(C2681,'Ingredient Catalog'!$A:$A,0)),"⚠ not in catalog"))</f>
        <v/>
      </c>
      <c r="G2681" s="12" t="str">
        <f aca="false">IF(A2681="","",COUNTIFS('Weekly Log'!$A:$A,'Grocery List'!$B$3,'Weekly Log'!$C:$C,A2681,'Weekly Log'!$E:$E,"Yes"))</f>
        <v/>
      </c>
      <c r="H2681" s="12" t="str">
        <f aca="false">IF(OR(A2681="",D2681=""),"",D2681*G2681)</f>
        <v/>
      </c>
    </row>
    <row r="2682" customFormat="false" ht="15" hidden="false" customHeight="false" outlineLevel="0" collapsed="false">
      <c r="B2682" s="12" t="str">
        <f aca="false">IF(A2682="","",IFERROR(INDEX(Recipes!$B:$B,MATCH(A2682,Recipes!$A:$A,0)),"⚠ unknown recipe_id"))</f>
        <v/>
      </c>
      <c r="E2682" s="12" t="str">
        <f aca="false">IF(C2682="","",IFERROR(INDEX('Ingredient Catalog'!$C:$C,MATCH(C2682,'Ingredient Catalog'!$A:$A,0)),"⚠ not in catalog"))</f>
        <v/>
      </c>
      <c r="G2682" s="12" t="str">
        <f aca="false">IF(A2682="","",COUNTIFS('Weekly Log'!$A:$A,'Grocery List'!$B$3,'Weekly Log'!$C:$C,A2682,'Weekly Log'!$E:$E,"Yes"))</f>
        <v/>
      </c>
      <c r="H2682" s="12" t="str">
        <f aca="false">IF(OR(A2682="",D2682=""),"",D2682*G2682)</f>
        <v/>
      </c>
    </row>
    <row r="2683" customFormat="false" ht="15" hidden="false" customHeight="false" outlineLevel="0" collapsed="false">
      <c r="B2683" s="12" t="str">
        <f aca="false">IF(A2683="","",IFERROR(INDEX(Recipes!$B:$B,MATCH(A2683,Recipes!$A:$A,0)),"⚠ unknown recipe_id"))</f>
        <v/>
      </c>
      <c r="E2683" s="12" t="str">
        <f aca="false">IF(C2683="","",IFERROR(INDEX('Ingredient Catalog'!$C:$C,MATCH(C2683,'Ingredient Catalog'!$A:$A,0)),"⚠ not in catalog"))</f>
        <v/>
      </c>
      <c r="G2683" s="12" t="str">
        <f aca="false">IF(A2683="","",COUNTIFS('Weekly Log'!$A:$A,'Grocery List'!$B$3,'Weekly Log'!$C:$C,A2683,'Weekly Log'!$E:$E,"Yes"))</f>
        <v/>
      </c>
      <c r="H2683" s="12" t="str">
        <f aca="false">IF(OR(A2683="",D2683=""),"",D2683*G2683)</f>
        <v/>
      </c>
    </row>
    <row r="2684" customFormat="false" ht="15" hidden="false" customHeight="false" outlineLevel="0" collapsed="false">
      <c r="B2684" s="12" t="str">
        <f aca="false">IF(A2684="","",IFERROR(INDEX(Recipes!$B:$B,MATCH(A2684,Recipes!$A:$A,0)),"⚠ unknown recipe_id"))</f>
        <v/>
      </c>
      <c r="E2684" s="12" t="str">
        <f aca="false">IF(C2684="","",IFERROR(INDEX('Ingredient Catalog'!$C:$C,MATCH(C2684,'Ingredient Catalog'!$A:$A,0)),"⚠ not in catalog"))</f>
        <v/>
      </c>
      <c r="G2684" s="12" t="str">
        <f aca="false">IF(A2684="","",COUNTIFS('Weekly Log'!$A:$A,'Grocery List'!$B$3,'Weekly Log'!$C:$C,A2684,'Weekly Log'!$E:$E,"Yes"))</f>
        <v/>
      </c>
      <c r="H2684" s="12" t="str">
        <f aca="false">IF(OR(A2684="",D2684=""),"",D2684*G2684)</f>
        <v/>
      </c>
    </row>
    <row r="2685" customFormat="false" ht="15" hidden="false" customHeight="false" outlineLevel="0" collapsed="false">
      <c r="B2685" s="12" t="str">
        <f aca="false">IF(A2685="","",IFERROR(INDEX(Recipes!$B:$B,MATCH(A2685,Recipes!$A:$A,0)),"⚠ unknown recipe_id"))</f>
        <v/>
      </c>
      <c r="E2685" s="12" t="str">
        <f aca="false">IF(C2685="","",IFERROR(INDEX('Ingredient Catalog'!$C:$C,MATCH(C2685,'Ingredient Catalog'!$A:$A,0)),"⚠ not in catalog"))</f>
        <v/>
      </c>
      <c r="G2685" s="12" t="str">
        <f aca="false">IF(A2685="","",COUNTIFS('Weekly Log'!$A:$A,'Grocery List'!$B$3,'Weekly Log'!$C:$C,A2685,'Weekly Log'!$E:$E,"Yes"))</f>
        <v/>
      </c>
      <c r="H2685" s="12" t="str">
        <f aca="false">IF(OR(A2685="",D2685=""),"",D2685*G2685)</f>
        <v/>
      </c>
    </row>
    <row r="2686" customFormat="false" ht="15" hidden="false" customHeight="false" outlineLevel="0" collapsed="false">
      <c r="B2686" s="12" t="str">
        <f aca="false">IF(A2686="","",IFERROR(INDEX(Recipes!$B:$B,MATCH(A2686,Recipes!$A:$A,0)),"⚠ unknown recipe_id"))</f>
        <v/>
      </c>
      <c r="E2686" s="12" t="str">
        <f aca="false">IF(C2686="","",IFERROR(INDEX('Ingredient Catalog'!$C:$C,MATCH(C2686,'Ingredient Catalog'!$A:$A,0)),"⚠ not in catalog"))</f>
        <v/>
      </c>
      <c r="G2686" s="12" t="str">
        <f aca="false">IF(A2686="","",COUNTIFS('Weekly Log'!$A:$A,'Grocery List'!$B$3,'Weekly Log'!$C:$C,A2686,'Weekly Log'!$E:$E,"Yes"))</f>
        <v/>
      </c>
      <c r="H2686" s="12" t="str">
        <f aca="false">IF(OR(A2686="",D2686=""),"",D2686*G2686)</f>
        <v/>
      </c>
    </row>
    <row r="2687" customFormat="false" ht="15" hidden="false" customHeight="false" outlineLevel="0" collapsed="false">
      <c r="B2687" s="12" t="str">
        <f aca="false">IF(A2687="","",IFERROR(INDEX(Recipes!$B:$B,MATCH(A2687,Recipes!$A:$A,0)),"⚠ unknown recipe_id"))</f>
        <v/>
      </c>
      <c r="E2687" s="12" t="str">
        <f aca="false">IF(C2687="","",IFERROR(INDEX('Ingredient Catalog'!$C:$C,MATCH(C2687,'Ingredient Catalog'!$A:$A,0)),"⚠ not in catalog"))</f>
        <v/>
      </c>
      <c r="G2687" s="12" t="str">
        <f aca="false">IF(A2687="","",COUNTIFS('Weekly Log'!$A:$A,'Grocery List'!$B$3,'Weekly Log'!$C:$C,A2687,'Weekly Log'!$E:$E,"Yes"))</f>
        <v/>
      </c>
      <c r="H2687" s="12" t="str">
        <f aca="false">IF(OR(A2687="",D2687=""),"",D2687*G2687)</f>
        <v/>
      </c>
    </row>
    <row r="2688" customFormat="false" ht="15" hidden="false" customHeight="false" outlineLevel="0" collapsed="false">
      <c r="B2688" s="12" t="str">
        <f aca="false">IF(A2688="","",IFERROR(INDEX(Recipes!$B:$B,MATCH(A2688,Recipes!$A:$A,0)),"⚠ unknown recipe_id"))</f>
        <v/>
      </c>
      <c r="E2688" s="12" t="str">
        <f aca="false">IF(C2688="","",IFERROR(INDEX('Ingredient Catalog'!$C:$C,MATCH(C2688,'Ingredient Catalog'!$A:$A,0)),"⚠ not in catalog"))</f>
        <v/>
      </c>
      <c r="G2688" s="12" t="str">
        <f aca="false">IF(A2688="","",COUNTIFS('Weekly Log'!$A:$A,'Grocery List'!$B$3,'Weekly Log'!$C:$C,A2688,'Weekly Log'!$E:$E,"Yes"))</f>
        <v/>
      </c>
      <c r="H2688" s="12" t="str">
        <f aca="false">IF(OR(A2688="",D2688=""),"",D2688*G2688)</f>
        <v/>
      </c>
    </row>
    <row r="2689" customFormat="false" ht="15" hidden="false" customHeight="false" outlineLevel="0" collapsed="false">
      <c r="B2689" s="12" t="str">
        <f aca="false">IF(A2689="","",IFERROR(INDEX(Recipes!$B:$B,MATCH(A2689,Recipes!$A:$A,0)),"⚠ unknown recipe_id"))</f>
        <v/>
      </c>
      <c r="E2689" s="12" t="str">
        <f aca="false">IF(C2689="","",IFERROR(INDEX('Ingredient Catalog'!$C:$C,MATCH(C2689,'Ingredient Catalog'!$A:$A,0)),"⚠ not in catalog"))</f>
        <v/>
      </c>
      <c r="G2689" s="12" t="str">
        <f aca="false">IF(A2689="","",COUNTIFS('Weekly Log'!$A:$A,'Grocery List'!$B$3,'Weekly Log'!$C:$C,A2689,'Weekly Log'!$E:$E,"Yes"))</f>
        <v/>
      </c>
      <c r="H2689" s="12" t="str">
        <f aca="false">IF(OR(A2689="",D2689=""),"",D2689*G2689)</f>
        <v/>
      </c>
    </row>
    <row r="2690" customFormat="false" ht="15" hidden="false" customHeight="false" outlineLevel="0" collapsed="false">
      <c r="B2690" s="12" t="str">
        <f aca="false">IF(A2690="","",IFERROR(INDEX(Recipes!$B:$B,MATCH(A2690,Recipes!$A:$A,0)),"⚠ unknown recipe_id"))</f>
        <v/>
      </c>
      <c r="E2690" s="12" t="str">
        <f aca="false">IF(C2690="","",IFERROR(INDEX('Ingredient Catalog'!$C:$C,MATCH(C2690,'Ingredient Catalog'!$A:$A,0)),"⚠ not in catalog"))</f>
        <v/>
      </c>
      <c r="G2690" s="12" t="str">
        <f aca="false">IF(A2690="","",COUNTIFS('Weekly Log'!$A:$A,'Grocery List'!$B$3,'Weekly Log'!$C:$C,A2690,'Weekly Log'!$E:$E,"Yes"))</f>
        <v/>
      </c>
      <c r="H2690" s="12" t="str">
        <f aca="false">IF(OR(A2690="",D2690=""),"",D2690*G2690)</f>
        <v/>
      </c>
    </row>
    <row r="2691" customFormat="false" ht="15" hidden="false" customHeight="false" outlineLevel="0" collapsed="false">
      <c r="B2691" s="12" t="str">
        <f aca="false">IF(A2691="","",IFERROR(INDEX(Recipes!$B:$B,MATCH(A2691,Recipes!$A:$A,0)),"⚠ unknown recipe_id"))</f>
        <v/>
      </c>
      <c r="E2691" s="12" t="str">
        <f aca="false">IF(C2691="","",IFERROR(INDEX('Ingredient Catalog'!$C:$C,MATCH(C2691,'Ingredient Catalog'!$A:$A,0)),"⚠ not in catalog"))</f>
        <v/>
      </c>
      <c r="G2691" s="12" t="str">
        <f aca="false">IF(A2691="","",COUNTIFS('Weekly Log'!$A:$A,'Grocery List'!$B$3,'Weekly Log'!$C:$C,A2691,'Weekly Log'!$E:$E,"Yes"))</f>
        <v/>
      </c>
      <c r="H2691" s="12" t="str">
        <f aca="false">IF(OR(A2691="",D2691=""),"",D2691*G2691)</f>
        <v/>
      </c>
    </row>
    <row r="2692" customFormat="false" ht="15" hidden="false" customHeight="false" outlineLevel="0" collapsed="false">
      <c r="B2692" s="12" t="str">
        <f aca="false">IF(A2692="","",IFERROR(INDEX(Recipes!$B:$B,MATCH(A2692,Recipes!$A:$A,0)),"⚠ unknown recipe_id"))</f>
        <v/>
      </c>
      <c r="E2692" s="12" t="str">
        <f aca="false">IF(C2692="","",IFERROR(INDEX('Ingredient Catalog'!$C:$C,MATCH(C2692,'Ingredient Catalog'!$A:$A,0)),"⚠ not in catalog"))</f>
        <v/>
      </c>
      <c r="G2692" s="12" t="str">
        <f aca="false">IF(A2692="","",COUNTIFS('Weekly Log'!$A:$A,'Grocery List'!$B$3,'Weekly Log'!$C:$C,A2692,'Weekly Log'!$E:$E,"Yes"))</f>
        <v/>
      </c>
      <c r="H2692" s="12" t="str">
        <f aca="false">IF(OR(A2692="",D2692=""),"",D2692*G2692)</f>
        <v/>
      </c>
    </row>
    <row r="2693" customFormat="false" ht="15" hidden="false" customHeight="false" outlineLevel="0" collapsed="false">
      <c r="B2693" s="12" t="str">
        <f aca="false">IF(A2693="","",IFERROR(INDEX(Recipes!$B:$B,MATCH(A2693,Recipes!$A:$A,0)),"⚠ unknown recipe_id"))</f>
        <v/>
      </c>
      <c r="E2693" s="12" t="str">
        <f aca="false">IF(C2693="","",IFERROR(INDEX('Ingredient Catalog'!$C:$C,MATCH(C2693,'Ingredient Catalog'!$A:$A,0)),"⚠ not in catalog"))</f>
        <v/>
      </c>
      <c r="G2693" s="12" t="str">
        <f aca="false">IF(A2693="","",COUNTIFS('Weekly Log'!$A:$A,'Grocery List'!$B$3,'Weekly Log'!$C:$C,A2693,'Weekly Log'!$E:$E,"Yes"))</f>
        <v/>
      </c>
      <c r="H2693" s="12" t="str">
        <f aca="false">IF(OR(A2693="",D2693=""),"",D2693*G2693)</f>
        <v/>
      </c>
    </row>
    <row r="2694" customFormat="false" ht="15" hidden="false" customHeight="false" outlineLevel="0" collapsed="false">
      <c r="B2694" s="12" t="str">
        <f aca="false">IF(A2694="","",IFERROR(INDEX(Recipes!$B:$B,MATCH(A2694,Recipes!$A:$A,0)),"⚠ unknown recipe_id"))</f>
        <v/>
      </c>
      <c r="E2694" s="12" t="str">
        <f aca="false">IF(C2694="","",IFERROR(INDEX('Ingredient Catalog'!$C:$C,MATCH(C2694,'Ingredient Catalog'!$A:$A,0)),"⚠ not in catalog"))</f>
        <v/>
      </c>
      <c r="G2694" s="12" t="str">
        <f aca="false">IF(A2694="","",COUNTIFS('Weekly Log'!$A:$A,'Grocery List'!$B$3,'Weekly Log'!$C:$C,A2694,'Weekly Log'!$E:$E,"Yes"))</f>
        <v/>
      </c>
      <c r="H2694" s="12" t="str">
        <f aca="false">IF(OR(A2694="",D2694=""),"",D2694*G2694)</f>
        <v/>
      </c>
    </row>
    <row r="2695" customFormat="false" ht="15" hidden="false" customHeight="false" outlineLevel="0" collapsed="false">
      <c r="B2695" s="12" t="str">
        <f aca="false">IF(A2695="","",IFERROR(INDEX(Recipes!$B:$B,MATCH(A2695,Recipes!$A:$A,0)),"⚠ unknown recipe_id"))</f>
        <v/>
      </c>
      <c r="E2695" s="12" t="str">
        <f aca="false">IF(C2695="","",IFERROR(INDEX('Ingredient Catalog'!$C:$C,MATCH(C2695,'Ingredient Catalog'!$A:$A,0)),"⚠ not in catalog"))</f>
        <v/>
      </c>
      <c r="G2695" s="12" t="str">
        <f aca="false">IF(A2695="","",COUNTIFS('Weekly Log'!$A:$A,'Grocery List'!$B$3,'Weekly Log'!$C:$C,A2695,'Weekly Log'!$E:$E,"Yes"))</f>
        <v/>
      </c>
      <c r="H2695" s="12" t="str">
        <f aca="false">IF(OR(A2695="",D2695=""),"",D2695*G2695)</f>
        <v/>
      </c>
    </row>
    <row r="2696" customFormat="false" ht="15" hidden="false" customHeight="false" outlineLevel="0" collapsed="false">
      <c r="B2696" s="12" t="str">
        <f aca="false">IF(A2696="","",IFERROR(INDEX(Recipes!$B:$B,MATCH(A2696,Recipes!$A:$A,0)),"⚠ unknown recipe_id"))</f>
        <v/>
      </c>
      <c r="E2696" s="12" t="str">
        <f aca="false">IF(C2696="","",IFERROR(INDEX('Ingredient Catalog'!$C:$C,MATCH(C2696,'Ingredient Catalog'!$A:$A,0)),"⚠ not in catalog"))</f>
        <v/>
      </c>
      <c r="G2696" s="12" t="str">
        <f aca="false">IF(A2696="","",COUNTIFS('Weekly Log'!$A:$A,'Grocery List'!$B$3,'Weekly Log'!$C:$C,A2696,'Weekly Log'!$E:$E,"Yes"))</f>
        <v/>
      </c>
      <c r="H2696" s="12" t="str">
        <f aca="false">IF(OR(A2696="",D2696=""),"",D2696*G2696)</f>
        <v/>
      </c>
    </row>
    <row r="2697" customFormat="false" ht="15" hidden="false" customHeight="false" outlineLevel="0" collapsed="false">
      <c r="B2697" s="12" t="str">
        <f aca="false">IF(A2697="","",IFERROR(INDEX(Recipes!$B:$B,MATCH(A2697,Recipes!$A:$A,0)),"⚠ unknown recipe_id"))</f>
        <v/>
      </c>
      <c r="E2697" s="12" t="str">
        <f aca="false">IF(C2697="","",IFERROR(INDEX('Ingredient Catalog'!$C:$C,MATCH(C2697,'Ingredient Catalog'!$A:$A,0)),"⚠ not in catalog"))</f>
        <v/>
      </c>
      <c r="G2697" s="12" t="str">
        <f aca="false">IF(A2697="","",COUNTIFS('Weekly Log'!$A:$A,'Grocery List'!$B$3,'Weekly Log'!$C:$C,A2697,'Weekly Log'!$E:$E,"Yes"))</f>
        <v/>
      </c>
      <c r="H2697" s="12" t="str">
        <f aca="false">IF(OR(A2697="",D2697=""),"",D2697*G2697)</f>
        <v/>
      </c>
    </row>
    <row r="2698" customFormat="false" ht="15" hidden="false" customHeight="false" outlineLevel="0" collapsed="false">
      <c r="B2698" s="12" t="str">
        <f aca="false">IF(A2698="","",IFERROR(INDEX(Recipes!$B:$B,MATCH(A2698,Recipes!$A:$A,0)),"⚠ unknown recipe_id"))</f>
        <v/>
      </c>
      <c r="E2698" s="12" t="str">
        <f aca="false">IF(C2698="","",IFERROR(INDEX('Ingredient Catalog'!$C:$C,MATCH(C2698,'Ingredient Catalog'!$A:$A,0)),"⚠ not in catalog"))</f>
        <v/>
      </c>
      <c r="G2698" s="12" t="str">
        <f aca="false">IF(A2698="","",COUNTIFS('Weekly Log'!$A:$A,'Grocery List'!$B$3,'Weekly Log'!$C:$C,A2698,'Weekly Log'!$E:$E,"Yes"))</f>
        <v/>
      </c>
      <c r="H2698" s="12" t="str">
        <f aca="false">IF(OR(A2698="",D2698=""),"",D2698*G2698)</f>
        <v/>
      </c>
    </row>
    <row r="2699" customFormat="false" ht="15" hidden="false" customHeight="false" outlineLevel="0" collapsed="false">
      <c r="B2699" s="12" t="str">
        <f aca="false">IF(A2699="","",IFERROR(INDEX(Recipes!$B:$B,MATCH(A2699,Recipes!$A:$A,0)),"⚠ unknown recipe_id"))</f>
        <v/>
      </c>
      <c r="E2699" s="12" t="str">
        <f aca="false">IF(C2699="","",IFERROR(INDEX('Ingredient Catalog'!$C:$C,MATCH(C2699,'Ingredient Catalog'!$A:$A,0)),"⚠ not in catalog"))</f>
        <v/>
      </c>
      <c r="G2699" s="12" t="str">
        <f aca="false">IF(A2699="","",COUNTIFS('Weekly Log'!$A:$A,'Grocery List'!$B$3,'Weekly Log'!$C:$C,A2699,'Weekly Log'!$E:$E,"Yes"))</f>
        <v/>
      </c>
      <c r="H2699" s="12" t="str">
        <f aca="false">IF(OR(A2699="",D2699=""),"",D2699*G2699)</f>
        <v/>
      </c>
    </row>
    <row r="2700" customFormat="false" ht="15" hidden="false" customHeight="false" outlineLevel="0" collapsed="false">
      <c r="B2700" s="12" t="str">
        <f aca="false">IF(A2700="","",IFERROR(INDEX(Recipes!$B:$B,MATCH(A2700,Recipes!$A:$A,0)),"⚠ unknown recipe_id"))</f>
        <v/>
      </c>
      <c r="E2700" s="12" t="str">
        <f aca="false">IF(C2700="","",IFERROR(INDEX('Ingredient Catalog'!$C:$C,MATCH(C2700,'Ingredient Catalog'!$A:$A,0)),"⚠ not in catalog"))</f>
        <v/>
      </c>
      <c r="G2700" s="12" t="str">
        <f aca="false">IF(A2700="","",COUNTIFS('Weekly Log'!$A:$A,'Grocery List'!$B$3,'Weekly Log'!$C:$C,A2700,'Weekly Log'!$E:$E,"Yes"))</f>
        <v/>
      </c>
      <c r="H2700" s="12" t="str">
        <f aca="false">IF(OR(A2700="",D2700=""),"",D2700*G2700)</f>
        <v/>
      </c>
    </row>
    <row r="2701" customFormat="false" ht="15" hidden="false" customHeight="false" outlineLevel="0" collapsed="false">
      <c r="B2701" s="12" t="str">
        <f aca="false">IF(A2701="","",IFERROR(INDEX(Recipes!$B:$B,MATCH(A2701,Recipes!$A:$A,0)),"⚠ unknown recipe_id"))</f>
        <v/>
      </c>
      <c r="E2701" s="12" t="str">
        <f aca="false">IF(C2701="","",IFERROR(INDEX('Ingredient Catalog'!$C:$C,MATCH(C2701,'Ingredient Catalog'!$A:$A,0)),"⚠ not in catalog"))</f>
        <v/>
      </c>
      <c r="G2701" s="12" t="str">
        <f aca="false">IF(A2701="","",COUNTIFS('Weekly Log'!$A:$A,'Grocery List'!$B$3,'Weekly Log'!$C:$C,A2701,'Weekly Log'!$E:$E,"Yes"))</f>
        <v/>
      </c>
      <c r="H2701" s="12" t="str">
        <f aca="false">IF(OR(A2701="",D2701=""),"",D2701*G2701)</f>
        <v/>
      </c>
    </row>
    <row r="2702" customFormat="false" ht="15" hidden="false" customHeight="false" outlineLevel="0" collapsed="false">
      <c r="B2702" s="12" t="str">
        <f aca="false">IF(A2702="","",IFERROR(INDEX(Recipes!$B:$B,MATCH(A2702,Recipes!$A:$A,0)),"⚠ unknown recipe_id"))</f>
        <v/>
      </c>
      <c r="E2702" s="12" t="str">
        <f aca="false">IF(C2702="","",IFERROR(INDEX('Ingredient Catalog'!$C:$C,MATCH(C2702,'Ingredient Catalog'!$A:$A,0)),"⚠ not in catalog"))</f>
        <v/>
      </c>
      <c r="G2702" s="12" t="str">
        <f aca="false">IF(A2702="","",COUNTIFS('Weekly Log'!$A:$A,'Grocery List'!$B$3,'Weekly Log'!$C:$C,A2702,'Weekly Log'!$E:$E,"Yes"))</f>
        <v/>
      </c>
      <c r="H2702" s="12" t="str">
        <f aca="false">IF(OR(A2702="",D2702=""),"",D2702*G2702)</f>
        <v/>
      </c>
    </row>
    <row r="2703" customFormat="false" ht="15" hidden="false" customHeight="false" outlineLevel="0" collapsed="false">
      <c r="B2703" s="12" t="str">
        <f aca="false">IF(A2703="","",IFERROR(INDEX(Recipes!$B:$B,MATCH(A2703,Recipes!$A:$A,0)),"⚠ unknown recipe_id"))</f>
        <v/>
      </c>
      <c r="E2703" s="12" t="str">
        <f aca="false">IF(C2703="","",IFERROR(INDEX('Ingredient Catalog'!$C:$C,MATCH(C2703,'Ingredient Catalog'!$A:$A,0)),"⚠ not in catalog"))</f>
        <v/>
      </c>
      <c r="G2703" s="12" t="str">
        <f aca="false">IF(A2703="","",COUNTIFS('Weekly Log'!$A:$A,'Grocery List'!$B$3,'Weekly Log'!$C:$C,A2703,'Weekly Log'!$E:$E,"Yes"))</f>
        <v/>
      </c>
      <c r="H2703" s="12" t="str">
        <f aca="false">IF(OR(A2703="",D2703=""),"",D2703*G2703)</f>
        <v/>
      </c>
    </row>
    <row r="2704" customFormat="false" ht="15" hidden="false" customHeight="false" outlineLevel="0" collapsed="false">
      <c r="B2704" s="12" t="str">
        <f aca="false">IF(A2704="","",IFERROR(INDEX(Recipes!$B:$B,MATCH(A2704,Recipes!$A:$A,0)),"⚠ unknown recipe_id"))</f>
        <v/>
      </c>
      <c r="E2704" s="12" t="str">
        <f aca="false">IF(C2704="","",IFERROR(INDEX('Ingredient Catalog'!$C:$C,MATCH(C2704,'Ingredient Catalog'!$A:$A,0)),"⚠ not in catalog"))</f>
        <v/>
      </c>
      <c r="G2704" s="12" t="str">
        <f aca="false">IF(A2704="","",COUNTIFS('Weekly Log'!$A:$A,'Grocery List'!$B$3,'Weekly Log'!$C:$C,A2704,'Weekly Log'!$E:$E,"Yes"))</f>
        <v/>
      </c>
      <c r="H2704" s="12" t="str">
        <f aca="false">IF(OR(A2704="",D2704=""),"",D2704*G2704)</f>
        <v/>
      </c>
    </row>
    <row r="2705" customFormat="false" ht="15" hidden="false" customHeight="false" outlineLevel="0" collapsed="false">
      <c r="B2705" s="12" t="str">
        <f aca="false">IF(A2705="","",IFERROR(INDEX(Recipes!$B:$B,MATCH(A2705,Recipes!$A:$A,0)),"⚠ unknown recipe_id"))</f>
        <v/>
      </c>
      <c r="E2705" s="12" t="str">
        <f aca="false">IF(C2705="","",IFERROR(INDEX('Ingredient Catalog'!$C:$C,MATCH(C2705,'Ingredient Catalog'!$A:$A,0)),"⚠ not in catalog"))</f>
        <v/>
      </c>
      <c r="G2705" s="12" t="str">
        <f aca="false">IF(A2705="","",COUNTIFS('Weekly Log'!$A:$A,'Grocery List'!$B$3,'Weekly Log'!$C:$C,A2705,'Weekly Log'!$E:$E,"Yes"))</f>
        <v/>
      </c>
      <c r="H2705" s="12" t="str">
        <f aca="false">IF(OR(A2705="",D2705=""),"",D2705*G2705)</f>
        <v/>
      </c>
    </row>
    <row r="2706" customFormat="false" ht="15" hidden="false" customHeight="false" outlineLevel="0" collapsed="false">
      <c r="B2706" s="12" t="str">
        <f aca="false">IF(A2706="","",IFERROR(INDEX(Recipes!$B:$B,MATCH(A2706,Recipes!$A:$A,0)),"⚠ unknown recipe_id"))</f>
        <v/>
      </c>
      <c r="E2706" s="12" t="str">
        <f aca="false">IF(C2706="","",IFERROR(INDEX('Ingredient Catalog'!$C:$C,MATCH(C2706,'Ingredient Catalog'!$A:$A,0)),"⚠ not in catalog"))</f>
        <v/>
      </c>
      <c r="G2706" s="12" t="str">
        <f aca="false">IF(A2706="","",COUNTIFS('Weekly Log'!$A:$A,'Grocery List'!$B$3,'Weekly Log'!$C:$C,A2706,'Weekly Log'!$E:$E,"Yes"))</f>
        <v/>
      </c>
      <c r="H2706" s="12" t="str">
        <f aca="false">IF(OR(A2706="",D2706=""),"",D2706*G2706)</f>
        <v/>
      </c>
    </row>
    <row r="2707" customFormat="false" ht="15" hidden="false" customHeight="false" outlineLevel="0" collapsed="false">
      <c r="B2707" s="12" t="str">
        <f aca="false">IF(A2707="","",IFERROR(INDEX(Recipes!$B:$B,MATCH(A2707,Recipes!$A:$A,0)),"⚠ unknown recipe_id"))</f>
        <v/>
      </c>
      <c r="E2707" s="12" t="str">
        <f aca="false">IF(C2707="","",IFERROR(INDEX('Ingredient Catalog'!$C:$C,MATCH(C2707,'Ingredient Catalog'!$A:$A,0)),"⚠ not in catalog"))</f>
        <v/>
      </c>
      <c r="G2707" s="12" t="str">
        <f aca="false">IF(A2707="","",COUNTIFS('Weekly Log'!$A:$A,'Grocery List'!$B$3,'Weekly Log'!$C:$C,A2707,'Weekly Log'!$E:$E,"Yes"))</f>
        <v/>
      </c>
      <c r="H2707" s="12" t="str">
        <f aca="false">IF(OR(A2707="",D2707=""),"",D2707*G2707)</f>
        <v/>
      </c>
    </row>
    <row r="2708" customFormat="false" ht="15" hidden="false" customHeight="false" outlineLevel="0" collapsed="false">
      <c r="B2708" s="12" t="str">
        <f aca="false">IF(A2708="","",IFERROR(INDEX(Recipes!$B:$B,MATCH(A2708,Recipes!$A:$A,0)),"⚠ unknown recipe_id"))</f>
        <v/>
      </c>
      <c r="E2708" s="12" t="str">
        <f aca="false">IF(C2708="","",IFERROR(INDEX('Ingredient Catalog'!$C:$C,MATCH(C2708,'Ingredient Catalog'!$A:$A,0)),"⚠ not in catalog"))</f>
        <v/>
      </c>
      <c r="G2708" s="12" t="str">
        <f aca="false">IF(A2708="","",COUNTIFS('Weekly Log'!$A:$A,'Grocery List'!$B$3,'Weekly Log'!$C:$C,A2708,'Weekly Log'!$E:$E,"Yes"))</f>
        <v/>
      </c>
      <c r="H2708" s="12" t="str">
        <f aca="false">IF(OR(A2708="",D2708=""),"",D2708*G2708)</f>
        <v/>
      </c>
    </row>
    <row r="2709" customFormat="false" ht="15" hidden="false" customHeight="false" outlineLevel="0" collapsed="false">
      <c r="B2709" s="12" t="str">
        <f aca="false">IF(A2709="","",IFERROR(INDEX(Recipes!$B:$B,MATCH(A2709,Recipes!$A:$A,0)),"⚠ unknown recipe_id"))</f>
        <v/>
      </c>
      <c r="E2709" s="12" t="str">
        <f aca="false">IF(C2709="","",IFERROR(INDEX('Ingredient Catalog'!$C:$C,MATCH(C2709,'Ingredient Catalog'!$A:$A,0)),"⚠ not in catalog"))</f>
        <v/>
      </c>
      <c r="G2709" s="12" t="str">
        <f aca="false">IF(A2709="","",COUNTIFS('Weekly Log'!$A:$A,'Grocery List'!$B$3,'Weekly Log'!$C:$C,A2709,'Weekly Log'!$E:$E,"Yes"))</f>
        <v/>
      </c>
      <c r="H2709" s="12" t="str">
        <f aca="false">IF(OR(A2709="",D2709=""),"",D2709*G2709)</f>
        <v/>
      </c>
    </row>
    <row r="2710" customFormat="false" ht="15" hidden="false" customHeight="false" outlineLevel="0" collapsed="false">
      <c r="B2710" s="12" t="str">
        <f aca="false">IF(A2710="","",IFERROR(INDEX(Recipes!$B:$B,MATCH(A2710,Recipes!$A:$A,0)),"⚠ unknown recipe_id"))</f>
        <v/>
      </c>
      <c r="E2710" s="12" t="str">
        <f aca="false">IF(C2710="","",IFERROR(INDEX('Ingredient Catalog'!$C:$C,MATCH(C2710,'Ingredient Catalog'!$A:$A,0)),"⚠ not in catalog"))</f>
        <v/>
      </c>
      <c r="G2710" s="12" t="str">
        <f aca="false">IF(A2710="","",COUNTIFS('Weekly Log'!$A:$A,'Grocery List'!$B$3,'Weekly Log'!$C:$C,A2710,'Weekly Log'!$E:$E,"Yes"))</f>
        <v/>
      </c>
      <c r="H2710" s="12" t="str">
        <f aca="false">IF(OR(A2710="",D2710=""),"",D2710*G2710)</f>
        <v/>
      </c>
    </row>
    <row r="2711" customFormat="false" ht="15" hidden="false" customHeight="false" outlineLevel="0" collapsed="false">
      <c r="B2711" s="12" t="str">
        <f aca="false">IF(A2711="","",IFERROR(INDEX(Recipes!$B:$B,MATCH(A2711,Recipes!$A:$A,0)),"⚠ unknown recipe_id"))</f>
        <v/>
      </c>
      <c r="E2711" s="12" t="str">
        <f aca="false">IF(C2711="","",IFERROR(INDEX('Ingredient Catalog'!$C:$C,MATCH(C2711,'Ingredient Catalog'!$A:$A,0)),"⚠ not in catalog"))</f>
        <v/>
      </c>
      <c r="G2711" s="12" t="str">
        <f aca="false">IF(A2711="","",COUNTIFS('Weekly Log'!$A:$A,'Grocery List'!$B$3,'Weekly Log'!$C:$C,A2711,'Weekly Log'!$E:$E,"Yes"))</f>
        <v/>
      </c>
      <c r="H2711" s="12" t="str">
        <f aca="false">IF(OR(A2711="",D2711=""),"",D2711*G2711)</f>
        <v/>
      </c>
    </row>
    <row r="2712" customFormat="false" ht="15" hidden="false" customHeight="false" outlineLevel="0" collapsed="false">
      <c r="B2712" s="12" t="str">
        <f aca="false">IF(A2712="","",IFERROR(INDEX(Recipes!$B:$B,MATCH(A2712,Recipes!$A:$A,0)),"⚠ unknown recipe_id"))</f>
        <v/>
      </c>
      <c r="E2712" s="12" t="str">
        <f aca="false">IF(C2712="","",IFERROR(INDEX('Ingredient Catalog'!$C:$C,MATCH(C2712,'Ingredient Catalog'!$A:$A,0)),"⚠ not in catalog"))</f>
        <v/>
      </c>
      <c r="G2712" s="12" t="str">
        <f aca="false">IF(A2712="","",COUNTIFS('Weekly Log'!$A:$A,'Grocery List'!$B$3,'Weekly Log'!$C:$C,A2712,'Weekly Log'!$E:$E,"Yes"))</f>
        <v/>
      </c>
      <c r="H2712" s="12" t="str">
        <f aca="false">IF(OR(A2712="",D2712=""),"",D2712*G2712)</f>
        <v/>
      </c>
    </row>
    <row r="2713" customFormat="false" ht="15" hidden="false" customHeight="false" outlineLevel="0" collapsed="false">
      <c r="B2713" s="12" t="str">
        <f aca="false">IF(A2713="","",IFERROR(INDEX(Recipes!$B:$B,MATCH(A2713,Recipes!$A:$A,0)),"⚠ unknown recipe_id"))</f>
        <v/>
      </c>
      <c r="E2713" s="12" t="str">
        <f aca="false">IF(C2713="","",IFERROR(INDEX('Ingredient Catalog'!$C:$C,MATCH(C2713,'Ingredient Catalog'!$A:$A,0)),"⚠ not in catalog"))</f>
        <v/>
      </c>
      <c r="G2713" s="12" t="str">
        <f aca="false">IF(A2713="","",COUNTIFS('Weekly Log'!$A:$A,'Grocery List'!$B$3,'Weekly Log'!$C:$C,A2713,'Weekly Log'!$E:$E,"Yes"))</f>
        <v/>
      </c>
      <c r="H2713" s="12" t="str">
        <f aca="false">IF(OR(A2713="",D2713=""),"",D2713*G2713)</f>
        <v/>
      </c>
    </row>
    <row r="2714" customFormat="false" ht="15" hidden="false" customHeight="false" outlineLevel="0" collapsed="false">
      <c r="B2714" s="12" t="str">
        <f aca="false">IF(A2714="","",IFERROR(INDEX(Recipes!$B:$B,MATCH(A2714,Recipes!$A:$A,0)),"⚠ unknown recipe_id"))</f>
        <v/>
      </c>
      <c r="E2714" s="12" t="str">
        <f aca="false">IF(C2714="","",IFERROR(INDEX('Ingredient Catalog'!$C:$C,MATCH(C2714,'Ingredient Catalog'!$A:$A,0)),"⚠ not in catalog"))</f>
        <v/>
      </c>
      <c r="G2714" s="12" t="str">
        <f aca="false">IF(A2714="","",COUNTIFS('Weekly Log'!$A:$A,'Grocery List'!$B$3,'Weekly Log'!$C:$C,A2714,'Weekly Log'!$E:$E,"Yes"))</f>
        <v/>
      </c>
      <c r="H2714" s="12" t="str">
        <f aca="false">IF(OR(A2714="",D2714=""),"",D2714*G2714)</f>
        <v/>
      </c>
    </row>
    <row r="2715" customFormat="false" ht="15" hidden="false" customHeight="false" outlineLevel="0" collapsed="false">
      <c r="B2715" s="12" t="str">
        <f aca="false">IF(A2715="","",IFERROR(INDEX(Recipes!$B:$B,MATCH(A2715,Recipes!$A:$A,0)),"⚠ unknown recipe_id"))</f>
        <v/>
      </c>
      <c r="E2715" s="12" t="str">
        <f aca="false">IF(C2715="","",IFERROR(INDEX('Ingredient Catalog'!$C:$C,MATCH(C2715,'Ingredient Catalog'!$A:$A,0)),"⚠ not in catalog"))</f>
        <v/>
      </c>
      <c r="G2715" s="12" t="str">
        <f aca="false">IF(A2715="","",COUNTIFS('Weekly Log'!$A:$A,'Grocery List'!$B$3,'Weekly Log'!$C:$C,A2715,'Weekly Log'!$E:$E,"Yes"))</f>
        <v/>
      </c>
      <c r="H2715" s="12" t="str">
        <f aca="false">IF(OR(A2715="",D2715=""),"",D2715*G2715)</f>
        <v/>
      </c>
    </row>
    <row r="2716" customFormat="false" ht="15" hidden="false" customHeight="false" outlineLevel="0" collapsed="false">
      <c r="B2716" s="12" t="str">
        <f aca="false">IF(A2716="","",IFERROR(INDEX(Recipes!$B:$B,MATCH(A2716,Recipes!$A:$A,0)),"⚠ unknown recipe_id"))</f>
        <v/>
      </c>
      <c r="E2716" s="12" t="str">
        <f aca="false">IF(C2716="","",IFERROR(INDEX('Ingredient Catalog'!$C:$C,MATCH(C2716,'Ingredient Catalog'!$A:$A,0)),"⚠ not in catalog"))</f>
        <v/>
      </c>
      <c r="G2716" s="12" t="str">
        <f aca="false">IF(A2716="","",COUNTIFS('Weekly Log'!$A:$A,'Grocery List'!$B$3,'Weekly Log'!$C:$C,A2716,'Weekly Log'!$E:$E,"Yes"))</f>
        <v/>
      </c>
      <c r="H2716" s="12" t="str">
        <f aca="false">IF(OR(A2716="",D2716=""),"",D2716*G2716)</f>
        <v/>
      </c>
    </row>
    <row r="2717" customFormat="false" ht="15" hidden="false" customHeight="false" outlineLevel="0" collapsed="false">
      <c r="B2717" s="12" t="str">
        <f aca="false">IF(A2717="","",IFERROR(INDEX(Recipes!$B:$B,MATCH(A2717,Recipes!$A:$A,0)),"⚠ unknown recipe_id"))</f>
        <v/>
      </c>
      <c r="E2717" s="12" t="str">
        <f aca="false">IF(C2717="","",IFERROR(INDEX('Ingredient Catalog'!$C:$C,MATCH(C2717,'Ingredient Catalog'!$A:$A,0)),"⚠ not in catalog"))</f>
        <v/>
      </c>
      <c r="G2717" s="12" t="str">
        <f aca="false">IF(A2717="","",COUNTIFS('Weekly Log'!$A:$A,'Grocery List'!$B$3,'Weekly Log'!$C:$C,A2717,'Weekly Log'!$E:$E,"Yes"))</f>
        <v/>
      </c>
      <c r="H2717" s="12" t="str">
        <f aca="false">IF(OR(A2717="",D2717=""),"",D2717*G2717)</f>
        <v/>
      </c>
    </row>
    <row r="2718" customFormat="false" ht="15" hidden="false" customHeight="false" outlineLevel="0" collapsed="false">
      <c r="B2718" s="12" t="str">
        <f aca="false">IF(A2718="","",IFERROR(INDEX(Recipes!$B:$B,MATCH(A2718,Recipes!$A:$A,0)),"⚠ unknown recipe_id"))</f>
        <v/>
      </c>
      <c r="E2718" s="12" t="str">
        <f aca="false">IF(C2718="","",IFERROR(INDEX('Ingredient Catalog'!$C:$C,MATCH(C2718,'Ingredient Catalog'!$A:$A,0)),"⚠ not in catalog"))</f>
        <v/>
      </c>
      <c r="G2718" s="12" t="str">
        <f aca="false">IF(A2718="","",COUNTIFS('Weekly Log'!$A:$A,'Grocery List'!$B$3,'Weekly Log'!$C:$C,A2718,'Weekly Log'!$E:$E,"Yes"))</f>
        <v/>
      </c>
      <c r="H2718" s="12" t="str">
        <f aca="false">IF(OR(A2718="",D2718=""),"",D2718*G2718)</f>
        <v/>
      </c>
    </row>
    <row r="2719" customFormat="false" ht="15" hidden="false" customHeight="false" outlineLevel="0" collapsed="false">
      <c r="B2719" s="12" t="str">
        <f aca="false">IF(A2719="","",IFERROR(INDEX(Recipes!$B:$B,MATCH(A2719,Recipes!$A:$A,0)),"⚠ unknown recipe_id"))</f>
        <v/>
      </c>
      <c r="E2719" s="12" t="str">
        <f aca="false">IF(C2719="","",IFERROR(INDEX('Ingredient Catalog'!$C:$C,MATCH(C2719,'Ingredient Catalog'!$A:$A,0)),"⚠ not in catalog"))</f>
        <v/>
      </c>
      <c r="G2719" s="12" t="str">
        <f aca="false">IF(A2719="","",COUNTIFS('Weekly Log'!$A:$A,'Grocery List'!$B$3,'Weekly Log'!$C:$C,A2719,'Weekly Log'!$E:$E,"Yes"))</f>
        <v/>
      </c>
      <c r="H2719" s="12" t="str">
        <f aca="false">IF(OR(A2719="",D2719=""),"",D2719*G2719)</f>
        <v/>
      </c>
    </row>
    <row r="2720" customFormat="false" ht="15" hidden="false" customHeight="false" outlineLevel="0" collapsed="false">
      <c r="B2720" s="12" t="str">
        <f aca="false">IF(A2720="","",IFERROR(INDEX(Recipes!$B:$B,MATCH(A2720,Recipes!$A:$A,0)),"⚠ unknown recipe_id"))</f>
        <v/>
      </c>
      <c r="E2720" s="12" t="str">
        <f aca="false">IF(C2720="","",IFERROR(INDEX('Ingredient Catalog'!$C:$C,MATCH(C2720,'Ingredient Catalog'!$A:$A,0)),"⚠ not in catalog"))</f>
        <v/>
      </c>
      <c r="G2720" s="12" t="str">
        <f aca="false">IF(A2720="","",COUNTIFS('Weekly Log'!$A:$A,'Grocery List'!$B$3,'Weekly Log'!$C:$C,A2720,'Weekly Log'!$E:$E,"Yes"))</f>
        <v/>
      </c>
      <c r="H2720" s="12" t="str">
        <f aca="false">IF(OR(A2720="",D2720=""),"",D2720*G2720)</f>
        <v/>
      </c>
    </row>
    <row r="2721" customFormat="false" ht="15" hidden="false" customHeight="false" outlineLevel="0" collapsed="false">
      <c r="B2721" s="12" t="str">
        <f aca="false">IF(A2721="","",IFERROR(INDEX(Recipes!$B:$B,MATCH(A2721,Recipes!$A:$A,0)),"⚠ unknown recipe_id"))</f>
        <v/>
      </c>
      <c r="E2721" s="12" t="str">
        <f aca="false">IF(C2721="","",IFERROR(INDEX('Ingredient Catalog'!$C:$C,MATCH(C2721,'Ingredient Catalog'!$A:$A,0)),"⚠ not in catalog"))</f>
        <v/>
      </c>
      <c r="G2721" s="12" t="str">
        <f aca="false">IF(A2721="","",COUNTIFS('Weekly Log'!$A:$A,'Grocery List'!$B$3,'Weekly Log'!$C:$C,A2721,'Weekly Log'!$E:$E,"Yes"))</f>
        <v/>
      </c>
      <c r="H2721" s="12" t="str">
        <f aca="false">IF(OR(A2721="",D2721=""),"",D2721*G2721)</f>
        <v/>
      </c>
    </row>
    <row r="2722" customFormat="false" ht="15" hidden="false" customHeight="false" outlineLevel="0" collapsed="false">
      <c r="B2722" s="12" t="str">
        <f aca="false">IF(A2722="","",IFERROR(INDEX(Recipes!$B:$B,MATCH(A2722,Recipes!$A:$A,0)),"⚠ unknown recipe_id"))</f>
        <v/>
      </c>
      <c r="E2722" s="12" t="str">
        <f aca="false">IF(C2722="","",IFERROR(INDEX('Ingredient Catalog'!$C:$C,MATCH(C2722,'Ingredient Catalog'!$A:$A,0)),"⚠ not in catalog"))</f>
        <v/>
      </c>
      <c r="G2722" s="12" t="str">
        <f aca="false">IF(A2722="","",COUNTIFS('Weekly Log'!$A:$A,'Grocery List'!$B$3,'Weekly Log'!$C:$C,A2722,'Weekly Log'!$E:$E,"Yes"))</f>
        <v/>
      </c>
      <c r="H2722" s="12" t="str">
        <f aca="false">IF(OR(A2722="",D2722=""),"",D2722*G2722)</f>
        <v/>
      </c>
    </row>
    <row r="2723" customFormat="false" ht="15" hidden="false" customHeight="false" outlineLevel="0" collapsed="false">
      <c r="B2723" s="12" t="str">
        <f aca="false">IF(A2723="","",IFERROR(INDEX(Recipes!$B:$B,MATCH(A2723,Recipes!$A:$A,0)),"⚠ unknown recipe_id"))</f>
        <v/>
      </c>
      <c r="E2723" s="12" t="str">
        <f aca="false">IF(C2723="","",IFERROR(INDEX('Ingredient Catalog'!$C:$C,MATCH(C2723,'Ingredient Catalog'!$A:$A,0)),"⚠ not in catalog"))</f>
        <v/>
      </c>
      <c r="G2723" s="12" t="str">
        <f aca="false">IF(A2723="","",COUNTIFS('Weekly Log'!$A:$A,'Grocery List'!$B$3,'Weekly Log'!$C:$C,A2723,'Weekly Log'!$E:$E,"Yes"))</f>
        <v/>
      </c>
      <c r="H2723" s="12" t="str">
        <f aca="false">IF(OR(A2723="",D2723=""),"",D2723*G2723)</f>
        <v/>
      </c>
    </row>
    <row r="2724" customFormat="false" ht="15" hidden="false" customHeight="false" outlineLevel="0" collapsed="false">
      <c r="B2724" s="12" t="str">
        <f aca="false">IF(A2724="","",IFERROR(INDEX(Recipes!$B:$B,MATCH(A2724,Recipes!$A:$A,0)),"⚠ unknown recipe_id"))</f>
        <v/>
      </c>
      <c r="E2724" s="12" t="str">
        <f aca="false">IF(C2724="","",IFERROR(INDEX('Ingredient Catalog'!$C:$C,MATCH(C2724,'Ingredient Catalog'!$A:$A,0)),"⚠ not in catalog"))</f>
        <v/>
      </c>
      <c r="G2724" s="12" t="str">
        <f aca="false">IF(A2724="","",COUNTIFS('Weekly Log'!$A:$A,'Grocery List'!$B$3,'Weekly Log'!$C:$C,A2724,'Weekly Log'!$E:$E,"Yes"))</f>
        <v/>
      </c>
      <c r="H2724" s="12" t="str">
        <f aca="false">IF(OR(A2724="",D2724=""),"",D2724*G2724)</f>
        <v/>
      </c>
    </row>
    <row r="2725" customFormat="false" ht="15" hidden="false" customHeight="false" outlineLevel="0" collapsed="false">
      <c r="B2725" s="12" t="str">
        <f aca="false">IF(A2725="","",IFERROR(INDEX(Recipes!$B:$B,MATCH(A2725,Recipes!$A:$A,0)),"⚠ unknown recipe_id"))</f>
        <v/>
      </c>
      <c r="E2725" s="12" t="str">
        <f aca="false">IF(C2725="","",IFERROR(INDEX('Ingredient Catalog'!$C:$C,MATCH(C2725,'Ingredient Catalog'!$A:$A,0)),"⚠ not in catalog"))</f>
        <v/>
      </c>
      <c r="G2725" s="12" t="str">
        <f aca="false">IF(A2725="","",COUNTIFS('Weekly Log'!$A:$A,'Grocery List'!$B$3,'Weekly Log'!$C:$C,A2725,'Weekly Log'!$E:$E,"Yes"))</f>
        <v/>
      </c>
      <c r="H2725" s="12" t="str">
        <f aca="false">IF(OR(A2725="",D2725=""),"",D2725*G2725)</f>
        <v/>
      </c>
    </row>
    <row r="2726" customFormat="false" ht="15" hidden="false" customHeight="false" outlineLevel="0" collapsed="false">
      <c r="B2726" s="12" t="str">
        <f aca="false">IF(A2726="","",IFERROR(INDEX(Recipes!$B:$B,MATCH(A2726,Recipes!$A:$A,0)),"⚠ unknown recipe_id"))</f>
        <v/>
      </c>
      <c r="E2726" s="12" t="str">
        <f aca="false">IF(C2726="","",IFERROR(INDEX('Ingredient Catalog'!$C:$C,MATCH(C2726,'Ingredient Catalog'!$A:$A,0)),"⚠ not in catalog"))</f>
        <v/>
      </c>
      <c r="G2726" s="12" t="str">
        <f aca="false">IF(A2726="","",COUNTIFS('Weekly Log'!$A:$A,'Grocery List'!$B$3,'Weekly Log'!$C:$C,A2726,'Weekly Log'!$E:$E,"Yes"))</f>
        <v/>
      </c>
      <c r="H2726" s="12" t="str">
        <f aca="false">IF(OR(A2726="",D2726=""),"",D2726*G2726)</f>
        <v/>
      </c>
    </row>
    <row r="2727" customFormat="false" ht="15" hidden="false" customHeight="false" outlineLevel="0" collapsed="false">
      <c r="B2727" s="12" t="str">
        <f aca="false">IF(A2727="","",IFERROR(INDEX(Recipes!$B:$B,MATCH(A2727,Recipes!$A:$A,0)),"⚠ unknown recipe_id"))</f>
        <v/>
      </c>
      <c r="E2727" s="12" t="str">
        <f aca="false">IF(C2727="","",IFERROR(INDEX('Ingredient Catalog'!$C:$C,MATCH(C2727,'Ingredient Catalog'!$A:$A,0)),"⚠ not in catalog"))</f>
        <v/>
      </c>
      <c r="G2727" s="12" t="str">
        <f aca="false">IF(A2727="","",COUNTIFS('Weekly Log'!$A:$A,'Grocery List'!$B$3,'Weekly Log'!$C:$C,A2727,'Weekly Log'!$E:$E,"Yes"))</f>
        <v/>
      </c>
      <c r="H2727" s="12" t="str">
        <f aca="false">IF(OR(A2727="",D2727=""),"",D2727*G2727)</f>
        <v/>
      </c>
    </row>
    <row r="2728" customFormat="false" ht="15" hidden="false" customHeight="false" outlineLevel="0" collapsed="false">
      <c r="B2728" s="12" t="str">
        <f aca="false">IF(A2728="","",IFERROR(INDEX(Recipes!$B:$B,MATCH(A2728,Recipes!$A:$A,0)),"⚠ unknown recipe_id"))</f>
        <v/>
      </c>
      <c r="E2728" s="12" t="str">
        <f aca="false">IF(C2728="","",IFERROR(INDEX('Ingredient Catalog'!$C:$C,MATCH(C2728,'Ingredient Catalog'!$A:$A,0)),"⚠ not in catalog"))</f>
        <v/>
      </c>
      <c r="G2728" s="12" t="str">
        <f aca="false">IF(A2728="","",COUNTIFS('Weekly Log'!$A:$A,'Grocery List'!$B$3,'Weekly Log'!$C:$C,A2728,'Weekly Log'!$E:$E,"Yes"))</f>
        <v/>
      </c>
      <c r="H2728" s="12" t="str">
        <f aca="false">IF(OR(A2728="",D2728=""),"",D2728*G2728)</f>
        <v/>
      </c>
    </row>
    <row r="2729" customFormat="false" ht="15" hidden="false" customHeight="false" outlineLevel="0" collapsed="false">
      <c r="B2729" s="12" t="str">
        <f aca="false">IF(A2729="","",IFERROR(INDEX(Recipes!$B:$B,MATCH(A2729,Recipes!$A:$A,0)),"⚠ unknown recipe_id"))</f>
        <v/>
      </c>
      <c r="E2729" s="12" t="str">
        <f aca="false">IF(C2729="","",IFERROR(INDEX('Ingredient Catalog'!$C:$C,MATCH(C2729,'Ingredient Catalog'!$A:$A,0)),"⚠ not in catalog"))</f>
        <v/>
      </c>
      <c r="G2729" s="12" t="str">
        <f aca="false">IF(A2729="","",COUNTIFS('Weekly Log'!$A:$A,'Grocery List'!$B$3,'Weekly Log'!$C:$C,A2729,'Weekly Log'!$E:$E,"Yes"))</f>
        <v/>
      </c>
      <c r="H2729" s="12" t="str">
        <f aca="false">IF(OR(A2729="",D2729=""),"",D2729*G2729)</f>
        <v/>
      </c>
    </row>
    <row r="2730" customFormat="false" ht="15" hidden="false" customHeight="false" outlineLevel="0" collapsed="false">
      <c r="B2730" s="12" t="str">
        <f aca="false">IF(A2730="","",IFERROR(INDEX(Recipes!$B:$B,MATCH(A2730,Recipes!$A:$A,0)),"⚠ unknown recipe_id"))</f>
        <v/>
      </c>
      <c r="E2730" s="12" t="str">
        <f aca="false">IF(C2730="","",IFERROR(INDEX('Ingredient Catalog'!$C:$C,MATCH(C2730,'Ingredient Catalog'!$A:$A,0)),"⚠ not in catalog"))</f>
        <v/>
      </c>
      <c r="G2730" s="12" t="str">
        <f aca="false">IF(A2730="","",COUNTIFS('Weekly Log'!$A:$A,'Grocery List'!$B$3,'Weekly Log'!$C:$C,A2730,'Weekly Log'!$E:$E,"Yes"))</f>
        <v/>
      </c>
      <c r="H2730" s="12" t="str">
        <f aca="false">IF(OR(A2730="",D2730=""),"",D2730*G2730)</f>
        <v/>
      </c>
    </row>
    <row r="2731" customFormat="false" ht="15" hidden="false" customHeight="false" outlineLevel="0" collapsed="false">
      <c r="B2731" s="12" t="str">
        <f aca="false">IF(A2731="","",IFERROR(INDEX(Recipes!$B:$B,MATCH(A2731,Recipes!$A:$A,0)),"⚠ unknown recipe_id"))</f>
        <v/>
      </c>
      <c r="E2731" s="12" t="str">
        <f aca="false">IF(C2731="","",IFERROR(INDEX('Ingredient Catalog'!$C:$C,MATCH(C2731,'Ingredient Catalog'!$A:$A,0)),"⚠ not in catalog"))</f>
        <v/>
      </c>
      <c r="G2731" s="12" t="str">
        <f aca="false">IF(A2731="","",COUNTIFS('Weekly Log'!$A:$A,'Grocery List'!$B$3,'Weekly Log'!$C:$C,A2731,'Weekly Log'!$E:$E,"Yes"))</f>
        <v/>
      </c>
      <c r="H2731" s="12" t="str">
        <f aca="false">IF(OR(A2731="",D2731=""),"",D2731*G2731)</f>
        <v/>
      </c>
    </row>
    <row r="2732" customFormat="false" ht="15" hidden="false" customHeight="false" outlineLevel="0" collapsed="false">
      <c r="B2732" s="12" t="str">
        <f aca="false">IF(A2732="","",IFERROR(INDEX(Recipes!$B:$B,MATCH(A2732,Recipes!$A:$A,0)),"⚠ unknown recipe_id"))</f>
        <v/>
      </c>
      <c r="E2732" s="12" t="str">
        <f aca="false">IF(C2732="","",IFERROR(INDEX('Ingredient Catalog'!$C:$C,MATCH(C2732,'Ingredient Catalog'!$A:$A,0)),"⚠ not in catalog"))</f>
        <v/>
      </c>
      <c r="G2732" s="12" t="str">
        <f aca="false">IF(A2732="","",COUNTIFS('Weekly Log'!$A:$A,'Grocery List'!$B$3,'Weekly Log'!$C:$C,A2732,'Weekly Log'!$E:$E,"Yes"))</f>
        <v/>
      </c>
      <c r="H2732" s="12" t="str">
        <f aca="false">IF(OR(A2732="",D2732=""),"",D2732*G2732)</f>
        <v/>
      </c>
    </row>
    <row r="2733" customFormat="false" ht="15" hidden="false" customHeight="false" outlineLevel="0" collapsed="false">
      <c r="B2733" s="12" t="str">
        <f aca="false">IF(A2733="","",IFERROR(INDEX(Recipes!$B:$B,MATCH(A2733,Recipes!$A:$A,0)),"⚠ unknown recipe_id"))</f>
        <v/>
      </c>
      <c r="E2733" s="12" t="str">
        <f aca="false">IF(C2733="","",IFERROR(INDEX('Ingredient Catalog'!$C:$C,MATCH(C2733,'Ingredient Catalog'!$A:$A,0)),"⚠ not in catalog"))</f>
        <v/>
      </c>
      <c r="G2733" s="12" t="str">
        <f aca="false">IF(A2733="","",COUNTIFS('Weekly Log'!$A:$A,'Grocery List'!$B$3,'Weekly Log'!$C:$C,A2733,'Weekly Log'!$E:$E,"Yes"))</f>
        <v/>
      </c>
      <c r="H2733" s="12" t="str">
        <f aca="false">IF(OR(A2733="",D2733=""),"",D2733*G2733)</f>
        <v/>
      </c>
    </row>
    <row r="2734" customFormat="false" ht="15" hidden="false" customHeight="false" outlineLevel="0" collapsed="false">
      <c r="B2734" s="12" t="str">
        <f aca="false">IF(A2734="","",IFERROR(INDEX(Recipes!$B:$B,MATCH(A2734,Recipes!$A:$A,0)),"⚠ unknown recipe_id"))</f>
        <v/>
      </c>
      <c r="E2734" s="12" t="str">
        <f aca="false">IF(C2734="","",IFERROR(INDEX('Ingredient Catalog'!$C:$C,MATCH(C2734,'Ingredient Catalog'!$A:$A,0)),"⚠ not in catalog"))</f>
        <v/>
      </c>
      <c r="G2734" s="12" t="str">
        <f aca="false">IF(A2734="","",COUNTIFS('Weekly Log'!$A:$A,'Grocery List'!$B$3,'Weekly Log'!$C:$C,A2734,'Weekly Log'!$E:$E,"Yes"))</f>
        <v/>
      </c>
      <c r="H2734" s="12" t="str">
        <f aca="false">IF(OR(A2734="",D2734=""),"",D2734*G2734)</f>
        <v/>
      </c>
    </row>
    <row r="2735" customFormat="false" ht="15" hidden="false" customHeight="false" outlineLevel="0" collapsed="false">
      <c r="B2735" s="12" t="str">
        <f aca="false">IF(A2735="","",IFERROR(INDEX(Recipes!$B:$B,MATCH(A2735,Recipes!$A:$A,0)),"⚠ unknown recipe_id"))</f>
        <v/>
      </c>
      <c r="E2735" s="12" t="str">
        <f aca="false">IF(C2735="","",IFERROR(INDEX('Ingredient Catalog'!$C:$C,MATCH(C2735,'Ingredient Catalog'!$A:$A,0)),"⚠ not in catalog"))</f>
        <v/>
      </c>
      <c r="G2735" s="12" t="str">
        <f aca="false">IF(A2735="","",COUNTIFS('Weekly Log'!$A:$A,'Grocery List'!$B$3,'Weekly Log'!$C:$C,A2735,'Weekly Log'!$E:$E,"Yes"))</f>
        <v/>
      </c>
      <c r="H2735" s="12" t="str">
        <f aca="false">IF(OR(A2735="",D2735=""),"",D2735*G2735)</f>
        <v/>
      </c>
    </row>
    <row r="2736" customFormat="false" ht="15" hidden="false" customHeight="false" outlineLevel="0" collapsed="false">
      <c r="B2736" s="12" t="str">
        <f aca="false">IF(A2736="","",IFERROR(INDEX(Recipes!$B:$B,MATCH(A2736,Recipes!$A:$A,0)),"⚠ unknown recipe_id"))</f>
        <v/>
      </c>
      <c r="E2736" s="12" t="str">
        <f aca="false">IF(C2736="","",IFERROR(INDEX('Ingredient Catalog'!$C:$C,MATCH(C2736,'Ingredient Catalog'!$A:$A,0)),"⚠ not in catalog"))</f>
        <v/>
      </c>
      <c r="G2736" s="12" t="str">
        <f aca="false">IF(A2736="","",COUNTIFS('Weekly Log'!$A:$A,'Grocery List'!$B$3,'Weekly Log'!$C:$C,A2736,'Weekly Log'!$E:$E,"Yes"))</f>
        <v/>
      </c>
      <c r="H2736" s="12" t="str">
        <f aca="false">IF(OR(A2736="",D2736=""),"",D2736*G2736)</f>
        <v/>
      </c>
    </row>
    <row r="2737" customFormat="false" ht="15" hidden="false" customHeight="false" outlineLevel="0" collapsed="false">
      <c r="B2737" s="12" t="str">
        <f aca="false">IF(A2737="","",IFERROR(INDEX(Recipes!$B:$B,MATCH(A2737,Recipes!$A:$A,0)),"⚠ unknown recipe_id"))</f>
        <v/>
      </c>
      <c r="E2737" s="12" t="str">
        <f aca="false">IF(C2737="","",IFERROR(INDEX('Ingredient Catalog'!$C:$C,MATCH(C2737,'Ingredient Catalog'!$A:$A,0)),"⚠ not in catalog"))</f>
        <v/>
      </c>
      <c r="G2737" s="12" t="str">
        <f aca="false">IF(A2737="","",COUNTIFS('Weekly Log'!$A:$A,'Grocery List'!$B$3,'Weekly Log'!$C:$C,A2737,'Weekly Log'!$E:$E,"Yes"))</f>
        <v/>
      </c>
      <c r="H2737" s="12" t="str">
        <f aca="false">IF(OR(A2737="",D2737=""),"",D2737*G2737)</f>
        <v/>
      </c>
    </row>
    <row r="2738" customFormat="false" ht="15" hidden="false" customHeight="false" outlineLevel="0" collapsed="false">
      <c r="B2738" s="12" t="str">
        <f aca="false">IF(A2738="","",IFERROR(INDEX(Recipes!$B:$B,MATCH(A2738,Recipes!$A:$A,0)),"⚠ unknown recipe_id"))</f>
        <v/>
      </c>
      <c r="E2738" s="12" t="str">
        <f aca="false">IF(C2738="","",IFERROR(INDEX('Ingredient Catalog'!$C:$C,MATCH(C2738,'Ingredient Catalog'!$A:$A,0)),"⚠ not in catalog"))</f>
        <v/>
      </c>
      <c r="G2738" s="12" t="str">
        <f aca="false">IF(A2738="","",COUNTIFS('Weekly Log'!$A:$A,'Grocery List'!$B$3,'Weekly Log'!$C:$C,A2738,'Weekly Log'!$E:$E,"Yes"))</f>
        <v/>
      </c>
      <c r="H2738" s="12" t="str">
        <f aca="false">IF(OR(A2738="",D2738=""),"",D2738*G2738)</f>
        <v/>
      </c>
    </row>
    <row r="2739" customFormat="false" ht="15" hidden="false" customHeight="false" outlineLevel="0" collapsed="false">
      <c r="B2739" s="12" t="str">
        <f aca="false">IF(A2739="","",IFERROR(INDEX(Recipes!$B:$B,MATCH(A2739,Recipes!$A:$A,0)),"⚠ unknown recipe_id"))</f>
        <v/>
      </c>
      <c r="E2739" s="12" t="str">
        <f aca="false">IF(C2739="","",IFERROR(INDEX('Ingredient Catalog'!$C:$C,MATCH(C2739,'Ingredient Catalog'!$A:$A,0)),"⚠ not in catalog"))</f>
        <v/>
      </c>
      <c r="G2739" s="12" t="str">
        <f aca="false">IF(A2739="","",COUNTIFS('Weekly Log'!$A:$A,'Grocery List'!$B$3,'Weekly Log'!$C:$C,A2739,'Weekly Log'!$E:$E,"Yes"))</f>
        <v/>
      </c>
      <c r="H2739" s="12" t="str">
        <f aca="false">IF(OR(A2739="",D2739=""),"",D2739*G2739)</f>
        <v/>
      </c>
    </row>
    <row r="2740" customFormat="false" ht="15" hidden="false" customHeight="false" outlineLevel="0" collapsed="false">
      <c r="B2740" s="12" t="str">
        <f aca="false">IF(A2740="","",IFERROR(INDEX(Recipes!$B:$B,MATCH(A2740,Recipes!$A:$A,0)),"⚠ unknown recipe_id"))</f>
        <v/>
      </c>
      <c r="E2740" s="12" t="str">
        <f aca="false">IF(C2740="","",IFERROR(INDEX('Ingredient Catalog'!$C:$C,MATCH(C2740,'Ingredient Catalog'!$A:$A,0)),"⚠ not in catalog"))</f>
        <v/>
      </c>
      <c r="G2740" s="12" t="str">
        <f aca="false">IF(A2740="","",COUNTIFS('Weekly Log'!$A:$A,'Grocery List'!$B$3,'Weekly Log'!$C:$C,A2740,'Weekly Log'!$E:$E,"Yes"))</f>
        <v/>
      </c>
      <c r="H2740" s="12" t="str">
        <f aca="false">IF(OR(A2740="",D2740=""),"",D2740*G2740)</f>
        <v/>
      </c>
    </row>
    <row r="2741" customFormat="false" ht="15" hidden="false" customHeight="false" outlineLevel="0" collapsed="false">
      <c r="B2741" s="12" t="str">
        <f aca="false">IF(A2741="","",IFERROR(INDEX(Recipes!$B:$B,MATCH(A2741,Recipes!$A:$A,0)),"⚠ unknown recipe_id"))</f>
        <v/>
      </c>
      <c r="E2741" s="12" t="str">
        <f aca="false">IF(C2741="","",IFERROR(INDEX('Ingredient Catalog'!$C:$C,MATCH(C2741,'Ingredient Catalog'!$A:$A,0)),"⚠ not in catalog"))</f>
        <v/>
      </c>
      <c r="G2741" s="12" t="str">
        <f aca="false">IF(A2741="","",COUNTIFS('Weekly Log'!$A:$A,'Grocery List'!$B$3,'Weekly Log'!$C:$C,A2741,'Weekly Log'!$E:$E,"Yes"))</f>
        <v/>
      </c>
      <c r="H2741" s="12" t="str">
        <f aca="false">IF(OR(A2741="",D2741=""),"",D2741*G2741)</f>
        <v/>
      </c>
    </row>
    <row r="2742" customFormat="false" ht="15" hidden="false" customHeight="false" outlineLevel="0" collapsed="false">
      <c r="B2742" s="12" t="str">
        <f aca="false">IF(A2742="","",IFERROR(INDEX(Recipes!$B:$B,MATCH(A2742,Recipes!$A:$A,0)),"⚠ unknown recipe_id"))</f>
        <v/>
      </c>
      <c r="E2742" s="12" t="str">
        <f aca="false">IF(C2742="","",IFERROR(INDEX('Ingredient Catalog'!$C:$C,MATCH(C2742,'Ingredient Catalog'!$A:$A,0)),"⚠ not in catalog"))</f>
        <v/>
      </c>
      <c r="G2742" s="12" t="str">
        <f aca="false">IF(A2742="","",COUNTIFS('Weekly Log'!$A:$A,'Grocery List'!$B$3,'Weekly Log'!$C:$C,A2742,'Weekly Log'!$E:$E,"Yes"))</f>
        <v/>
      </c>
      <c r="H2742" s="12" t="str">
        <f aca="false">IF(OR(A2742="",D2742=""),"",D2742*G2742)</f>
        <v/>
      </c>
    </row>
    <row r="2743" customFormat="false" ht="15" hidden="false" customHeight="false" outlineLevel="0" collapsed="false">
      <c r="B2743" s="12" t="str">
        <f aca="false">IF(A2743="","",IFERROR(INDEX(Recipes!$B:$B,MATCH(A2743,Recipes!$A:$A,0)),"⚠ unknown recipe_id"))</f>
        <v/>
      </c>
      <c r="E2743" s="12" t="str">
        <f aca="false">IF(C2743="","",IFERROR(INDEX('Ingredient Catalog'!$C:$C,MATCH(C2743,'Ingredient Catalog'!$A:$A,0)),"⚠ not in catalog"))</f>
        <v/>
      </c>
      <c r="G2743" s="12" t="str">
        <f aca="false">IF(A2743="","",COUNTIFS('Weekly Log'!$A:$A,'Grocery List'!$B$3,'Weekly Log'!$C:$C,A2743,'Weekly Log'!$E:$E,"Yes"))</f>
        <v/>
      </c>
      <c r="H2743" s="12" t="str">
        <f aca="false">IF(OR(A2743="",D2743=""),"",D2743*G2743)</f>
        <v/>
      </c>
    </row>
    <row r="2744" customFormat="false" ht="15" hidden="false" customHeight="false" outlineLevel="0" collapsed="false">
      <c r="B2744" s="12" t="str">
        <f aca="false">IF(A2744="","",IFERROR(INDEX(Recipes!$B:$B,MATCH(A2744,Recipes!$A:$A,0)),"⚠ unknown recipe_id"))</f>
        <v/>
      </c>
      <c r="E2744" s="12" t="str">
        <f aca="false">IF(C2744="","",IFERROR(INDEX('Ingredient Catalog'!$C:$C,MATCH(C2744,'Ingredient Catalog'!$A:$A,0)),"⚠ not in catalog"))</f>
        <v/>
      </c>
      <c r="G2744" s="12" t="str">
        <f aca="false">IF(A2744="","",COUNTIFS('Weekly Log'!$A:$A,'Grocery List'!$B$3,'Weekly Log'!$C:$C,A2744,'Weekly Log'!$E:$E,"Yes"))</f>
        <v/>
      </c>
      <c r="H2744" s="12" t="str">
        <f aca="false">IF(OR(A2744="",D2744=""),"",D2744*G2744)</f>
        <v/>
      </c>
    </row>
    <row r="2745" customFormat="false" ht="15" hidden="false" customHeight="false" outlineLevel="0" collapsed="false">
      <c r="B2745" s="12" t="str">
        <f aca="false">IF(A2745="","",IFERROR(INDEX(Recipes!$B:$B,MATCH(A2745,Recipes!$A:$A,0)),"⚠ unknown recipe_id"))</f>
        <v/>
      </c>
      <c r="E2745" s="12" t="str">
        <f aca="false">IF(C2745="","",IFERROR(INDEX('Ingredient Catalog'!$C:$C,MATCH(C2745,'Ingredient Catalog'!$A:$A,0)),"⚠ not in catalog"))</f>
        <v/>
      </c>
      <c r="G2745" s="12" t="str">
        <f aca="false">IF(A2745="","",COUNTIFS('Weekly Log'!$A:$A,'Grocery List'!$B$3,'Weekly Log'!$C:$C,A2745,'Weekly Log'!$E:$E,"Yes"))</f>
        <v/>
      </c>
      <c r="H2745" s="12" t="str">
        <f aca="false">IF(OR(A2745="",D2745=""),"",D2745*G2745)</f>
        <v/>
      </c>
    </row>
    <row r="2746" customFormat="false" ht="15" hidden="false" customHeight="false" outlineLevel="0" collapsed="false">
      <c r="B2746" s="12" t="str">
        <f aca="false">IF(A2746="","",IFERROR(INDEX(Recipes!$B:$B,MATCH(A2746,Recipes!$A:$A,0)),"⚠ unknown recipe_id"))</f>
        <v/>
      </c>
      <c r="E2746" s="12" t="str">
        <f aca="false">IF(C2746="","",IFERROR(INDEX('Ingredient Catalog'!$C:$C,MATCH(C2746,'Ingredient Catalog'!$A:$A,0)),"⚠ not in catalog"))</f>
        <v/>
      </c>
      <c r="G2746" s="12" t="str">
        <f aca="false">IF(A2746="","",COUNTIFS('Weekly Log'!$A:$A,'Grocery List'!$B$3,'Weekly Log'!$C:$C,A2746,'Weekly Log'!$E:$E,"Yes"))</f>
        <v/>
      </c>
      <c r="H2746" s="12" t="str">
        <f aca="false">IF(OR(A2746="",D2746=""),"",D2746*G2746)</f>
        <v/>
      </c>
    </row>
    <row r="2747" customFormat="false" ht="15" hidden="false" customHeight="false" outlineLevel="0" collapsed="false">
      <c r="B2747" s="12" t="str">
        <f aca="false">IF(A2747="","",IFERROR(INDEX(Recipes!$B:$B,MATCH(A2747,Recipes!$A:$A,0)),"⚠ unknown recipe_id"))</f>
        <v/>
      </c>
      <c r="E2747" s="12" t="str">
        <f aca="false">IF(C2747="","",IFERROR(INDEX('Ingredient Catalog'!$C:$C,MATCH(C2747,'Ingredient Catalog'!$A:$A,0)),"⚠ not in catalog"))</f>
        <v/>
      </c>
      <c r="G2747" s="12" t="str">
        <f aca="false">IF(A2747="","",COUNTIFS('Weekly Log'!$A:$A,'Grocery List'!$B$3,'Weekly Log'!$C:$C,A2747,'Weekly Log'!$E:$E,"Yes"))</f>
        <v/>
      </c>
      <c r="H2747" s="12" t="str">
        <f aca="false">IF(OR(A2747="",D2747=""),"",D2747*G2747)</f>
        <v/>
      </c>
    </row>
    <row r="2748" customFormat="false" ht="15" hidden="false" customHeight="false" outlineLevel="0" collapsed="false">
      <c r="B2748" s="12" t="str">
        <f aca="false">IF(A2748="","",IFERROR(INDEX(Recipes!$B:$B,MATCH(A2748,Recipes!$A:$A,0)),"⚠ unknown recipe_id"))</f>
        <v/>
      </c>
      <c r="E2748" s="12" t="str">
        <f aca="false">IF(C2748="","",IFERROR(INDEX('Ingredient Catalog'!$C:$C,MATCH(C2748,'Ingredient Catalog'!$A:$A,0)),"⚠ not in catalog"))</f>
        <v/>
      </c>
      <c r="G2748" s="12" t="str">
        <f aca="false">IF(A2748="","",COUNTIFS('Weekly Log'!$A:$A,'Grocery List'!$B$3,'Weekly Log'!$C:$C,A2748,'Weekly Log'!$E:$E,"Yes"))</f>
        <v/>
      </c>
      <c r="H2748" s="12" t="str">
        <f aca="false">IF(OR(A2748="",D2748=""),"",D2748*G2748)</f>
        <v/>
      </c>
    </row>
    <row r="2749" customFormat="false" ht="15" hidden="false" customHeight="false" outlineLevel="0" collapsed="false">
      <c r="B2749" s="12" t="str">
        <f aca="false">IF(A2749="","",IFERROR(INDEX(Recipes!$B:$B,MATCH(A2749,Recipes!$A:$A,0)),"⚠ unknown recipe_id"))</f>
        <v/>
      </c>
      <c r="E2749" s="12" t="str">
        <f aca="false">IF(C2749="","",IFERROR(INDEX('Ingredient Catalog'!$C:$C,MATCH(C2749,'Ingredient Catalog'!$A:$A,0)),"⚠ not in catalog"))</f>
        <v/>
      </c>
      <c r="G2749" s="12" t="str">
        <f aca="false">IF(A2749="","",COUNTIFS('Weekly Log'!$A:$A,'Grocery List'!$B$3,'Weekly Log'!$C:$C,A2749,'Weekly Log'!$E:$E,"Yes"))</f>
        <v/>
      </c>
      <c r="H2749" s="12" t="str">
        <f aca="false">IF(OR(A2749="",D2749=""),"",D2749*G2749)</f>
        <v/>
      </c>
    </row>
    <row r="2750" customFormat="false" ht="15" hidden="false" customHeight="false" outlineLevel="0" collapsed="false">
      <c r="B2750" s="12" t="str">
        <f aca="false">IF(A2750="","",IFERROR(INDEX(Recipes!$B:$B,MATCH(A2750,Recipes!$A:$A,0)),"⚠ unknown recipe_id"))</f>
        <v/>
      </c>
      <c r="E2750" s="12" t="str">
        <f aca="false">IF(C2750="","",IFERROR(INDEX('Ingredient Catalog'!$C:$C,MATCH(C2750,'Ingredient Catalog'!$A:$A,0)),"⚠ not in catalog"))</f>
        <v/>
      </c>
      <c r="G2750" s="12" t="str">
        <f aca="false">IF(A2750="","",COUNTIFS('Weekly Log'!$A:$A,'Grocery List'!$B$3,'Weekly Log'!$C:$C,A2750,'Weekly Log'!$E:$E,"Yes"))</f>
        <v/>
      </c>
      <c r="H2750" s="12" t="str">
        <f aca="false">IF(OR(A2750="",D2750=""),"",D2750*G2750)</f>
        <v/>
      </c>
    </row>
    <row r="2751" customFormat="false" ht="15" hidden="false" customHeight="false" outlineLevel="0" collapsed="false">
      <c r="B2751" s="12" t="str">
        <f aca="false">IF(A2751="","",IFERROR(INDEX(Recipes!$B:$B,MATCH(A2751,Recipes!$A:$A,0)),"⚠ unknown recipe_id"))</f>
        <v/>
      </c>
      <c r="E2751" s="12" t="str">
        <f aca="false">IF(C2751="","",IFERROR(INDEX('Ingredient Catalog'!$C:$C,MATCH(C2751,'Ingredient Catalog'!$A:$A,0)),"⚠ not in catalog"))</f>
        <v/>
      </c>
      <c r="G2751" s="12" t="str">
        <f aca="false">IF(A2751="","",COUNTIFS('Weekly Log'!$A:$A,'Grocery List'!$B$3,'Weekly Log'!$C:$C,A2751,'Weekly Log'!$E:$E,"Yes"))</f>
        <v/>
      </c>
      <c r="H2751" s="12" t="str">
        <f aca="false">IF(OR(A2751="",D2751=""),"",D2751*G2751)</f>
        <v/>
      </c>
    </row>
    <row r="2752" customFormat="false" ht="15" hidden="false" customHeight="false" outlineLevel="0" collapsed="false">
      <c r="B2752" s="12" t="str">
        <f aca="false">IF(A2752="","",IFERROR(INDEX(Recipes!$B:$B,MATCH(A2752,Recipes!$A:$A,0)),"⚠ unknown recipe_id"))</f>
        <v/>
      </c>
      <c r="E2752" s="12" t="str">
        <f aca="false">IF(C2752="","",IFERROR(INDEX('Ingredient Catalog'!$C:$C,MATCH(C2752,'Ingredient Catalog'!$A:$A,0)),"⚠ not in catalog"))</f>
        <v/>
      </c>
      <c r="G2752" s="12" t="str">
        <f aca="false">IF(A2752="","",COUNTIFS('Weekly Log'!$A:$A,'Grocery List'!$B$3,'Weekly Log'!$C:$C,A2752,'Weekly Log'!$E:$E,"Yes"))</f>
        <v/>
      </c>
      <c r="H2752" s="12" t="str">
        <f aca="false">IF(OR(A2752="",D2752=""),"",D2752*G2752)</f>
        <v/>
      </c>
    </row>
    <row r="2753" customFormat="false" ht="15" hidden="false" customHeight="false" outlineLevel="0" collapsed="false">
      <c r="B2753" s="12" t="str">
        <f aca="false">IF(A2753="","",IFERROR(INDEX(Recipes!$B:$B,MATCH(A2753,Recipes!$A:$A,0)),"⚠ unknown recipe_id"))</f>
        <v/>
      </c>
      <c r="E2753" s="12" t="str">
        <f aca="false">IF(C2753="","",IFERROR(INDEX('Ingredient Catalog'!$C:$C,MATCH(C2753,'Ingredient Catalog'!$A:$A,0)),"⚠ not in catalog"))</f>
        <v/>
      </c>
      <c r="G2753" s="12" t="str">
        <f aca="false">IF(A2753="","",COUNTIFS('Weekly Log'!$A:$A,'Grocery List'!$B$3,'Weekly Log'!$C:$C,A2753,'Weekly Log'!$E:$E,"Yes"))</f>
        <v/>
      </c>
      <c r="H2753" s="12" t="str">
        <f aca="false">IF(OR(A2753="",D2753=""),"",D2753*G2753)</f>
        <v/>
      </c>
    </row>
    <row r="2754" customFormat="false" ht="15" hidden="false" customHeight="false" outlineLevel="0" collapsed="false">
      <c r="B2754" s="12" t="str">
        <f aca="false">IF(A2754="","",IFERROR(INDEX(Recipes!$B:$B,MATCH(A2754,Recipes!$A:$A,0)),"⚠ unknown recipe_id"))</f>
        <v/>
      </c>
      <c r="E2754" s="12" t="str">
        <f aca="false">IF(C2754="","",IFERROR(INDEX('Ingredient Catalog'!$C:$C,MATCH(C2754,'Ingredient Catalog'!$A:$A,0)),"⚠ not in catalog"))</f>
        <v/>
      </c>
      <c r="G2754" s="12" t="str">
        <f aca="false">IF(A2754="","",COUNTIFS('Weekly Log'!$A:$A,'Grocery List'!$B$3,'Weekly Log'!$C:$C,A2754,'Weekly Log'!$E:$E,"Yes"))</f>
        <v/>
      </c>
      <c r="H2754" s="12" t="str">
        <f aca="false">IF(OR(A2754="",D2754=""),"",D2754*G2754)</f>
        <v/>
      </c>
    </row>
    <row r="2755" customFormat="false" ht="15" hidden="false" customHeight="false" outlineLevel="0" collapsed="false">
      <c r="B2755" s="12" t="str">
        <f aca="false">IF(A2755="","",IFERROR(INDEX(Recipes!$B:$B,MATCH(A2755,Recipes!$A:$A,0)),"⚠ unknown recipe_id"))</f>
        <v/>
      </c>
      <c r="E2755" s="12" t="str">
        <f aca="false">IF(C2755="","",IFERROR(INDEX('Ingredient Catalog'!$C:$C,MATCH(C2755,'Ingredient Catalog'!$A:$A,0)),"⚠ not in catalog"))</f>
        <v/>
      </c>
      <c r="G2755" s="12" t="str">
        <f aca="false">IF(A2755="","",COUNTIFS('Weekly Log'!$A:$A,'Grocery List'!$B$3,'Weekly Log'!$C:$C,A2755,'Weekly Log'!$E:$E,"Yes"))</f>
        <v/>
      </c>
      <c r="H2755" s="12" t="str">
        <f aca="false">IF(OR(A2755="",D2755=""),"",D2755*G2755)</f>
        <v/>
      </c>
    </row>
    <row r="2756" customFormat="false" ht="15" hidden="false" customHeight="false" outlineLevel="0" collapsed="false">
      <c r="B2756" s="12" t="str">
        <f aca="false">IF(A2756="","",IFERROR(INDEX(Recipes!$B:$B,MATCH(A2756,Recipes!$A:$A,0)),"⚠ unknown recipe_id"))</f>
        <v/>
      </c>
      <c r="E2756" s="12" t="str">
        <f aca="false">IF(C2756="","",IFERROR(INDEX('Ingredient Catalog'!$C:$C,MATCH(C2756,'Ingredient Catalog'!$A:$A,0)),"⚠ not in catalog"))</f>
        <v/>
      </c>
      <c r="G2756" s="12" t="str">
        <f aca="false">IF(A2756="","",COUNTIFS('Weekly Log'!$A:$A,'Grocery List'!$B$3,'Weekly Log'!$C:$C,A2756,'Weekly Log'!$E:$E,"Yes"))</f>
        <v/>
      </c>
      <c r="H2756" s="12" t="str">
        <f aca="false">IF(OR(A2756="",D2756=""),"",D2756*G2756)</f>
        <v/>
      </c>
    </row>
    <row r="2757" customFormat="false" ht="15" hidden="false" customHeight="false" outlineLevel="0" collapsed="false">
      <c r="B2757" s="12" t="str">
        <f aca="false">IF(A2757="","",IFERROR(INDEX(Recipes!$B:$B,MATCH(A2757,Recipes!$A:$A,0)),"⚠ unknown recipe_id"))</f>
        <v/>
      </c>
      <c r="E2757" s="12" t="str">
        <f aca="false">IF(C2757="","",IFERROR(INDEX('Ingredient Catalog'!$C:$C,MATCH(C2757,'Ingredient Catalog'!$A:$A,0)),"⚠ not in catalog"))</f>
        <v/>
      </c>
      <c r="G2757" s="12" t="str">
        <f aca="false">IF(A2757="","",COUNTIFS('Weekly Log'!$A:$A,'Grocery List'!$B$3,'Weekly Log'!$C:$C,A2757,'Weekly Log'!$E:$E,"Yes"))</f>
        <v/>
      </c>
      <c r="H2757" s="12" t="str">
        <f aca="false">IF(OR(A2757="",D2757=""),"",D2757*G2757)</f>
        <v/>
      </c>
    </row>
    <row r="2758" customFormat="false" ht="15" hidden="false" customHeight="false" outlineLevel="0" collapsed="false">
      <c r="B2758" s="12" t="str">
        <f aca="false">IF(A2758="","",IFERROR(INDEX(Recipes!$B:$B,MATCH(A2758,Recipes!$A:$A,0)),"⚠ unknown recipe_id"))</f>
        <v/>
      </c>
      <c r="E2758" s="12" t="str">
        <f aca="false">IF(C2758="","",IFERROR(INDEX('Ingredient Catalog'!$C:$C,MATCH(C2758,'Ingredient Catalog'!$A:$A,0)),"⚠ not in catalog"))</f>
        <v/>
      </c>
      <c r="G2758" s="12" t="str">
        <f aca="false">IF(A2758="","",COUNTIFS('Weekly Log'!$A:$A,'Grocery List'!$B$3,'Weekly Log'!$C:$C,A2758,'Weekly Log'!$E:$E,"Yes"))</f>
        <v/>
      </c>
      <c r="H2758" s="12" t="str">
        <f aca="false">IF(OR(A2758="",D2758=""),"",D2758*G2758)</f>
        <v/>
      </c>
    </row>
    <row r="2759" customFormat="false" ht="15" hidden="false" customHeight="false" outlineLevel="0" collapsed="false">
      <c r="B2759" s="12" t="str">
        <f aca="false">IF(A2759="","",IFERROR(INDEX(Recipes!$B:$B,MATCH(A2759,Recipes!$A:$A,0)),"⚠ unknown recipe_id"))</f>
        <v/>
      </c>
      <c r="E2759" s="12" t="str">
        <f aca="false">IF(C2759="","",IFERROR(INDEX('Ingredient Catalog'!$C:$C,MATCH(C2759,'Ingredient Catalog'!$A:$A,0)),"⚠ not in catalog"))</f>
        <v/>
      </c>
      <c r="G2759" s="12" t="str">
        <f aca="false">IF(A2759="","",COUNTIFS('Weekly Log'!$A:$A,'Grocery List'!$B$3,'Weekly Log'!$C:$C,A2759,'Weekly Log'!$E:$E,"Yes"))</f>
        <v/>
      </c>
      <c r="H2759" s="12" t="str">
        <f aca="false">IF(OR(A2759="",D2759=""),"",D2759*G2759)</f>
        <v/>
      </c>
    </row>
    <row r="2760" customFormat="false" ht="15" hidden="false" customHeight="false" outlineLevel="0" collapsed="false">
      <c r="B2760" s="12" t="str">
        <f aca="false">IF(A2760="","",IFERROR(INDEX(Recipes!$B:$B,MATCH(A2760,Recipes!$A:$A,0)),"⚠ unknown recipe_id"))</f>
        <v/>
      </c>
      <c r="E2760" s="12" t="str">
        <f aca="false">IF(C2760="","",IFERROR(INDEX('Ingredient Catalog'!$C:$C,MATCH(C2760,'Ingredient Catalog'!$A:$A,0)),"⚠ not in catalog"))</f>
        <v/>
      </c>
      <c r="G2760" s="12" t="str">
        <f aca="false">IF(A2760="","",COUNTIFS('Weekly Log'!$A:$A,'Grocery List'!$B$3,'Weekly Log'!$C:$C,A2760,'Weekly Log'!$E:$E,"Yes"))</f>
        <v/>
      </c>
      <c r="H2760" s="12" t="str">
        <f aca="false">IF(OR(A2760="",D2760=""),"",D2760*G2760)</f>
        <v/>
      </c>
    </row>
    <row r="2761" customFormat="false" ht="15" hidden="false" customHeight="false" outlineLevel="0" collapsed="false">
      <c r="B2761" s="12" t="str">
        <f aca="false">IF(A2761="","",IFERROR(INDEX(Recipes!$B:$B,MATCH(A2761,Recipes!$A:$A,0)),"⚠ unknown recipe_id"))</f>
        <v/>
      </c>
      <c r="E2761" s="12" t="str">
        <f aca="false">IF(C2761="","",IFERROR(INDEX('Ingredient Catalog'!$C:$C,MATCH(C2761,'Ingredient Catalog'!$A:$A,0)),"⚠ not in catalog"))</f>
        <v/>
      </c>
      <c r="G2761" s="12" t="str">
        <f aca="false">IF(A2761="","",COUNTIFS('Weekly Log'!$A:$A,'Grocery List'!$B$3,'Weekly Log'!$C:$C,A2761,'Weekly Log'!$E:$E,"Yes"))</f>
        <v/>
      </c>
      <c r="H2761" s="12" t="str">
        <f aca="false">IF(OR(A2761="",D2761=""),"",D2761*G2761)</f>
        <v/>
      </c>
    </row>
    <row r="2762" customFormat="false" ht="15" hidden="false" customHeight="false" outlineLevel="0" collapsed="false">
      <c r="B2762" s="12" t="str">
        <f aca="false">IF(A2762="","",IFERROR(INDEX(Recipes!$B:$B,MATCH(A2762,Recipes!$A:$A,0)),"⚠ unknown recipe_id"))</f>
        <v/>
      </c>
      <c r="E2762" s="12" t="str">
        <f aca="false">IF(C2762="","",IFERROR(INDEX('Ingredient Catalog'!$C:$C,MATCH(C2762,'Ingredient Catalog'!$A:$A,0)),"⚠ not in catalog"))</f>
        <v/>
      </c>
      <c r="G2762" s="12" t="str">
        <f aca="false">IF(A2762="","",COUNTIFS('Weekly Log'!$A:$A,'Grocery List'!$B$3,'Weekly Log'!$C:$C,A2762,'Weekly Log'!$E:$E,"Yes"))</f>
        <v/>
      </c>
      <c r="H2762" s="12" t="str">
        <f aca="false">IF(OR(A2762="",D2762=""),"",D2762*G2762)</f>
        <v/>
      </c>
    </row>
    <row r="2763" customFormat="false" ht="15" hidden="false" customHeight="false" outlineLevel="0" collapsed="false">
      <c r="B2763" s="12" t="str">
        <f aca="false">IF(A2763="","",IFERROR(INDEX(Recipes!$B:$B,MATCH(A2763,Recipes!$A:$A,0)),"⚠ unknown recipe_id"))</f>
        <v/>
      </c>
      <c r="E2763" s="12" t="str">
        <f aca="false">IF(C2763="","",IFERROR(INDEX('Ingredient Catalog'!$C:$C,MATCH(C2763,'Ingredient Catalog'!$A:$A,0)),"⚠ not in catalog"))</f>
        <v/>
      </c>
      <c r="G2763" s="12" t="str">
        <f aca="false">IF(A2763="","",COUNTIFS('Weekly Log'!$A:$A,'Grocery List'!$B$3,'Weekly Log'!$C:$C,A2763,'Weekly Log'!$E:$E,"Yes"))</f>
        <v/>
      </c>
      <c r="H2763" s="12" t="str">
        <f aca="false">IF(OR(A2763="",D2763=""),"",D2763*G2763)</f>
        <v/>
      </c>
    </row>
    <row r="2764" customFormat="false" ht="15" hidden="false" customHeight="false" outlineLevel="0" collapsed="false">
      <c r="B2764" s="12" t="str">
        <f aca="false">IF(A2764="","",IFERROR(INDEX(Recipes!$B:$B,MATCH(A2764,Recipes!$A:$A,0)),"⚠ unknown recipe_id"))</f>
        <v/>
      </c>
      <c r="E2764" s="12" t="str">
        <f aca="false">IF(C2764="","",IFERROR(INDEX('Ingredient Catalog'!$C:$C,MATCH(C2764,'Ingredient Catalog'!$A:$A,0)),"⚠ not in catalog"))</f>
        <v/>
      </c>
      <c r="G2764" s="12" t="str">
        <f aca="false">IF(A2764="","",COUNTIFS('Weekly Log'!$A:$A,'Grocery List'!$B$3,'Weekly Log'!$C:$C,A2764,'Weekly Log'!$E:$E,"Yes"))</f>
        <v/>
      </c>
      <c r="H2764" s="12" t="str">
        <f aca="false">IF(OR(A2764="",D2764=""),"",D2764*G2764)</f>
        <v/>
      </c>
    </row>
    <row r="2765" customFormat="false" ht="15" hidden="false" customHeight="false" outlineLevel="0" collapsed="false">
      <c r="B2765" s="12" t="str">
        <f aca="false">IF(A2765="","",IFERROR(INDEX(Recipes!$B:$B,MATCH(A2765,Recipes!$A:$A,0)),"⚠ unknown recipe_id"))</f>
        <v/>
      </c>
      <c r="E2765" s="12" t="str">
        <f aca="false">IF(C2765="","",IFERROR(INDEX('Ingredient Catalog'!$C:$C,MATCH(C2765,'Ingredient Catalog'!$A:$A,0)),"⚠ not in catalog"))</f>
        <v/>
      </c>
      <c r="G2765" s="12" t="str">
        <f aca="false">IF(A2765="","",COUNTIFS('Weekly Log'!$A:$A,'Grocery List'!$B$3,'Weekly Log'!$C:$C,A2765,'Weekly Log'!$E:$E,"Yes"))</f>
        <v/>
      </c>
      <c r="H2765" s="12" t="str">
        <f aca="false">IF(OR(A2765="",D2765=""),"",D2765*G2765)</f>
        <v/>
      </c>
    </row>
    <row r="2766" customFormat="false" ht="15" hidden="false" customHeight="false" outlineLevel="0" collapsed="false">
      <c r="B2766" s="12" t="str">
        <f aca="false">IF(A2766="","",IFERROR(INDEX(Recipes!$B:$B,MATCH(A2766,Recipes!$A:$A,0)),"⚠ unknown recipe_id"))</f>
        <v/>
      </c>
      <c r="E2766" s="12" t="str">
        <f aca="false">IF(C2766="","",IFERROR(INDEX('Ingredient Catalog'!$C:$C,MATCH(C2766,'Ingredient Catalog'!$A:$A,0)),"⚠ not in catalog"))</f>
        <v/>
      </c>
      <c r="G2766" s="12" t="str">
        <f aca="false">IF(A2766="","",COUNTIFS('Weekly Log'!$A:$A,'Grocery List'!$B$3,'Weekly Log'!$C:$C,A2766,'Weekly Log'!$E:$E,"Yes"))</f>
        <v/>
      </c>
      <c r="H2766" s="12" t="str">
        <f aca="false">IF(OR(A2766="",D2766=""),"",D2766*G2766)</f>
        <v/>
      </c>
    </row>
    <row r="2767" customFormat="false" ht="15" hidden="false" customHeight="false" outlineLevel="0" collapsed="false">
      <c r="B2767" s="12" t="str">
        <f aca="false">IF(A2767="","",IFERROR(INDEX(Recipes!$B:$B,MATCH(A2767,Recipes!$A:$A,0)),"⚠ unknown recipe_id"))</f>
        <v/>
      </c>
      <c r="E2767" s="12" t="str">
        <f aca="false">IF(C2767="","",IFERROR(INDEX('Ingredient Catalog'!$C:$C,MATCH(C2767,'Ingredient Catalog'!$A:$A,0)),"⚠ not in catalog"))</f>
        <v/>
      </c>
      <c r="G2767" s="12" t="str">
        <f aca="false">IF(A2767="","",COUNTIFS('Weekly Log'!$A:$A,'Grocery List'!$B$3,'Weekly Log'!$C:$C,A2767,'Weekly Log'!$E:$E,"Yes"))</f>
        <v/>
      </c>
      <c r="H2767" s="12" t="str">
        <f aca="false">IF(OR(A2767="",D2767=""),"",D2767*G2767)</f>
        <v/>
      </c>
    </row>
    <row r="2768" customFormat="false" ht="15" hidden="false" customHeight="false" outlineLevel="0" collapsed="false">
      <c r="B2768" s="12" t="str">
        <f aca="false">IF(A2768="","",IFERROR(INDEX(Recipes!$B:$B,MATCH(A2768,Recipes!$A:$A,0)),"⚠ unknown recipe_id"))</f>
        <v/>
      </c>
      <c r="E2768" s="12" t="str">
        <f aca="false">IF(C2768="","",IFERROR(INDEX('Ingredient Catalog'!$C:$C,MATCH(C2768,'Ingredient Catalog'!$A:$A,0)),"⚠ not in catalog"))</f>
        <v/>
      </c>
      <c r="G2768" s="12" t="str">
        <f aca="false">IF(A2768="","",COUNTIFS('Weekly Log'!$A:$A,'Grocery List'!$B$3,'Weekly Log'!$C:$C,A2768,'Weekly Log'!$E:$E,"Yes"))</f>
        <v/>
      </c>
      <c r="H2768" s="12" t="str">
        <f aca="false">IF(OR(A2768="",D2768=""),"",D2768*G2768)</f>
        <v/>
      </c>
    </row>
    <row r="2769" customFormat="false" ht="15" hidden="false" customHeight="false" outlineLevel="0" collapsed="false">
      <c r="B2769" s="12" t="str">
        <f aca="false">IF(A2769="","",IFERROR(INDEX(Recipes!$B:$B,MATCH(A2769,Recipes!$A:$A,0)),"⚠ unknown recipe_id"))</f>
        <v/>
      </c>
      <c r="E2769" s="12" t="str">
        <f aca="false">IF(C2769="","",IFERROR(INDEX('Ingredient Catalog'!$C:$C,MATCH(C2769,'Ingredient Catalog'!$A:$A,0)),"⚠ not in catalog"))</f>
        <v/>
      </c>
      <c r="G2769" s="12" t="str">
        <f aca="false">IF(A2769="","",COUNTIFS('Weekly Log'!$A:$A,'Grocery List'!$B$3,'Weekly Log'!$C:$C,A2769,'Weekly Log'!$E:$E,"Yes"))</f>
        <v/>
      </c>
      <c r="H2769" s="12" t="str">
        <f aca="false">IF(OR(A2769="",D2769=""),"",D2769*G2769)</f>
        <v/>
      </c>
    </row>
    <row r="2770" customFormat="false" ht="15" hidden="false" customHeight="false" outlineLevel="0" collapsed="false">
      <c r="B2770" s="12" t="str">
        <f aca="false">IF(A2770="","",IFERROR(INDEX(Recipes!$B:$B,MATCH(A2770,Recipes!$A:$A,0)),"⚠ unknown recipe_id"))</f>
        <v/>
      </c>
      <c r="E2770" s="12" t="str">
        <f aca="false">IF(C2770="","",IFERROR(INDEX('Ingredient Catalog'!$C:$C,MATCH(C2770,'Ingredient Catalog'!$A:$A,0)),"⚠ not in catalog"))</f>
        <v/>
      </c>
      <c r="G2770" s="12" t="str">
        <f aca="false">IF(A2770="","",COUNTIFS('Weekly Log'!$A:$A,'Grocery List'!$B$3,'Weekly Log'!$C:$C,A2770,'Weekly Log'!$E:$E,"Yes"))</f>
        <v/>
      </c>
      <c r="H2770" s="12" t="str">
        <f aca="false">IF(OR(A2770="",D2770=""),"",D2770*G2770)</f>
        <v/>
      </c>
    </row>
    <row r="2771" customFormat="false" ht="15" hidden="false" customHeight="false" outlineLevel="0" collapsed="false">
      <c r="B2771" s="12" t="str">
        <f aca="false">IF(A2771="","",IFERROR(INDEX(Recipes!$B:$B,MATCH(A2771,Recipes!$A:$A,0)),"⚠ unknown recipe_id"))</f>
        <v/>
      </c>
      <c r="E2771" s="12" t="str">
        <f aca="false">IF(C2771="","",IFERROR(INDEX('Ingredient Catalog'!$C:$C,MATCH(C2771,'Ingredient Catalog'!$A:$A,0)),"⚠ not in catalog"))</f>
        <v/>
      </c>
      <c r="G2771" s="12" t="str">
        <f aca="false">IF(A2771="","",COUNTIFS('Weekly Log'!$A:$A,'Grocery List'!$B$3,'Weekly Log'!$C:$C,A2771,'Weekly Log'!$E:$E,"Yes"))</f>
        <v/>
      </c>
      <c r="H2771" s="12" t="str">
        <f aca="false">IF(OR(A2771="",D2771=""),"",D2771*G2771)</f>
        <v/>
      </c>
    </row>
    <row r="2772" customFormat="false" ht="15" hidden="false" customHeight="false" outlineLevel="0" collapsed="false">
      <c r="B2772" s="12" t="str">
        <f aca="false">IF(A2772="","",IFERROR(INDEX(Recipes!$B:$B,MATCH(A2772,Recipes!$A:$A,0)),"⚠ unknown recipe_id"))</f>
        <v/>
      </c>
      <c r="E2772" s="12" t="str">
        <f aca="false">IF(C2772="","",IFERROR(INDEX('Ingredient Catalog'!$C:$C,MATCH(C2772,'Ingredient Catalog'!$A:$A,0)),"⚠ not in catalog"))</f>
        <v/>
      </c>
      <c r="G2772" s="12" t="str">
        <f aca="false">IF(A2772="","",COUNTIFS('Weekly Log'!$A:$A,'Grocery List'!$B$3,'Weekly Log'!$C:$C,A2772,'Weekly Log'!$E:$E,"Yes"))</f>
        <v/>
      </c>
      <c r="H2772" s="12" t="str">
        <f aca="false">IF(OR(A2772="",D2772=""),"",D2772*G2772)</f>
        <v/>
      </c>
    </row>
    <row r="2773" customFormat="false" ht="15" hidden="false" customHeight="false" outlineLevel="0" collapsed="false">
      <c r="B2773" s="12" t="str">
        <f aca="false">IF(A2773="","",IFERROR(INDEX(Recipes!$B:$B,MATCH(A2773,Recipes!$A:$A,0)),"⚠ unknown recipe_id"))</f>
        <v/>
      </c>
      <c r="E2773" s="12" t="str">
        <f aca="false">IF(C2773="","",IFERROR(INDEX('Ingredient Catalog'!$C:$C,MATCH(C2773,'Ingredient Catalog'!$A:$A,0)),"⚠ not in catalog"))</f>
        <v/>
      </c>
      <c r="G2773" s="12" t="str">
        <f aca="false">IF(A2773="","",COUNTIFS('Weekly Log'!$A:$A,'Grocery List'!$B$3,'Weekly Log'!$C:$C,A2773,'Weekly Log'!$E:$E,"Yes"))</f>
        <v/>
      </c>
      <c r="H2773" s="12" t="str">
        <f aca="false">IF(OR(A2773="",D2773=""),"",D2773*G2773)</f>
        <v/>
      </c>
    </row>
    <row r="2774" customFormat="false" ht="15" hidden="false" customHeight="false" outlineLevel="0" collapsed="false">
      <c r="B2774" s="12" t="str">
        <f aca="false">IF(A2774="","",IFERROR(INDEX(Recipes!$B:$B,MATCH(A2774,Recipes!$A:$A,0)),"⚠ unknown recipe_id"))</f>
        <v/>
      </c>
      <c r="E2774" s="12" t="str">
        <f aca="false">IF(C2774="","",IFERROR(INDEX('Ingredient Catalog'!$C:$C,MATCH(C2774,'Ingredient Catalog'!$A:$A,0)),"⚠ not in catalog"))</f>
        <v/>
      </c>
      <c r="G2774" s="12" t="str">
        <f aca="false">IF(A2774="","",COUNTIFS('Weekly Log'!$A:$A,'Grocery List'!$B$3,'Weekly Log'!$C:$C,A2774,'Weekly Log'!$E:$E,"Yes"))</f>
        <v/>
      </c>
      <c r="H2774" s="12" t="str">
        <f aca="false">IF(OR(A2774="",D2774=""),"",D2774*G2774)</f>
        <v/>
      </c>
    </row>
    <row r="2775" customFormat="false" ht="15" hidden="false" customHeight="false" outlineLevel="0" collapsed="false">
      <c r="B2775" s="12" t="str">
        <f aca="false">IF(A2775="","",IFERROR(INDEX(Recipes!$B:$B,MATCH(A2775,Recipes!$A:$A,0)),"⚠ unknown recipe_id"))</f>
        <v/>
      </c>
      <c r="E2775" s="12" t="str">
        <f aca="false">IF(C2775="","",IFERROR(INDEX('Ingredient Catalog'!$C:$C,MATCH(C2775,'Ingredient Catalog'!$A:$A,0)),"⚠ not in catalog"))</f>
        <v/>
      </c>
      <c r="G2775" s="12" t="str">
        <f aca="false">IF(A2775="","",COUNTIFS('Weekly Log'!$A:$A,'Grocery List'!$B$3,'Weekly Log'!$C:$C,A2775,'Weekly Log'!$E:$E,"Yes"))</f>
        <v/>
      </c>
      <c r="H2775" s="12" t="str">
        <f aca="false">IF(OR(A2775="",D2775=""),"",D2775*G2775)</f>
        <v/>
      </c>
    </row>
    <row r="2776" customFormat="false" ht="15" hidden="false" customHeight="false" outlineLevel="0" collapsed="false">
      <c r="B2776" s="12" t="str">
        <f aca="false">IF(A2776="","",IFERROR(INDEX(Recipes!$B:$B,MATCH(A2776,Recipes!$A:$A,0)),"⚠ unknown recipe_id"))</f>
        <v/>
      </c>
      <c r="E2776" s="12" t="str">
        <f aca="false">IF(C2776="","",IFERROR(INDEX('Ingredient Catalog'!$C:$C,MATCH(C2776,'Ingredient Catalog'!$A:$A,0)),"⚠ not in catalog"))</f>
        <v/>
      </c>
      <c r="G2776" s="12" t="str">
        <f aca="false">IF(A2776="","",COUNTIFS('Weekly Log'!$A:$A,'Grocery List'!$B$3,'Weekly Log'!$C:$C,A2776,'Weekly Log'!$E:$E,"Yes"))</f>
        <v/>
      </c>
      <c r="H2776" s="12" t="str">
        <f aca="false">IF(OR(A2776="",D2776=""),"",D2776*G2776)</f>
        <v/>
      </c>
    </row>
    <row r="2777" customFormat="false" ht="15" hidden="false" customHeight="false" outlineLevel="0" collapsed="false">
      <c r="B2777" s="12" t="str">
        <f aca="false">IF(A2777="","",IFERROR(INDEX(Recipes!$B:$B,MATCH(A2777,Recipes!$A:$A,0)),"⚠ unknown recipe_id"))</f>
        <v/>
      </c>
      <c r="E2777" s="12" t="str">
        <f aca="false">IF(C2777="","",IFERROR(INDEX('Ingredient Catalog'!$C:$C,MATCH(C2777,'Ingredient Catalog'!$A:$A,0)),"⚠ not in catalog"))</f>
        <v/>
      </c>
      <c r="G2777" s="12" t="str">
        <f aca="false">IF(A2777="","",COUNTIFS('Weekly Log'!$A:$A,'Grocery List'!$B$3,'Weekly Log'!$C:$C,A2777,'Weekly Log'!$E:$E,"Yes"))</f>
        <v/>
      </c>
      <c r="H2777" s="12" t="str">
        <f aca="false">IF(OR(A2777="",D2777=""),"",D2777*G2777)</f>
        <v/>
      </c>
    </row>
    <row r="2778" customFormat="false" ht="15" hidden="false" customHeight="false" outlineLevel="0" collapsed="false">
      <c r="B2778" s="12" t="str">
        <f aca="false">IF(A2778="","",IFERROR(INDEX(Recipes!$B:$B,MATCH(A2778,Recipes!$A:$A,0)),"⚠ unknown recipe_id"))</f>
        <v/>
      </c>
      <c r="E2778" s="12" t="str">
        <f aca="false">IF(C2778="","",IFERROR(INDEX('Ingredient Catalog'!$C:$C,MATCH(C2778,'Ingredient Catalog'!$A:$A,0)),"⚠ not in catalog"))</f>
        <v/>
      </c>
      <c r="G2778" s="12" t="str">
        <f aca="false">IF(A2778="","",COUNTIFS('Weekly Log'!$A:$A,'Grocery List'!$B$3,'Weekly Log'!$C:$C,A2778,'Weekly Log'!$E:$E,"Yes"))</f>
        <v/>
      </c>
      <c r="H2778" s="12" t="str">
        <f aca="false">IF(OR(A2778="",D2778=""),"",D2778*G2778)</f>
        <v/>
      </c>
    </row>
    <row r="2779" customFormat="false" ht="15" hidden="false" customHeight="false" outlineLevel="0" collapsed="false">
      <c r="B2779" s="12" t="str">
        <f aca="false">IF(A2779="","",IFERROR(INDEX(Recipes!$B:$B,MATCH(A2779,Recipes!$A:$A,0)),"⚠ unknown recipe_id"))</f>
        <v/>
      </c>
      <c r="E2779" s="12" t="str">
        <f aca="false">IF(C2779="","",IFERROR(INDEX('Ingredient Catalog'!$C:$C,MATCH(C2779,'Ingredient Catalog'!$A:$A,0)),"⚠ not in catalog"))</f>
        <v/>
      </c>
      <c r="G2779" s="12" t="str">
        <f aca="false">IF(A2779="","",COUNTIFS('Weekly Log'!$A:$A,'Grocery List'!$B$3,'Weekly Log'!$C:$C,A2779,'Weekly Log'!$E:$E,"Yes"))</f>
        <v/>
      </c>
      <c r="H2779" s="12" t="str">
        <f aca="false">IF(OR(A2779="",D2779=""),"",D2779*G2779)</f>
        <v/>
      </c>
    </row>
    <row r="2780" customFormat="false" ht="15" hidden="false" customHeight="false" outlineLevel="0" collapsed="false">
      <c r="B2780" s="12" t="str">
        <f aca="false">IF(A2780="","",IFERROR(INDEX(Recipes!$B:$B,MATCH(A2780,Recipes!$A:$A,0)),"⚠ unknown recipe_id"))</f>
        <v/>
      </c>
      <c r="E2780" s="12" t="str">
        <f aca="false">IF(C2780="","",IFERROR(INDEX('Ingredient Catalog'!$C:$C,MATCH(C2780,'Ingredient Catalog'!$A:$A,0)),"⚠ not in catalog"))</f>
        <v/>
      </c>
      <c r="G2780" s="12" t="str">
        <f aca="false">IF(A2780="","",COUNTIFS('Weekly Log'!$A:$A,'Grocery List'!$B$3,'Weekly Log'!$C:$C,A2780,'Weekly Log'!$E:$E,"Yes"))</f>
        <v/>
      </c>
      <c r="H2780" s="12" t="str">
        <f aca="false">IF(OR(A2780="",D2780=""),"",D2780*G2780)</f>
        <v/>
      </c>
    </row>
    <row r="2781" customFormat="false" ht="15" hidden="false" customHeight="false" outlineLevel="0" collapsed="false">
      <c r="B2781" s="12" t="str">
        <f aca="false">IF(A2781="","",IFERROR(INDEX(Recipes!$B:$B,MATCH(A2781,Recipes!$A:$A,0)),"⚠ unknown recipe_id"))</f>
        <v/>
      </c>
      <c r="E2781" s="12" t="str">
        <f aca="false">IF(C2781="","",IFERROR(INDEX('Ingredient Catalog'!$C:$C,MATCH(C2781,'Ingredient Catalog'!$A:$A,0)),"⚠ not in catalog"))</f>
        <v/>
      </c>
      <c r="G2781" s="12" t="str">
        <f aca="false">IF(A2781="","",COUNTIFS('Weekly Log'!$A:$A,'Grocery List'!$B$3,'Weekly Log'!$C:$C,A2781,'Weekly Log'!$E:$E,"Yes"))</f>
        <v/>
      </c>
      <c r="H2781" s="12" t="str">
        <f aca="false">IF(OR(A2781="",D2781=""),"",D2781*G2781)</f>
        <v/>
      </c>
    </row>
    <row r="2782" customFormat="false" ht="15" hidden="false" customHeight="false" outlineLevel="0" collapsed="false">
      <c r="B2782" s="12" t="str">
        <f aca="false">IF(A2782="","",IFERROR(INDEX(Recipes!$B:$B,MATCH(A2782,Recipes!$A:$A,0)),"⚠ unknown recipe_id"))</f>
        <v/>
      </c>
      <c r="E2782" s="12" t="str">
        <f aca="false">IF(C2782="","",IFERROR(INDEX('Ingredient Catalog'!$C:$C,MATCH(C2782,'Ingredient Catalog'!$A:$A,0)),"⚠ not in catalog"))</f>
        <v/>
      </c>
      <c r="G2782" s="12" t="str">
        <f aca="false">IF(A2782="","",COUNTIFS('Weekly Log'!$A:$A,'Grocery List'!$B$3,'Weekly Log'!$C:$C,A2782,'Weekly Log'!$E:$E,"Yes"))</f>
        <v/>
      </c>
      <c r="H2782" s="12" t="str">
        <f aca="false">IF(OR(A2782="",D2782=""),"",D2782*G2782)</f>
        <v/>
      </c>
    </row>
    <row r="2783" customFormat="false" ht="15" hidden="false" customHeight="false" outlineLevel="0" collapsed="false">
      <c r="B2783" s="12" t="str">
        <f aca="false">IF(A2783="","",IFERROR(INDEX(Recipes!$B:$B,MATCH(A2783,Recipes!$A:$A,0)),"⚠ unknown recipe_id"))</f>
        <v/>
      </c>
      <c r="E2783" s="12" t="str">
        <f aca="false">IF(C2783="","",IFERROR(INDEX('Ingredient Catalog'!$C:$C,MATCH(C2783,'Ingredient Catalog'!$A:$A,0)),"⚠ not in catalog"))</f>
        <v/>
      </c>
      <c r="G2783" s="12" t="str">
        <f aca="false">IF(A2783="","",COUNTIFS('Weekly Log'!$A:$A,'Grocery List'!$B$3,'Weekly Log'!$C:$C,A2783,'Weekly Log'!$E:$E,"Yes"))</f>
        <v/>
      </c>
      <c r="H2783" s="12" t="str">
        <f aca="false">IF(OR(A2783="",D2783=""),"",D2783*G2783)</f>
        <v/>
      </c>
    </row>
    <row r="2784" customFormat="false" ht="15" hidden="false" customHeight="false" outlineLevel="0" collapsed="false">
      <c r="B2784" s="12" t="str">
        <f aca="false">IF(A2784="","",IFERROR(INDEX(Recipes!$B:$B,MATCH(A2784,Recipes!$A:$A,0)),"⚠ unknown recipe_id"))</f>
        <v/>
      </c>
      <c r="E2784" s="12" t="str">
        <f aca="false">IF(C2784="","",IFERROR(INDEX('Ingredient Catalog'!$C:$C,MATCH(C2784,'Ingredient Catalog'!$A:$A,0)),"⚠ not in catalog"))</f>
        <v/>
      </c>
      <c r="G2784" s="12" t="str">
        <f aca="false">IF(A2784="","",COUNTIFS('Weekly Log'!$A:$A,'Grocery List'!$B$3,'Weekly Log'!$C:$C,A2784,'Weekly Log'!$E:$E,"Yes"))</f>
        <v/>
      </c>
      <c r="H2784" s="12" t="str">
        <f aca="false">IF(OR(A2784="",D2784=""),"",D2784*G2784)</f>
        <v/>
      </c>
    </row>
    <row r="2785" customFormat="false" ht="15" hidden="false" customHeight="false" outlineLevel="0" collapsed="false">
      <c r="B2785" s="12" t="str">
        <f aca="false">IF(A2785="","",IFERROR(INDEX(Recipes!$B:$B,MATCH(A2785,Recipes!$A:$A,0)),"⚠ unknown recipe_id"))</f>
        <v/>
      </c>
      <c r="E2785" s="12" t="str">
        <f aca="false">IF(C2785="","",IFERROR(INDEX('Ingredient Catalog'!$C:$C,MATCH(C2785,'Ingredient Catalog'!$A:$A,0)),"⚠ not in catalog"))</f>
        <v/>
      </c>
      <c r="G2785" s="12" t="str">
        <f aca="false">IF(A2785="","",COUNTIFS('Weekly Log'!$A:$A,'Grocery List'!$B$3,'Weekly Log'!$C:$C,A2785,'Weekly Log'!$E:$E,"Yes"))</f>
        <v/>
      </c>
      <c r="H2785" s="12" t="str">
        <f aca="false">IF(OR(A2785="",D2785=""),"",D2785*G2785)</f>
        <v/>
      </c>
    </row>
    <row r="2786" customFormat="false" ht="15" hidden="false" customHeight="false" outlineLevel="0" collapsed="false">
      <c r="B2786" s="12" t="str">
        <f aca="false">IF(A2786="","",IFERROR(INDEX(Recipes!$B:$B,MATCH(A2786,Recipes!$A:$A,0)),"⚠ unknown recipe_id"))</f>
        <v/>
      </c>
      <c r="E2786" s="12" t="str">
        <f aca="false">IF(C2786="","",IFERROR(INDEX('Ingredient Catalog'!$C:$C,MATCH(C2786,'Ingredient Catalog'!$A:$A,0)),"⚠ not in catalog"))</f>
        <v/>
      </c>
      <c r="G2786" s="12" t="str">
        <f aca="false">IF(A2786="","",COUNTIFS('Weekly Log'!$A:$A,'Grocery List'!$B$3,'Weekly Log'!$C:$C,A2786,'Weekly Log'!$E:$E,"Yes"))</f>
        <v/>
      </c>
      <c r="H2786" s="12" t="str">
        <f aca="false">IF(OR(A2786="",D2786=""),"",D2786*G2786)</f>
        <v/>
      </c>
    </row>
    <row r="2787" customFormat="false" ht="15" hidden="false" customHeight="false" outlineLevel="0" collapsed="false">
      <c r="B2787" s="12" t="str">
        <f aca="false">IF(A2787="","",IFERROR(INDEX(Recipes!$B:$B,MATCH(A2787,Recipes!$A:$A,0)),"⚠ unknown recipe_id"))</f>
        <v/>
      </c>
      <c r="E2787" s="12" t="str">
        <f aca="false">IF(C2787="","",IFERROR(INDEX('Ingredient Catalog'!$C:$C,MATCH(C2787,'Ingredient Catalog'!$A:$A,0)),"⚠ not in catalog"))</f>
        <v/>
      </c>
      <c r="G2787" s="12" t="str">
        <f aca="false">IF(A2787="","",COUNTIFS('Weekly Log'!$A:$A,'Grocery List'!$B$3,'Weekly Log'!$C:$C,A2787,'Weekly Log'!$E:$E,"Yes"))</f>
        <v/>
      </c>
      <c r="H2787" s="12" t="str">
        <f aca="false">IF(OR(A2787="",D2787=""),"",D2787*G2787)</f>
        <v/>
      </c>
    </row>
    <row r="2788" customFormat="false" ht="15" hidden="false" customHeight="false" outlineLevel="0" collapsed="false">
      <c r="B2788" s="12" t="str">
        <f aca="false">IF(A2788="","",IFERROR(INDEX(Recipes!$B:$B,MATCH(A2788,Recipes!$A:$A,0)),"⚠ unknown recipe_id"))</f>
        <v/>
      </c>
      <c r="E2788" s="12" t="str">
        <f aca="false">IF(C2788="","",IFERROR(INDEX('Ingredient Catalog'!$C:$C,MATCH(C2788,'Ingredient Catalog'!$A:$A,0)),"⚠ not in catalog"))</f>
        <v/>
      </c>
      <c r="G2788" s="12" t="str">
        <f aca="false">IF(A2788="","",COUNTIFS('Weekly Log'!$A:$A,'Grocery List'!$B$3,'Weekly Log'!$C:$C,A2788,'Weekly Log'!$E:$E,"Yes"))</f>
        <v/>
      </c>
      <c r="H2788" s="12" t="str">
        <f aca="false">IF(OR(A2788="",D2788=""),"",D2788*G2788)</f>
        <v/>
      </c>
    </row>
    <row r="2789" customFormat="false" ht="15" hidden="false" customHeight="false" outlineLevel="0" collapsed="false">
      <c r="B2789" s="12" t="str">
        <f aca="false">IF(A2789="","",IFERROR(INDEX(Recipes!$B:$B,MATCH(A2789,Recipes!$A:$A,0)),"⚠ unknown recipe_id"))</f>
        <v/>
      </c>
      <c r="E2789" s="12" t="str">
        <f aca="false">IF(C2789="","",IFERROR(INDEX('Ingredient Catalog'!$C:$C,MATCH(C2789,'Ingredient Catalog'!$A:$A,0)),"⚠ not in catalog"))</f>
        <v/>
      </c>
      <c r="G2789" s="12" t="str">
        <f aca="false">IF(A2789="","",COUNTIFS('Weekly Log'!$A:$A,'Grocery List'!$B$3,'Weekly Log'!$C:$C,A2789,'Weekly Log'!$E:$E,"Yes"))</f>
        <v/>
      </c>
      <c r="H2789" s="12" t="str">
        <f aca="false">IF(OR(A2789="",D2789=""),"",D2789*G2789)</f>
        <v/>
      </c>
    </row>
    <row r="2790" customFormat="false" ht="15" hidden="false" customHeight="false" outlineLevel="0" collapsed="false">
      <c r="B2790" s="12" t="str">
        <f aca="false">IF(A2790="","",IFERROR(INDEX(Recipes!$B:$B,MATCH(A2790,Recipes!$A:$A,0)),"⚠ unknown recipe_id"))</f>
        <v/>
      </c>
      <c r="E2790" s="12" t="str">
        <f aca="false">IF(C2790="","",IFERROR(INDEX('Ingredient Catalog'!$C:$C,MATCH(C2790,'Ingredient Catalog'!$A:$A,0)),"⚠ not in catalog"))</f>
        <v/>
      </c>
      <c r="G2790" s="12" t="str">
        <f aca="false">IF(A2790="","",COUNTIFS('Weekly Log'!$A:$A,'Grocery List'!$B$3,'Weekly Log'!$C:$C,A2790,'Weekly Log'!$E:$E,"Yes"))</f>
        <v/>
      </c>
      <c r="H2790" s="12" t="str">
        <f aca="false">IF(OR(A2790="",D2790=""),"",D2790*G2790)</f>
        <v/>
      </c>
    </row>
    <row r="2791" customFormat="false" ht="15" hidden="false" customHeight="false" outlineLevel="0" collapsed="false">
      <c r="B2791" s="12" t="str">
        <f aca="false">IF(A2791="","",IFERROR(INDEX(Recipes!$B:$B,MATCH(A2791,Recipes!$A:$A,0)),"⚠ unknown recipe_id"))</f>
        <v/>
      </c>
      <c r="E2791" s="12" t="str">
        <f aca="false">IF(C2791="","",IFERROR(INDEX('Ingredient Catalog'!$C:$C,MATCH(C2791,'Ingredient Catalog'!$A:$A,0)),"⚠ not in catalog"))</f>
        <v/>
      </c>
      <c r="G2791" s="12" t="str">
        <f aca="false">IF(A2791="","",COUNTIFS('Weekly Log'!$A:$A,'Grocery List'!$B$3,'Weekly Log'!$C:$C,A2791,'Weekly Log'!$E:$E,"Yes"))</f>
        <v/>
      </c>
      <c r="H2791" s="12" t="str">
        <f aca="false">IF(OR(A2791="",D2791=""),"",D2791*G2791)</f>
        <v/>
      </c>
    </row>
    <row r="2792" customFormat="false" ht="15" hidden="false" customHeight="false" outlineLevel="0" collapsed="false">
      <c r="B2792" s="12" t="str">
        <f aca="false">IF(A2792="","",IFERROR(INDEX(Recipes!$B:$B,MATCH(A2792,Recipes!$A:$A,0)),"⚠ unknown recipe_id"))</f>
        <v/>
      </c>
      <c r="E2792" s="12" t="str">
        <f aca="false">IF(C2792="","",IFERROR(INDEX('Ingredient Catalog'!$C:$C,MATCH(C2792,'Ingredient Catalog'!$A:$A,0)),"⚠ not in catalog"))</f>
        <v/>
      </c>
      <c r="G2792" s="12" t="str">
        <f aca="false">IF(A2792="","",COUNTIFS('Weekly Log'!$A:$A,'Grocery List'!$B$3,'Weekly Log'!$C:$C,A2792,'Weekly Log'!$E:$E,"Yes"))</f>
        <v/>
      </c>
      <c r="H2792" s="12" t="str">
        <f aca="false">IF(OR(A2792="",D2792=""),"",D2792*G2792)</f>
        <v/>
      </c>
    </row>
    <row r="2793" customFormat="false" ht="15" hidden="false" customHeight="false" outlineLevel="0" collapsed="false">
      <c r="B2793" s="12" t="str">
        <f aca="false">IF(A2793="","",IFERROR(INDEX(Recipes!$B:$B,MATCH(A2793,Recipes!$A:$A,0)),"⚠ unknown recipe_id"))</f>
        <v/>
      </c>
      <c r="E2793" s="12" t="str">
        <f aca="false">IF(C2793="","",IFERROR(INDEX('Ingredient Catalog'!$C:$C,MATCH(C2793,'Ingredient Catalog'!$A:$A,0)),"⚠ not in catalog"))</f>
        <v/>
      </c>
      <c r="G2793" s="12" t="str">
        <f aca="false">IF(A2793="","",COUNTIFS('Weekly Log'!$A:$A,'Grocery List'!$B$3,'Weekly Log'!$C:$C,A2793,'Weekly Log'!$E:$E,"Yes"))</f>
        <v/>
      </c>
      <c r="H2793" s="12" t="str">
        <f aca="false">IF(OR(A2793="",D2793=""),"",D2793*G2793)</f>
        <v/>
      </c>
    </row>
    <row r="2794" customFormat="false" ht="15" hidden="false" customHeight="false" outlineLevel="0" collapsed="false">
      <c r="B2794" s="12" t="str">
        <f aca="false">IF(A2794="","",IFERROR(INDEX(Recipes!$B:$B,MATCH(A2794,Recipes!$A:$A,0)),"⚠ unknown recipe_id"))</f>
        <v/>
      </c>
      <c r="E2794" s="12" t="str">
        <f aca="false">IF(C2794="","",IFERROR(INDEX('Ingredient Catalog'!$C:$C,MATCH(C2794,'Ingredient Catalog'!$A:$A,0)),"⚠ not in catalog"))</f>
        <v/>
      </c>
      <c r="G2794" s="12" t="str">
        <f aca="false">IF(A2794="","",COUNTIFS('Weekly Log'!$A:$A,'Grocery List'!$B$3,'Weekly Log'!$C:$C,A2794,'Weekly Log'!$E:$E,"Yes"))</f>
        <v/>
      </c>
      <c r="H2794" s="12" t="str">
        <f aca="false">IF(OR(A2794="",D2794=""),"",D2794*G2794)</f>
        <v/>
      </c>
    </row>
    <row r="2795" customFormat="false" ht="15" hidden="false" customHeight="false" outlineLevel="0" collapsed="false">
      <c r="B2795" s="12" t="str">
        <f aca="false">IF(A2795="","",IFERROR(INDEX(Recipes!$B:$B,MATCH(A2795,Recipes!$A:$A,0)),"⚠ unknown recipe_id"))</f>
        <v/>
      </c>
      <c r="E2795" s="12" t="str">
        <f aca="false">IF(C2795="","",IFERROR(INDEX('Ingredient Catalog'!$C:$C,MATCH(C2795,'Ingredient Catalog'!$A:$A,0)),"⚠ not in catalog"))</f>
        <v/>
      </c>
      <c r="G2795" s="12" t="str">
        <f aca="false">IF(A2795="","",COUNTIFS('Weekly Log'!$A:$A,'Grocery List'!$B$3,'Weekly Log'!$C:$C,A2795,'Weekly Log'!$E:$E,"Yes"))</f>
        <v/>
      </c>
      <c r="H2795" s="12" t="str">
        <f aca="false">IF(OR(A2795="",D2795=""),"",D2795*G2795)</f>
        <v/>
      </c>
    </row>
    <row r="2796" customFormat="false" ht="15" hidden="false" customHeight="false" outlineLevel="0" collapsed="false">
      <c r="B2796" s="12" t="str">
        <f aca="false">IF(A2796="","",IFERROR(INDEX(Recipes!$B:$B,MATCH(A2796,Recipes!$A:$A,0)),"⚠ unknown recipe_id"))</f>
        <v/>
      </c>
      <c r="E2796" s="12" t="str">
        <f aca="false">IF(C2796="","",IFERROR(INDEX('Ingredient Catalog'!$C:$C,MATCH(C2796,'Ingredient Catalog'!$A:$A,0)),"⚠ not in catalog"))</f>
        <v/>
      </c>
      <c r="G2796" s="12" t="str">
        <f aca="false">IF(A2796="","",COUNTIFS('Weekly Log'!$A:$A,'Grocery List'!$B$3,'Weekly Log'!$C:$C,A2796,'Weekly Log'!$E:$E,"Yes"))</f>
        <v/>
      </c>
      <c r="H2796" s="12" t="str">
        <f aca="false">IF(OR(A2796="",D2796=""),"",D2796*G2796)</f>
        <v/>
      </c>
    </row>
    <row r="2797" customFormat="false" ht="15" hidden="false" customHeight="false" outlineLevel="0" collapsed="false">
      <c r="B2797" s="12" t="str">
        <f aca="false">IF(A2797="","",IFERROR(INDEX(Recipes!$B:$B,MATCH(A2797,Recipes!$A:$A,0)),"⚠ unknown recipe_id"))</f>
        <v/>
      </c>
      <c r="E2797" s="12" t="str">
        <f aca="false">IF(C2797="","",IFERROR(INDEX('Ingredient Catalog'!$C:$C,MATCH(C2797,'Ingredient Catalog'!$A:$A,0)),"⚠ not in catalog"))</f>
        <v/>
      </c>
      <c r="G2797" s="12" t="str">
        <f aca="false">IF(A2797="","",COUNTIFS('Weekly Log'!$A:$A,'Grocery List'!$B$3,'Weekly Log'!$C:$C,A2797,'Weekly Log'!$E:$E,"Yes"))</f>
        <v/>
      </c>
      <c r="H2797" s="12" t="str">
        <f aca="false">IF(OR(A2797="",D2797=""),"",D2797*G2797)</f>
        <v/>
      </c>
    </row>
    <row r="2798" customFormat="false" ht="15" hidden="false" customHeight="false" outlineLevel="0" collapsed="false">
      <c r="B2798" s="12" t="str">
        <f aca="false">IF(A2798="","",IFERROR(INDEX(Recipes!$B:$B,MATCH(A2798,Recipes!$A:$A,0)),"⚠ unknown recipe_id"))</f>
        <v/>
      </c>
      <c r="E2798" s="12" t="str">
        <f aca="false">IF(C2798="","",IFERROR(INDEX('Ingredient Catalog'!$C:$C,MATCH(C2798,'Ingredient Catalog'!$A:$A,0)),"⚠ not in catalog"))</f>
        <v/>
      </c>
      <c r="G2798" s="12" t="str">
        <f aca="false">IF(A2798="","",COUNTIFS('Weekly Log'!$A:$A,'Grocery List'!$B$3,'Weekly Log'!$C:$C,A2798,'Weekly Log'!$E:$E,"Yes"))</f>
        <v/>
      </c>
      <c r="H2798" s="12" t="str">
        <f aca="false">IF(OR(A2798="",D2798=""),"",D2798*G2798)</f>
        <v/>
      </c>
    </row>
    <row r="2799" customFormat="false" ht="15" hidden="false" customHeight="false" outlineLevel="0" collapsed="false">
      <c r="B2799" s="12" t="str">
        <f aca="false">IF(A2799="","",IFERROR(INDEX(Recipes!$B:$B,MATCH(A2799,Recipes!$A:$A,0)),"⚠ unknown recipe_id"))</f>
        <v/>
      </c>
      <c r="E2799" s="12" t="str">
        <f aca="false">IF(C2799="","",IFERROR(INDEX('Ingredient Catalog'!$C:$C,MATCH(C2799,'Ingredient Catalog'!$A:$A,0)),"⚠ not in catalog"))</f>
        <v/>
      </c>
      <c r="G2799" s="12" t="str">
        <f aca="false">IF(A2799="","",COUNTIFS('Weekly Log'!$A:$A,'Grocery List'!$B$3,'Weekly Log'!$C:$C,A2799,'Weekly Log'!$E:$E,"Yes"))</f>
        <v/>
      </c>
      <c r="H2799" s="12" t="str">
        <f aca="false">IF(OR(A2799="",D2799=""),"",D2799*G2799)</f>
        <v/>
      </c>
    </row>
    <row r="2800" customFormat="false" ht="15" hidden="false" customHeight="false" outlineLevel="0" collapsed="false">
      <c r="B2800" s="12" t="str">
        <f aca="false">IF(A2800="","",IFERROR(INDEX(Recipes!$B:$B,MATCH(A2800,Recipes!$A:$A,0)),"⚠ unknown recipe_id"))</f>
        <v/>
      </c>
      <c r="E2800" s="12" t="str">
        <f aca="false">IF(C2800="","",IFERROR(INDEX('Ingredient Catalog'!$C:$C,MATCH(C2800,'Ingredient Catalog'!$A:$A,0)),"⚠ not in catalog"))</f>
        <v/>
      </c>
      <c r="G2800" s="12" t="str">
        <f aca="false">IF(A2800="","",COUNTIFS('Weekly Log'!$A:$A,'Grocery List'!$B$3,'Weekly Log'!$C:$C,A2800,'Weekly Log'!$E:$E,"Yes"))</f>
        <v/>
      </c>
      <c r="H2800" s="12" t="str">
        <f aca="false">IF(OR(A2800="",D2800=""),"",D2800*G2800)</f>
        <v/>
      </c>
    </row>
    <row r="2801" customFormat="false" ht="15" hidden="false" customHeight="false" outlineLevel="0" collapsed="false">
      <c r="B2801" s="12" t="str">
        <f aca="false">IF(A2801="","",IFERROR(INDEX(Recipes!$B:$B,MATCH(A2801,Recipes!$A:$A,0)),"⚠ unknown recipe_id"))</f>
        <v/>
      </c>
      <c r="E2801" s="12" t="str">
        <f aca="false">IF(C2801="","",IFERROR(INDEX('Ingredient Catalog'!$C:$C,MATCH(C2801,'Ingredient Catalog'!$A:$A,0)),"⚠ not in catalog"))</f>
        <v/>
      </c>
      <c r="G2801" s="12" t="str">
        <f aca="false">IF(A2801="","",COUNTIFS('Weekly Log'!$A:$A,'Grocery List'!$B$3,'Weekly Log'!$C:$C,A2801,'Weekly Log'!$E:$E,"Yes"))</f>
        <v/>
      </c>
      <c r="H2801" s="12" t="str">
        <f aca="false">IF(OR(A2801="",D2801=""),"",D2801*G2801)</f>
        <v/>
      </c>
    </row>
    <row r="2802" customFormat="false" ht="15" hidden="false" customHeight="false" outlineLevel="0" collapsed="false">
      <c r="B2802" s="12" t="str">
        <f aca="false">IF(A2802="","",IFERROR(INDEX(Recipes!$B:$B,MATCH(A2802,Recipes!$A:$A,0)),"⚠ unknown recipe_id"))</f>
        <v/>
      </c>
      <c r="E2802" s="12" t="str">
        <f aca="false">IF(C2802="","",IFERROR(INDEX('Ingredient Catalog'!$C:$C,MATCH(C2802,'Ingredient Catalog'!$A:$A,0)),"⚠ not in catalog"))</f>
        <v/>
      </c>
      <c r="G2802" s="12" t="str">
        <f aca="false">IF(A2802="","",COUNTIFS('Weekly Log'!$A:$A,'Grocery List'!$B$3,'Weekly Log'!$C:$C,A2802,'Weekly Log'!$E:$E,"Yes"))</f>
        <v/>
      </c>
      <c r="H2802" s="12" t="str">
        <f aca="false">IF(OR(A2802="",D2802=""),"",D2802*G2802)</f>
        <v/>
      </c>
    </row>
    <row r="2803" customFormat="false" ht="15" hidden="false" customHeight="false" outlineLevel="0" collapsed="false">
      <c r="B2803" s="12" t="str">
        <f aca="false">IF(A2803="","",IFERROR(INDEX(Recipes!$B:$B,MATCH(A2803,Recipes!$A:$A,0)),"⚠ unknown recipe_id"))</f>
        <v/>
      </c>
      <c r="E2803" s="12" t="str">
        <f aca="false">IF(C2803="","",IFERROR(INDEX('Ingredient Catalog'!$C:$C,MATCH(C2803,'Ingredient Catalog'!$A:$A,0)),"⚠ not in catalog"))</f>
        <v/>
      </c>
      <c r="G2803" s="12" t="str">
        <f aca="false">IF(A2803="","",COUNTIFS('Weekly Log'!$A:$A,'Grocery List'!$B$3,'Weekly Log'!$C:$C,A2803,'Weekly Log'!$E:$E,"Yes"))</f>
        <v/>
      </c>
      <c r="H2803" s="12" t="str">
        <f aca="false">IF(OR(A2803="",D2803=""),"",D2803*G2803)</f>
        <v/>
      </c>
    </row>
    <row r="2804" customFormat="false" ht="15" hidden="false" customHeight="false" outlineLevel="0" collapsed="false">
      <c r="B2804" s="12" t="str">
        <f aca="false">IF(A2804="","",IFERROR(INDEX(Recipes!$B:$B,MATCH(A2804,Recipes!$A:$A,0)),"⚠ unknown recipe_id"))</f>
        <v/>
      </c>
      <c r="E2804" s="12" t="str">
        <f aca="false">IF(C2804="","",IFERROR(INDEX('Ingredient Catalog'!$C:$C,MATCH(C2804,'Ingredient Catalog'!$A:$A,0)),"⚠ not in catalog"))</f>
        <v/>
      </c>
      <c r="G2804" s="12" t="str">
        <f aca="false">IF(A2804="","",COUNTIFS('Weekly Log'!$A:$A,'Grocery List'!$B$3,'Weekly Log'!$C:$C,A2804,'Weekly Log'!$E:$E,"Yes"))</f>
        <v/>
      </c>
      <c r="H2804" s="12" t="str">
        <f aca="false">IF(OR(A2804="",D2804=""),"",D2804*G2804)</f>
        <v/>
      </c>
    </row>
    <row r="2805" customFormat="false" ht="15" hidden="false" customHeight="false" outlineLevel="0" collapsed="false">
      <c r="B2805" s="12" t="str">
        <f aca="false">IF(A2805="","",IFERROR(INDEX(Recipes!$B:$B,MATCH(A2805,Recipes!$A:$A,0)),"⚠ unknown recipe_id"))</f>
        <v/>
      </c>
      <c r="E2805" s="12" t="str">
        <f aca="false">IF(C2805="","",IFERROR(INDEX('Ingredient Catalog'!$C:$C,MATCH(C2805,'Ingredient Catalog'!$A:$A,0)),"⚠ not in catalog"))</f>
        <v/>
      </c>
      <c r="G2805" s="12" t="str">
        <f aca="false">IF(A2805="","",COUNTIFS('Weekly Log'!$A:$A,'Grocery List'!$B$3,'Weekly Log'!$C:$C,A2805,'Weekly Log'!$E:$E,"Yes"))</f>
        <v/>
      </c>
      <c r="H2805" s="12" t="str">
        <f aca="false">IF(OR(A2805="",D2805=""),"",D2805*G2805)</f>
        <v/>
      </c>
    </row>
    <row r="2806" customFormat="false" ht="15" hidden="false" customHeight="false" outlineLevel="0" collapsed="false">
      <c r="B2806" s="12" t="str">
        <f aca="false">IF(A2806="","",IFERROR(INDEX(Recipes!$B:$B,MATCH(A2806,Recipes!$A:$A,0)),"⚠ unknown recipe_id"))</f>
        <v/>
      </c>
      <c r="E2806" s="12" t="str">
        <f aca="false">IF(C2806="","",IFERROR(INDEX('Ingredient Catalog'!$C:$C,MATCH(C2806,'Ingredient Catalog'!$A:$A,0)),"⚠ not in catalog"))</f>
        <v/>
      </c>
      <c r="G2806" s="12" t="str">
        <f aca="false">IF(A2806="","",COUNTIFS('Weekly Log'!$A:$A,'Grocery List'!$B$3,'Weekly Log'!$C:$C,A2806,'Weekly Log'!$E:$E,"Yes"))</f>
        <v/>
      </c>
      <c r="H2806" s="12" t="str">
        <f aca="false">IF(OR(A2806="",D2806=""),"",D2806*G2806)</f>
        <v/>
      </c>
    </row>
    <row r="2807" customFormat="false" ht="15" hidden="false" customHeight="false" outlineLevel="0" collapsed="false">
      <c r="B2807" s="12" t="str">
        <f aca="false">IF(A2807="","",IFERROR(INDEX(Recipes!$B:$B,MATCH(A2807,Recipes!$A:$A,0)),"⚠ unknown recipe_id"))</f>
        <v/>
      </c>
      <c r="E2807" s="12" t="str">
        <f aca="false">IF(C2807="","",IFERROR(INDEX('Ingredient Catalog'!$C:$C,MATCH(C2807,'Ingredient Catalog'!$A:$A,0)),"⚠ not in catalog"))</f>
        <v/>
      </c>
      <c r="G2807" s="12" t="str">
        <f aca="false">IF(A2807="","",COUNTIFS('Weekly Log'!$A:$A,'Grocery List'!$B$3,'Weekly Log'!$C:$C,A2807,'Weekly Log'!$E:$E,"Yes"))</f>
        <v/>
      </c>
      <c r="H2807" s="12" t="str">
        <f aca="false">IF(OR(A2807="",D2807=""),"",D2807*G2807)</f>
        <v/>
      </c>
    </row>
    <row r="2808" customFormat="false" ht="15" hidden="false" customHeight="false" outlineLevel="0" collapsed="false">
      <c r="B2808" s="12" t="str">
        <f aca="false">IF(A2808="","",IFERROR(INDEX(Recipes!$B:$B,MATCH(A2808,Recipes!$A:$A,0)),"⚠ unknown recipe_id"))</f>
        <v/>
      </c>
      <c r="E2808" s="12" t="str">
        <f aca="false">IF(C2808="","",IFERROR(INDEX('Ingredient Catalog'!$C:$C,MATCH(C2808,'Ingredient Catalog'!$A:$A,0)),"⚠ not in catalog"))</f>
        <v/>
      </c>
      <c r="G2808" s="12" t="str">
        <f aca="false">IF(A2808="","",COUNTIFS('Weekly Log'!$A:$A,'Grocery List'!$B$3,'Weekly Log'!$C:$C,A2808,'Weekly Log'!$E:$E,"Yes"))</f>
        <v/>
      </c>
      <c r="H2808" s="12" t="str">
        <f aca="false">IF(OR(A2808="",D2808=""),"",D2808*G2808)</f>
        <v/>
      </c>
    </row>
    <row r="2809" customFormat="false" ht="15" hidden="false" customHeight="false" outlineLevel="0" collapsed="false">
      <c r="B2809" s="12" t="str">
        <f aca="false">IF(A2809="","",IFERROR(INDEX(Recipes!$B:$B,MATCH(A2809,Recipes!$A:$A,0)),"⚠ unknown recipe_id"))</f>
        <v/>
      </c>
      <c r="E2809" s="12" t="str">
        <f aca="false">IF(C2809="","",IFERROR(INDEX('Ingredient Catalog'!$C:$C,MATCH(C2809,'Ingredient Catalog'!$A:$A,0)),"⚠ not in catalog"))</f>
        <v/>
      </c>
      <c r="G2809" s="12" t="str">
        <f aca="false">IF(A2809="","",COUNTIFS('Weekly Log'!$A:$A,'Grocery List'!$B$3,'Weekly Log'!$C:$C,A2809,'Weekly Log'!$E:$E,"Yes"))</f>
        <v/>
      </c>
      <c r="H2809" s="12" t="str">
        <f aca="false">IF(OR(A2809="",D2809=""),"",D2809*G2809)</f>
        <v/>
      </c>
    </row>
    <row r="2810" customFormat="false" ht="15" hidden="false" customHeight="false" outlineLevel="0" collapsed="false">
      <c r="B2810" s="12" t="str">
        <f aca="false">IF(A2810="","",IFERROR(INDEX(Recipes!$B:$B,MATCH(A2810,Recipes!$A:$A,0)),"⚠ unknown recipe_id"))</f>
        <v/>
      </c>
      <c r="E2810" s="12" t="str">
        <f aca="false">IF(C2810="","",IFERROR(INDEX('Ingredient Catalog'!$C:$C,MATCH(C2810,'Ingredient Catalog'!$A:$A,0)),"⚠ not in catalog"))</f>
        <v/>
      </c>
      <c r="G2810" s="12" t="str">
        <f aca="false">IF(A2810="","",COUNTIFS('Weekly Log'!$A:$A,'Grocery List'!$B$3,'Weekly Log'!$C:$C,A2810,'Weekly Log'!$E:$E,"Yes"))</f>
        <v/>
      </c>
      <c r="H2810" s="12" t="str">
        <f aca="false">IF(OR(A2810="",D2810=""),"",D2810*G2810)</f>
        <v/>
      </c>
    </row>
    <row r="2811" customFormat="false" ht="15" hidden="false" customHeight="false" outlineLevel="0" collapsed="false">
      <c r="B2811" s="12" t="str">
        <f aca="false">IF(A2811="","",IFERROR(INDEX(Recipes!$B:$B,MATCH(A2811,Recipes!$A:$A,0)),"⚠ unknown recipe_id"))</f>
        <v/>
      </c>
      <c r="E2811" s="12" t="str">
        <f aca="false">IF(C2811="","",IFERROR(INDEX('Ingredient Catalog'!$C:$C,MATCH(C2811,'Ingredient Catalog'!$A:$A,0)),"⚠ not in catalog"))</f>
        <v/>
      </c>
      <c r="G2811" s="12" t="str">
        <f aca="false">IF(A2811="","",COUNTIFS('Weekly Log'!$A:$A,'Grocery List'!$B$3,'Weekly Log'!$C:$C,A2811,'Weekly Log'!$E:$E,"Yes"))</f>
        <v/>
      </c>
      <c r="H2811" s="12" t="str">
        <f aca="false">IF(OR(A2811="",D2811=""),"",D2811*G2811)</f>
        <v/>
      </c>
    </row>
    <row r="2812" customFormat="false" ht="15" hidden="false" customHeight="false" outlineLevel="0" collapsed="false">
      <c r="B2812" s="12" t="str">
        <f aca="false">IF(A2812="","",IFERROR(INDEX(Recipes!$B:$B,MATCH(A2812,Recipes!$A:$A,0)),"⚠ unknown recipe_id"))</f>
        <v/>
      </c>
      <c r="E2812" s="12" t="str">
        <f aca="false">IF(C2812="","",IFERROR(INDEX('Ingredient Catalog'!$C:$C,MATCH(C2812,'Ingredient Catalog'!$A:$A,0)),"⚠ not in catalog"))</f>
        <v/>
      </c>
      <c r="G2812" s="12" t="str">
        <f aca="false">IF(A2812="","",COUNTIFS('Weekly Log'!$A:$A,'Grocery List'!$B$3,'Weekly Log'!$C:$C,A2812,'Weekly Log'!$E:$E,"Yes"))</f>
        <v/>
      </c>
      <c r="H2812" s="12" t="str">
        <f aca="false">IF(OR(A2812="",D2812=""),"",D2812*G2812)</f>
        <v/>
      </c>
    </row>
    <row r="2813" customFormat="false" ht="15" hidden="false" customHeight="false" outlineLevel="0" collapsed="false">
      <c r="B2813" s="12" t="str">
        <f aca="false">IF(A2813="","",IFERROR(INDEX(Recipes!$B:$B,MATCH(A2813,Recipes!$A:$A,0)),"⚠ unknown recipe_id"))</f>
        <v/>
      </c>
      <c r="E2813" s="12" t="str">
        <f aca="false">IF(C2813="","",IFERROR(INDEX('Ingredient Catalog'!$C:$C,MATCH(C2813,'Ingredient Catalog'!$A:$A,0)),"⚠ not in catalog"))</f>
        <v/>
      </c>
      <c r="G2813" s="12" t="str">
        <f aca="false">IF(A2813="","",COUNTIFS('Weekly Log'!$A:$A,'Grocery List'!$B$3,'Weekly Log'!$C:$C,A2813,'Weekly Log'!$E:$E,"Yes"))</f>
        <v/>
      </c>
      <c r="H2813" s="12" t="str">
        <f aca="false">IF(OR(A2813="",D2813=""),"",D2813*G2813)</f>
        <v/>
      </c>
    </row>
    <row r="2814" customFormat="false" ht="15" hidden="false" customHeight="false" outlineLevel="0" collapsed="false">
      <c r="B2814" s="12" t="str">
        <f aca="false">IF(A2814="","",IFERROR(INDEX(Recipes!$B:$B,MATCH(A2814,Recipes!$A:$A,0)),"⚠ unknown recipe_id"))</f>
        <v/>
      </c>
      <c r="E2814" s="12" t="str">
        <f aca="false">IF(C2814="","",IFERROR(INDEX('Ingredient Catalog'!$C:$C,MATCH(C2814,'Ingredient Catalog'!$A:$A,0)),"⚠ not in catalog"))</f>
        <v/>
      </c>
      <c r="G2814" s="12" t="str">
        <f aca="false">IF(A2814="","",COUNTIFS('Weekly Log'!$A:$A,'Grocery List'!$B$3,'Weekly Log'!$C:$C,A2814,'Weekly Log'!$E:$E,"Yes"))</f>
        <v/>
      </c>
      <c r="H2814" s="12" t="str">
        <f aca="false">IF(OR(A2814="",D2814=""),"",D2814*G2814)</f>
        <v/>
      </c>
    </row>
    <row r="2815" customFormat="false" ht="15" hidden="false" customHeight="false" outlineLevel="0" collapsed="false">
      <c r="B2815" s="12" t="str">
        <f aca="false">IF(A2815="","",IFERROR(INDEX(Recipes!$B:$B,MATCH(A2815,Recipes!$A:$A,0)),"⚠ unknown recipe_id"))</f>
        <v/>
      </c>
      <c r="E2815" s="12" t="str">
        <f aca="false">IF(C2815="","",IFERROR(INDEX('Ingredient Catalog'!$C:$C,MATCH(C2815,'Ingredient Catalog'!$A:$A,0)),"⚠ not in catalog"))</f>
        <v/>
      </c>
      <c r="G2815" s="12" t="str">
        <f aca="false">IF(A2815="","",COUNTIFS('Weekly Log'!$A:$A,'Grocery List'!$B$3,'Weekly Log'!$C:$C,A2815,'Weekly Log'!$E:$E,"Yes"))</f>
        <v/>
      </c>
      <c r="H2815" s="12" t="str">
        <f aca="false">IF(OR(A2815="",D2815=""),"",D2815*G2815)</f>
        <v/>
      </c>
    </row>
    <row r="2816" customFormat="false" ht="15" hidden="false" customHeight="false" outlineLevel="0" collapsed="false">
      <c r="B2816" s="12" t="str">
        <f aca="false">IF(A2816="","",IFERROR(INDEX(Recipes!$B:$B,MATCH(A2816,Recipes!$A:$A,0)),"⚠ unknown recipe_id"))</f>
        <v/>
      </c>
      <c r="E2816" s="12" t="str">
        <f aca="false">IF(C2816="","",IFERROR(INDEX('Ingredient Catalog'!$C:$C,MATCH(C2816,'Ingredient Catalog'!$A:$A,0)),"⚠ not in catalog"))</f>
        <v/>
      </c>
      <c r="G2816" s="12" t="str">
        <f aca="false">IF(A2816="","",COUNTIFS('Weekly Log'!$A:$A,'Grocery List'!$B$3,'Weekly Log'!$C:$C,A2816,'Weekly Log'!$E:$E,"Yes"))</f>
        <v/>
      </c>
      <c r="H2816" s="12" t="str">
        <f aca="false">IF(OR(A2816="",D2816=""),"",D2816*G2816)</f>
        <v/>
      </c>
    </row>
    <row r="2817" customFormat="false" ht="15" hidden="false" customHeight="false" outlineLevel="0" collapsed="false">
      <c r="B2817" s="12" t="str">
        <f aca="false">IF(A2817="","",IFERROR(INDEX(Recipes!$B:$B,MATCH(A2817,Recipes!$A:$A,0)),"⚠ unknown recipe_id"))</f>
        <v/>
      </c>
      <c r="E2817" s="12" t="str">
        <f aca="false">IF(C2817="","",IFERROR(INDEX('Ingredient Catalog'!$C:$C,MATCH(C2817,'Ingredient Catalog'!$A:$A,0)),"⚠ not in catalog"))</f>
        <v/>
      </c>
      <c r="G2817" s="12" t="str">
        <f aca="false">IF(A2817="","",COUNTIFS('Weekly Log'!$A:$A,'Grocery List'!$B$3,'Weekly Log'!$C:$C,A2817,'Weekly Log'!$E:$E,"Yes"))</f>
        <v/>
      </c>
      <c r="H2817" s="12" t="str">
        <f aca="false">IF(OR(A2817="",D2817=""),"",D2817*G2817)</f>
        <v/>
      </c>
    </row>
    <row r="2818" customFormat="false" ht="15" hidden="false" customHeight="false" outlineLevel="0" collapsed="false">
      <c r="B2818" s="12" t="str">
        <f aca="false">IF(A2818="","",IFERROR(INDEX(Recipes!$B:$B,MATCH(A2818,Recipes!$A:$A,0)),"⚠ unknown recipe_id"))</f>
        <v/>
      </c>
      <c r="E2818" s="12" t="str">
        <f aca="false">IF(C2818="","",IFERROR(INDEX('Ingredient Catalog'!$C:$C,MATCH(C2818,'Ingredient Catalog'!$A:$A,0)),"⚠ not in catalog"))</f>
        <v/>
      </c>
      <c r="G2818" s="12" t="str">
        <f aca="false">IF(A2818="","",COUNTIFS('Weekly Log'!$A:$A,'Grocery List'!$B$3,'Weekly Log'!$C:$C,A2818,'Weekly Log'!$E:$E,"Yes"))</f>
        <v/>
      </c>
      <c r="H2818" s="12" t="str">
        <f aca="false">IF(OR(A2818="",D2818=""),"",D2818*G2818)</f>
        <v/>
      </c>
    </row>
    <row r="2819" customFormat="false" ht="15" hidden="false" customHeight="false" outlineLevel="0" collapsed="false">
      <c r="B2819" s="12" t="str">
        <f aca="false">IF(A2819="","",IFERROR(INDEX(Recipes!$B:$B,MATCH(A2819,Recipes!$A:$A,0)),"⚠ unknown recipe_id"))</f>
        <v/>
      </c>
      <c r="E2819" s="12" t="str">
        <f aca="false">IF(C2819="","",IFERROR(INDEX('Ingredient Catalog'!$C:$C,MATCH(C2819,'Ingredient Catalog'!$A:$A,0)),"⚠ not in catalog"))</f>
        <v/>
      </c>
      <c r="G2819" s="12" t="str">
        <f aca="false">IF(A2819="","",COUNTIFS('Weekly Log'!$A:$A,'Grocery List'!$B$3,'Weekly Log'!$C:$C,A2819,'Weekly Log'!$E:$E,"Yes"))</f>
        <v/>
      </c>
      <c r="H2819" s="12" t="str">
        <f aca="false">IF(OR(A2819="",D2819=""),"",D2819*G2819)</f>
        <v/>
      </c>
    </row>
    <row r="2820" customFormat="false" ht="15" hidden="false" customHeight="false" outlineLevel="0" collapsed="false">
      <c r="B2820" s="12" t="str">
        <f aca="false">IF(A2820="","",IFERROR(INDEX(Recipes!$B:$B,MATCH(A2820,Recipes!$A:$A,0)),"⚠ unknown recipe_id"))</f>
        <v/>
      </c>
      <c r="E2820" s="12" t="str">
        <f aca="false">IF(C2820="","",IFERROR(INDEX('Ingredient Catalog'!$C:$C,MATCH(C2820,'Ingredient Catalog'!$A:$A,0)),"⚠ not in catalog"))</f>
        <v/>
      </c>
      <c r="G2820" s="12" t="str">
        <f aca="false">IF(A2820="","",COUNTIFS('Weekly Log'!$A:$A,'Grocery List'!$B$3,'Weekly Log'!$C:$C,A2820,'Weekly Log'!$E:$E,"Yes"))</f>
        <v/>
      </c>
      <c r="H2820" s="12" t="str">
        <f aca="false">IF(OR(A2820="",D2820=""),"",D2820*G2820)</f>
        <v/>
      </c>
    </row>
    <row r="2821" customFormat="false" ht="15" hidden="false" customHeight="false" outlineLevel="0" collapsed="false">
      <c r="B2821" s="12" t="str">
        <f aca="false">IF(A2821="","",IFERROR(INDEX(Recipes!$B:$B,MATCH(A2821,Recipes!$A:$A,0)),"⚠ unknown recipe_id"))</f>
        <v/>
      </c>
      <c r="E2821" s="12" t="str">
        <f aca="false">IF(C2821="","",IFERROR(INDEX('Ingredient Catalog'!$C:$C,MATCH(C2821,'Ingredient Catalog'!$A:$A,0)),"⚠ not in catalog"))</f>
        <v/>
      </c>
      <c r="G2821" s="12" t="str">
        <f aca="false">IF(A2821="","",COUNTIFS('Weekly Log'!$A:$A,'Grocery List'!$B$3,'Weekly Log'!$C:$C,A2821,'Weekly Log'!$E:$E,"Yes"))</f>
        <v/>
      </c>
      <c r="H2821" s="12" t="str">
        <f aca="false">IF(OR(A2821="",D2821=""),"",D2821*G2821)</f>
        <v/>
      </c>
    </row>
    <row r="2822" customFormat="false" ht="15" hidden="false" customHeight="false" outlineLevel="0" collapsed="false">
      <c r="B2822" s="12" t="str">
        <f aca="false">IF(A2822="","",IFERROR(INDEX(Recipes!$B:$B,MATCH(A2822,Recipes!$A:$A,0)),"⚠ unknown recipe_id"))</f>
        <v/>
      </c>
      <c r="E2822" s="12" t="str">
        <f aca="false">IF(C2822="","",IFERROR(INDEX('Ingredient Catalog'!$C:$C,MATCH(C2822,'Ingredient Catalog'!$A:$A,0)),"⚠ not in catalog"))</f>
        <v/>
      </c>
      <c r="G2822" s="12" t="str">
        <f aca="false">IF(A2822="","",COUNTIFS('Weekly Log'!$A:$A,'Grocery List'!$B$3,'Weekly Log'!$C:$C,A2822,'Weekly Log'!$E:$E,"Yes"))</f>
        <v/>
      </c>
      <c r="H2822" s="12" t="str">
        <f aca="false">IF(OR(A2822="",D2822=""),"",D2822*G2822)</f>
        <v/>
      </c>
    </row>
    <row r="2823" customFormat="false" ht="15" hidden="false" customHeight="false" outlineLevel="0" collapsed="false">
      <c r="B2823" s="12" t="str">
        <f aca="false">IF(A2823="","",IFERROR(INDEX(Recipes!$B:$B,MATCH(A2823,Recipes!$A:$A,0)),"⚠ unknown recipe_id"))</f>
        <v/>
      </c>
      <c r="E2823" s="12" t="str">
        <f aca="false">IF(C2823="","",IFERROR(INDEX('Ingredient Catalog'!$C:$C,MATCH(C2823,'Ingredient Catalog'!$A:$A,0)),"⚠ not in catalog"))</f>
        <v/>
      </c>
      <c r="G2823" s="12" t="str">
        <f aca="false">IF(A2823="","",COUNTIFS('Weekly Log'!$A:$A,'Grocery List'!$B$3,'Weekly Log'!$C:$C,A2823,'Weekly Log'!$E:$E,"Yes"))</f>
        <v/>
      </c>
      <c r="H2823" s="12" t="str">
        <f aca="false">IF(OR(A2823="",D2823=""),"",D2823*G2823)</f>
        <v/>
      </c>
    </row>
    <row r="2824" customFormat="false" ht="15" hidden="false" customHeight="false" outlineLevel="0" collapsed="false">
      <c r="B2824" s="12" t="str">
        <f aca="false">IF(A2824="","",IFERROR(INDEX(Recipes!$B:$B,MATCH(A2824,Recipes!$A:$A,0)),"⚠ unknown recipe_id"))</f>
        <v/>
      </c>
      <c r="E2824" s="12" t="str">
        <f aca="false">IF(C2824="","",IFERROR(INDEX('Ingredient Catalog'!$C:$C,MATCH(C2824,'Ingredient Catalog'!$A:$A,0)),"⚠ not in catalog"))</f>
        <v/>
      </c>
      <c r="G2824" s="12" t="str">
        <f aca="false">IF(A2824="","",COUNTIFS('Weekly Log'!$A:$A,'Grocery List'!$B$3,'Weekly Log'!$C:$C,A2824,'Weekly Log'!$E:$E,"Yes"))</f>
        <v/>
      </c>
      <c r="H2824" s="12" t="str">
        <f aca="false">IF(OR(A2824="",D2824=""),"",D2824*G2824)</f>
        <v/>
      </c>
    </row>
    <row r="2825" customFormat="false" ht="15" hidden="false" customHeight="false" outlineLevel="0" collapsed="false">
      <c r="B2825" s="12" t="str">
        <f aca="false">IF(A2825="","",IFERROR(INDEX(Recipes!$B:$B,MATCH(A2825,Recipes!$A:$A,0)),"⚠ unknown recipe_id"))</f>
        <v/>
      </c>
      <c r="E2825" s="12" t="str">
        <f aca="false">IF(C2825="","",IFERROR(INDEX('Ingredient Catalog'!$C:$C,MATCH(C2825,'Ingredient Catalog'!$A:$A,0)),"⚠ not in catalog"))</f>
        <v/>
      </c>
      <c r="G2825" s="12" t="str">
        <f aca="false">IF(A2825="","",COUNTIFS('Weekly Log'!$A:$A,'Grocery List'!$B$3,'Weekly Log'!$C:$C,A2825,'Weekly Log'!$E:$E,"Yes"))</f>
        <v/>
      </c>
      <c r="H2825" s="12" t="str">
        <f aca="false">IF(OR(A2825="",D2825=""),"",D2825*G2825)</f>
        <v/>
      </c>
    </row>
    <row r="2826" customFormat="false" ht="15" hidden="false" customHeight="false" outlineLevel="0" collapsed="false">
      <c r="B2826" s="12" t="str">
        <f aca="false">IF(A2826="","",IFERROR(INDEX(Recipes!$B:$B,MATCH(A2826,Recipes!$A:$A,0)),"⚠ unknown recipe_id"))</f>
        <v/>
      </c>
      <c r="E2826" s="12" t="str">
        <f aca="false">IF(C2826="","",IFERROR(INDEX('Ingredient Catalog'!$C:$C,MATCH(C2826,'Ingredient Catalog'!$A:$A,0)),"⚠ not in catalog"))</f>
        <v/>
      </c>
      <c r="G2826" s="12" t="str">
        <f aca="false">IF(A2826="","",COUNTIFS('Weekly Log'!$A:$A,'Grocery List'!$B$3,'Weekly Log'!$C:$C,A2826,'Weekly Log'!$E:$E,"Yes"))</f>
        <v/>
      </c>
      <c r="H2826" s="12" t="str">
        <f aca="false">IF(OR(A2826="",D2826=""),"",D2826*G2826)</f>
        <v/>
      </c>
    </row>
    <row r="2827" customFormat="false" ht="15" hidden="false" customHeight="false" outlineLevel="0" collapsed="false">
      <c r="B2827" s="12" t="str">
        <f aca="false">IF(A2827="","",IFERROR(INDEX(Recipes!$B:$B,MATCH(A2827,Recipes!$A:$A,0)),"⚠ unknown recipe_id"))</f>
        <v/>
      </c>
      <c r="E2827" s="12" t="str">
        <f aca="false">IF(C2827="","",IFERROR(INDEX('Ingredient Catalog'!$C:$C,MATCH(C2827,'Ingredient Catalog'!$A:$A,0)),"⚠ not in catalog"))</f>
        <v/>
      </c>
      <c r="G2827" s="12" t="str">
        <f aca="false">IF(A2827="","",COUNTIFS('Weekly Log'!$A:$A,'Grocery List'!$B$3,'Weekly Log'!$C:$C,A2827,'Weekly Log'!$E:$E,"Yes"))</f>
        <v/>
      </c>
      <c r="H2827" s="12" t="str">
        <f aca="false">IF(OR(A2827="",D2827=""),"",D2827*G2827)</f>
        <v/>
      </c>
    </row>
    <row r="2828" customFormat="false" ht="15" hidden="false" customHeight="false" outlineLevel="0" collapsed="false">
      <c r="B2828" s="12" t="str">
        <f aca="false">IF(A2828="","",IFERROR(INDEX(Recipes!$B:$B,MATCH(A2828,Recipes!$A:$A,0)),"⚠ unknown recipe_id"))</f>
        <v/>
      </c>
      <c r="E2828" s="12" t="str">
        <f aca="false">IF(C2828="","",IFERROR(INDEX('Ingredient Catalog'!$C:$C,MATCH(C2828,'Ingredient Catalog'!$A:$A,0)),"⚠ not in catalog"))</f>
        <v/>
      </c>
      <c r="G2828" s="12" t="str">
        <f aca="false">IF(A2828="","",COUNTIFS('Weekly Log'!$A:$A,'Grocery List'!$B$3,'Weekly Log'!$C:$C,A2828,'Weekly Log'!$E:$E,"Yes"))</f>
        <v/>
      </c>
      <c r="H2828" s="12" t="str">
        <f aca="false">IF(OR(A2828="",D2828=""),"",D2828*G2828)</f>
        <v/>
      </c>
    </row>
    <row r="2829" customFormat="false" ht="15" hidden="false" customHeight="false" outlineLevel="0" collapsed="false">
      <c r="B2829" s="12" t="str">
        <f aca="false">IF(A2829="","",IFERROR(INDEX(Recipes!$B:$B,MATCH(A2829,Recipes!$A:$A,0)),"⚠ unknown recipe_id"))</f>
        <v/>
      </c>
      <c r="E2829" s="12" t="str">
        <f aca="false">IF(C2829="","",IFERROR(INDEX('Ingredient Catalog'!$C:$C,MATCH(C2829,'Ingredient Catalog'!$A:$A,0)),"⚠ not in catalog"))</f>
        <v/>
      </c>
      <c r="G2829" s="12" t="str">
        <f aca="false">IF(A2829="","",COUNTIFS('Weekly Log'!$A:$A,'Grocery List'!$B$3,'Weekly Log'!$C:$C,A2829,'Weekly Log'!$E:$E,"Yes"))</f>
        <v/>
      </c>
      <c r="H2829" s="12" t="str">
        <f aca="false">IF(OR(A2829="",D2829=""),"",D2829*G2829)</f>
        <v/>
      </c>
    </row>
    <row r="2830" customFormat="false" ht="15" hidden="false" customHeight="false" outlineLevel="0" collapsed="false">
      <c r="B2830" s="12" t="str">
        <f aca="false">IF(A2830="","",IFERROR(INDEX(Recipes!$B:$B,MATCH(A2830,Recipes!$A:$A,0)),"⚠ unknown recipe_id"))</f>
        <v/>
      </c>
      <c r="E2830" s="12" t="str">
        <f aca="false">IF(C2830="","",IFERROR(INDEX('Ingredient Catalog'!$C:$C,MATCH(C2830,'Ingredient Catalog'!$A:$A,0)),"⚠ not in catalog"))</f>
        <v/>
      </c>
      <c r="G2830" s="12" t="str">
        <f aca="false">IF(A2830="","",COUNTIFS('Weekly Log'!$A:$A,'Grocery List'!$B$3,'Weekly Log'!$C:$C,A2830,'Weekly Log'!$E:$E,"Yes"))</f>
        <v/>
      </c>
      <c r="H2830" s="12" t="str">
        <f aca="false">IF(OR(A2830="",D2830=""),"",D2830*G2830)</f>
        <v/>
      </c>
    </row>
    <row r="2831" customFormat="false" ht="15" hidden="false" customHeight="false" outlineLevel="0" collapsed="false">
      <c r="B2831" s="12" t="str">
        <f aca="false">IF(A2831="","",IFERROR(INDEX(Recipes!$B:$B,MATCH(A2831,Recipes!$A:$A,0)),"⚠ unknown recipe_id"))</f>
        <v/>
      </c>
      <c r="E2831" s="12" t="str">
        <f aca="false">IF(C2831="","",IFERROR(INDEX('Ingredient Catalog'!$C:$C,MATCH(C2831,'Ingredient Catalog'!$A:$A,0)),"⚠ not in catalog"))</f>
        <v/>
      </c>
      <c r="G2831" s="12" t="str">
        <f aca="false">IF(A2831="","",COUNTIFS('Weekly Log'!$A:$A,'Grocery List'!$B$3,'Weekly Log'!$C:$C,A2831,'Weekly Log'!$E:$E,"Yes"))</f>
        <v/>
      </c>
      <c r="H2831" s="12" t="str">
        <f aca="false">IF(OR(A2831="",D2831=""),"",D2831*G2831)</f>
        <v/>
      </c>
    </row>
    <row r="2832" customFormat="false" ht="15" hidden="false" customHeight="false" outlineLevel="0" collapsed="false">
      <c r="B2832" s="12" t="str">
        <f aca="false">IF(A2832="","",IFERROR(INDEX(Recipes!$B:$B,MATCH(A2832,Recipes!$A:$A,0)),"⚠ unknown recipe_id"))</f>
        <v/>
      </c>
      <c r="E2832" s="12" t="str">
        <f aca="false">IF(C2832="","",IFERROR(INDEX('Ingredient Catalog'!$C:$C,MATCH(C2832,'Ingredient Catalog'!$A:$A,0)),"⚠ not in catalog"))</f>
        <v/>
      </c>
      <c r="G2832" s="12" t="str">
        <f aca="false">IF(A2832="","",COUNTIFS('Weekly Log'!$A:$A,'Grocery List'!$B$3,'Weekly Log'!$C:$C,A2832,'Weekly Log'!$E:$E,"Yes"))</f>
        <v/>
      </c>
      <c r="H2832" s="12" t="str">
        <f aca="false">IF(OR(A2832="",D2832=""),"",D2832*G2832)</f>
        <v/>
      </c>
    </row>
    <row r="2833" customFormat="false" ht="15" hidden="false" customHeight="false" outlineLevel="0" collapsed="false">
      <c r="B2833" s="12" t="str">
        <f aca="false">IF(A2833="","",IFERROR(INDEX(Recipes!$B:$B,MATCH(A2833,Recipes!$A:$A,0)),"⚠ unknown recipe_id"))</f>
        <v/>
      </c>
      <c r="E2833" s="12" t="str">
        <f aca="false">IF(C2833="","",IFERROR(INDEX('Ingredient Catalog'!$C:$C,MATCH(C2833,'Ingredient Catalog'!$A:$A,0)),"⚠ not in catalog"))</f>
        <v/>
      </c>
      <c r="G2833" s="12" t="str">
        <f aca="false">IF(A2833="","",COUNTIFS('Weekly Log'!$A:$A,'Grocery List'!$B$3,'Weekly Log'!$C:$C,A2833,'Weekly Log'!$E:$E,"Yes"))</f>
        <v/>
      </c>
      <c r="H2833" s="12" t="str">
        <f aca="false">IF(OR(A2833="",D2833=""),"",D2833*G2833)</f>
        <v/>
      </c>
    </row>
    <row r="2834" customFormat="false" ht="15" hidden="false" customHeight="false" outlineLevel="0" collapsed="false">
      <c r="B2834" s="12" t="str">
        <f aca="false">IF(A2834="","",IFERROR(INDEX(Recipes!$B:$B,MATCH(A2834,Recipes!$A:$A,0)),"⚠ unknown recipe_id"))</f>
        <v/>
      </c>
      <c r="E2834" s="12" t="str">
        <f aca="false">IF(C2834="","",IFERROR(INDEX('Ingredient Catalog'!$C:$C,MATCH(C2834,'Ingredient Catalog'!$A:$A,0)),"⚠ not in catalog"))</f>
        <v/>
      </c>
      <c r="G2834" s="12" t="str">
        <f aca="false">IF(A2834="","",COUNTIFS('Weekly Log'!$A:$A,'Grocery List'!$B$3,'Weekly Log'!$C:$C,A2834,'Weekly Log'!$E:$E,"Yes"))</f>
        <v/>
      </c>
      <c r="H2834" s="12" t="str">
        <f aca="false">IF(OR(A2834="",D2834=""),"",D2834*G2834)</f>
        <v/>
      </c>
    </row>
    <row r="2835" customFormat="false" ht="15" hidden="false" customHeight="false" outlineLevel="0" collapsed="false">
      <c r="B2835" s="12" t="str">
        <f aca="false">IF(A2835="","",IFERROR(INDEX(Recipes!$B:$B,MATCH(A2835,Recipes!$A:$A,0)),"⚠ unknown recipe_id"))</f>
        <v/>
      </c>
      <c r="E2835" s="12" t="str">
        <f aca="false">IF(C2835="","",IFERROR(INDEX('Ingredient Catalog'!$C:$C,MATCH(C2835,'Ingredient Catalog'!$A:$A,0)),"⚠ not in catalog"))</f>
        <v/>
      </c>
      <c r="G2835" s="12" t="str">
        <f aca="false">IF(A2835="","",COUNTIFS('Weekly Log'!$A:$A,'Grocery List'!$B$3,'Weekly Log'!$C:$C,A2835,'Weekly Log'!$E:$E,"Yes"))</f>
        <v/>
      </c>
      <c r="H2835" s="12" t="str">
        <f aca="false">IF(OR(A2835="",D2835=""),"",D2835*G2835)</f>
        <v/>
      </c>
    </row>
    <row r="2836" customFormat="false" ht="15" hidden="false" customHeight="false" outlineLevel="0" collapsed="false">
      <c r="B2836" s="12" t="str">
        <f aca="false">IF(A2836="","",IFERROR(INDEX(Recipes!$B:$B,MATCH(A2836,Recipes!$A:$A,0)),"⚠ unknown recipe_id"))</f>
        <v/>
      </c>
      <c r="E2836" s="12" t="str">
        <f aca="false">IF(C2836="","",IFERROR(INDEX('Ingredient Catalog'!$C:$C,MATCH(C2836,'Ingredient Catalog'!$A:$A,0)),"⚠ not in catalog"))</f>
        <v/>
      </c>
      <c r="G2836" s="12" t="str">
        <f aca="false">IF(A2836="","",COUNTIFS('Weekly Log'!$A:$A,'Grocery List'!$B$3,'Weekly Log'!$C:$C,A2836,'Weekly Log'!$E:$E,"Yes"))</f>
        <v/>
      </c>
      <c r="H2836" s="12" t="str">
        <f aca="false">IF(OR(A2836="",D2836=""),"",D2836*G2836)</f>
        <v/>
      </c>
    </row>
    <row r="2837" customFormat="false" ht="15" hidden="false" customHeight="false" outlineLevel="0" collapsed="false">
      <c r="B2837" s="12" t="str">
        <f aca="false">IF(A2837="","",IFERROR(INDEX(Recipes!$B:$B,MATCH(A2837,Recipes!$A:$A,0)),"⚠ unknown recipe_id"))</f>
        <v/>
      </c>
      <c r="E2837" s="12" t="str">
        <f aca="false">IF(C2837="","",IFERROR(INDEX('Ingredient Catalog'!$C:$C,MATCH(C2837,'Ingredient Catalog'!$A:$A,0)),"⚠ not in catalog"))</f>
        <v/>
      </c>
      <c r="G2837" s="12" t="str">
        <f aca="false">IF(A2837="","",COUNTIFS('Weekly Log'!$A:$A,'Grocery List'!$B$3,'Weekly Log'!$C:$C,A2837,'Weekly Log'!$E:$E,"Yes"))</f>
        <v/>
      </c>
      <c r="H2837" s="12" t="str">
        <f aca="false">IF(OR(A2837="",D2837=""),"",D2837*G2837)</f>
        <v/>
      </c>
    </row>
    <row r="2838" customFormat="false" ht="15" hidden="false" customHeight="false" outlineLevel="0" collapsed="false">
      <c r="B2838" s="12" t="str">
        <f aca="false">IF(A2838="","",IFERROR(INDEX(Recipes!$B:$B,MATCH(A2838,Recipes!$A:$A,0)),"⚠ unknown recipe_id"))</f>
        <v/>
      </c>
      <c r="E2838" s="12" t="str">
        <f aca="false">IF(C2838="","",IFERROR(INDEX('Ingredient Catalog'!$C:$C,MATCH(C2838,'Ingredient Catalog'!$A:$A,0)),"⚠ not in catalog"))</f>
        <v/>
      </c>
      <c r="G2838" s="12" t="str">
        <f aca="false">IF(A2838="","",COUNTIFS('Weekly Log'!$A:$A,'Grocery List'!$B$3,'Weekly Log'!$C:$C,A2838,'Weekly Log'!$E:$E,"Yes"))</f>
        <v/>
      </c>
      <c r="H2838" s="12" t="str">
        <f aca="false">IF(OR(A2838="",D2838=""),"",D2838*G2838)</f>
        <v/>
      </c>
    </row>
    <row r="2839" customFormat="false" ht="15" hidden="false" customHeight="false" outlineLevel="0" collapsed="false">
      <c r="B2839" s="12" t="str">
        <f aca="false">IF(A2839="","",IFERROR(INDEX(Recipes!$B:$B,MATCH(A2839,Recipes!$A:$A,0)),"⚠ unknown recipe_id"))</f>
        <v/>
      </c>
      <c r="E2839" s="12" t="str">
        <f aca="false">IF(C2839="","",IFERROR(INDEX('Ingredient Catalog'!$C:$C,MATCH(C2839,'Ingredient Catalog'!$A:$A,0)),"⚠ not in catalog"))</f>
        <v/>
      </c>
      <c r="G2839" s="12" t="str">
        <f aca="false">IF(A2839="","",COUNTIFS('Weekly Log'!$A:$A,'Grocery List'!$B$3,'Weekly Log'!$C:$C,A2839,'Weekly Log'!$E:$E,"Yes"))</f>
        <v/>
      </c>
      <c r="H2839" s="12" t="str">
        <f aca="false">IF(OR(A2839="",D2839=""),"",D2839*G2839)</f>
        <v/>
      </c>
    </row>
    <row r="2840" customFormat="false" ht="15" hidden="false" customHeight="false" outlineLevel="0" collapsed="false">
      <c r="B2840" s="12" t="str">
        <f aca="false">IF(A2840="","",IFERROR(INDEX(Recipes!$B:$B,MATCH(A2840,Recipes!$A:$A,0)),"⚠ unknown recipe_id"))</f>
        <v/>
      </c>
      <c r="E2840" s="12" t="str">
        <f aca="false">IF(C2840="","",IFERROR(INDEX('Ingredient Catalog'!$C:$C,MATCH(C2840,'Ingredient Catalog'!$A:$A,0)),"⚠ not in catalog"))</f>
        <v/>
      </c>
      <c r="G2840" s="12" t="str">
        <f aca="false">IF(A2840="","",COUNTIFS('Weekly Log'!$A:$A,'Grocery List'!$B$3,'Weekly Log'!$C:$C,A2840,'Weekly Log'!$E:$E,"Yes"))</f>
        <v/>
      </c>
      <c r="H2840" s="12" t="str">
        <f aca="false">IF(OR(A2840="",D2840=""),"",D2840*G2840)</f>
        <v/>
      </c>
    </row>
    <row r="2841" customFormat="false" ht="15" hidden="false" customHeight="false" outlineLevel="0" collapsed="false">
      <c r="B2841" s="12" t="str">
        <f aca="false">IF(A2841="","",IFERROR(INDEX(Recipes!$B:$B,MATCH(A2841,Recipes!$A:$A,0)),"⚠ unknown recipe_id"))</f>
        <v/>
      </c>
      <c r="E2841" s="12" t="str">
        <f aca="false">IF(C2841="","",IFERROR(INDEX('Ingredient Catalog'!$C:$C,MATCH(C2841,'Ingredient Catalog'!$A:$A,0)),"⚠ not in catalog"))</f>
        <v/>
      </c>
      <c r="G2841" s="12" t="str">
        <f aca="false">IF(A2841="","",COUNTIFS('Weekly Log'!$A:$A,'Grocery List'!$B$3,'Weekly Log'!$C:$C,A2841,'Weekly Log'!$E:$E,"Yes"))</f>
        <v/>
      </c>
      <c r="H2841" s="12" t="str">
        <f aca="false">IF(OR(A2841="",D2841=""),"",D2841*G2841)</f>
        <v/>
      </c>
    </row>
    <row r="2842" customFormat="false" ht="15" hidden="false" customHeight="false" outlineLevel="0" collapsed="false">
      <c r="B2842" s="12" t="str">
        <f aca="false">IF(A2842="","",IFERROR(INDEX(Recipes!$B:$B,MATCH(A2842,Recipes!$A:$A,0)),"⚠ unknown recipe_id"))</f>
        <v/>
      </c>
      <c r="E2842" s="12" t="str">
        <f aca="false">IF(C2842="","",IFERROR(INDEX('Ingredient Catalog'!$C:$C,MATCH(C2842,'Ingredient Catalog'!$A:$A,0)),"⚠ not in catalog"))</f>
        <v/>
      </c>
      <c r="G2842" s="12" t="str">
        <f aca="false">IF(A2842="","",COUNTIFS('Weekly Log'!$A:$A,'Grocery List'!$B$3,'Weekly Log'!$C:$C,A2842,'Weekly Log'!$E:$E,"Yes"))</f>
        <v/>
      </c>
      <c r="H2842" s="12" t="str">
        <f aca="false">IF(OR(A2842="",D2842=""),"",D2842*G2842)</f>
        <v/>
      </c>
    </row>
    <row r="2843" customFormat="false" ht="15" hidden="false" customHeight="false" outlineLevel="0" collapsed="false">
      <c r="B2843" s="12" t="str">
        <f aca="false">IF(A2843="","",IFERROR(INDEX(Recipes!$B:$B,MATCH(A2843,Recipes!$A:$A,0)),"⚠ unknown recipe_id"))</f>
        <v/>
      </c>
      <c r="E2843" s="12" t="str">
        <f aca="false">IF(C2843="","",IFERROR(INDEX('Ingredient Catalog'!$C:$C,MATCH(C2843,'Ingredient Catalog'!$A:$A,0)),"⚠ not in catalog"))</f>
        <v/>
      </c>
      <c r="G2843" s="12" t="str">
        <f aca="false">IF(A2843="","",COUNTIFS('Weekly Log'!$A:$A,'Grocery List'!$B$3,'Weekly Log'!$C:$C,A2843,'Weekly Log'!$E:$E,"Yes"))</f>
        <v/>
      </c>
      <c r="H2843" s="12" t="str">
        <f aca="false">IF(OR(A2843="",D2843=""),"",D2843*G2843)</f>
        <v/>
      </c>
    </row>
    <row r="2844" customFormat="false" ht="15" hidden="false" customHeight="false" outlineLevel="0" collapsed="false">
      <c r="B2844" s="12" t="str">
        <f aca="false">IF(A2844="","",IFERROR(INDEX(Recipes!$B:$B,MATCH(A2844,Recipes!$A:$A,0)),"⚠ unknown recipe_id"))</f>
        <v/>
      </c>
      <c r="E2844" s="12" t="str">
        <f aca="false">IF(C2844="","",IFERROR(INDEX('Ingredient Catalog'!$C:$C,MATCH(C2844,'Ingredient Catalog'!$A:$A,0)),"⚠ not in catalog"))</f>
        <v/>
      </c>
      <c r="G2844" s="12" t="str">
        <f aca="false">IF(A2844="","",COUNTIFS('Weekly Log'!$A:$A,'Grocery List'!$B$3,'Weekly Log'!$C:$C,A2844,'Weekly Log'!$E:$E,"Yes"))</f>
        <v/>
      </c>
      <c r="H2844" s="12" t="str">
        <f aca="false">IF(OR(A2844="",D2844=""),"",D2844*G2844)</f>
        <v/>
      </c>
    </row>
    <row r="2845" customFormat="false" ht="15" hidden="false" customHeight="false" outlineLevel="0" collapsed="false">
      <c r="B2845" s="12" t="str">
        <f aca="false">IF(A2845="","",IFERROR(INDEX(Recipes!$B:$B,MATCH(A2845,Recipes!$A:$A,0)),"⚠ unknown recipe_id"))</f>
        <v/>
      </c>
      <c r="E2845" s="12" t="str">
        <f aca="false">IF(C2845="","",IFERROR(INDEX('Ingredient Catalog'!$C:$C,MATCH(C2845,'Ingredient Catalog'!$A:$A,0)),"⚠ not in catalog"))</f>
        <v/>
      </c>
      <c r="G2845" s="12" t="str">
        <f aca="false">IF(A2845="","",COUNTIFS('Weekly Log'!$A:$A,'Grocery List'!$B$3,'Weekly Log'!$C:$C,A2845,'Weekly Log'!$E:$E,"Yes"))</f>
        <v/>
      </c>
      <c r="H2845" s="12" t="str">
        <f aca="false">IF(OR(A2845="",D2845=""),"",D2845*G2845)</f>
        <v/>
      </c>
    </row>
    <row r="2846" customFormat="false" ht="15" hidden="false" customHeight="false" outlineLevel="0" collapsed="false">
      <c r="B2846" s="12" t="str">
        <f aca="false">IF(A2846="","",IFERROR(INDEX(Recipes!$B:$B,MATCH(A2846,Recipes!$A:$A,0)),"⚠ unknown recipe_id"))</f>
        <v/>
      </c>
      <c r="E2846" s="12" t="str">
        <f aca="false">IF(C2846="","",IFERROR(INDEX('Ingredient Catalog'!$C:$C,MATCH(C2846,'Ingredient Catalog'!$A:$A,0)),"⚠ not in catalog"))</f>
        <v/>
      </c>
      <c r="G2846" s="12" t="str">
        <f aca="false">IF(A2846="","",COUNTIFS('Weekly Log'!$A:$A,'Grocery List'!$B$3,'Weekly Log'!$C:$C,A2846,'Weekly Log'!$E:$E,"Yes"))</f>
        <v/>
      </c>
      <c r="H2846" s="12" t="str">
        <f aca="false">IF(OR(A2846="",D2846=""),"",D2846*G2846)</f>
        <v/>
      </c>
    </row>
    <row r="2847" customFormat="false" ht="15" hidden="false" customHeight="false" outlineLevel="0" collapsed="false">
      <c r="B2847" s="12" t="str">
        <f aca="false">IF(A2847="","",IFERROR(INDEX(Recipes!$B:$B,MATCH(A2847,Recipes!$A:$A,0)),"⚠ unknown recipe_id"))</f>
        <v/>
      </c>
      <c r="E2847" s="12" t="str">
        <f aca="false">IF(C2847="","",IFERROR(INDEX('Ingredient Catalog'!$C:$C,MATCH(C2847,'Ingredient Catalog'!$A:$A,0)),"⚠ not in catalog"))</f>
        <v/>
      </c>
      <c r="G2847" s="12" t="str">
        <f aca="false">IF(A2847="","",COUNTIFS('Weekly Log'!$A:$A,'Grocery List'!$B$3,'Weekly Log'!$C:$C,A2847,'Weekly Log'!$E:$E,"Yes"))</f>
        <v/>
      </c>
      <c r="H2847" s="12" t="str">
        <f aca="false">IF(OR(A2847="",D2847=""),"",D2847*G2847)</f>
        <v/>
      </c>
    </row>
    <row r="2848" customFormat="false" ht="15" hidden="false" customHeight="false" outlineLevel="0" collapsed="false">
      <c r="B2848" s="12" t="str">
        <f aca="false">IF(A2848="","",IFERROR(INDEX(Recipes!$B:$B,MATCH(A2848,Recipes!$A:$A,0)),"⚠ unknown recipe_id"))</f>
        <v/>
      </c>
      <c r="E2848" s="12" t="str">
        <f aca="false">IF(C2848="","",IFERROR(INDEX('Ingredient Catalog'!$C:$C,MATCH(C2848,'Ingredient Catalog'!$A:$A,0)),"⚠ not in catalog"))</f>
        <v/>
      </c>
      <c r="G2848" s="12" t="str">
        <f aca="false">IF(A2848="","",COUNTIFS('Weekly Log'!$A:$A,'Grocery List'!$B$3,'Weekly Log'!$C:$C,A2848,'Weekly Log'!$E:$E,"Yes"))</f>
        <v/>
      </c>
      <c r="H2848" s="12" t="str">
        <f aca="false">IF(OR(A2848="",D2848=""),"",D2848*G2848)</f>
        <v/>
      </c>
    </row>
    <row r="2849" customFormat="false" ht="15" hidden="false" customHeight="false" outlineLevel="0" collapsed="false">
      <c r="B2849" s="12" t="str">
        <f aca="false">IF(A2849="","",IFERROR(INDEX(Recipes!$B:$B,MATCH(A2849,Recipes!$A:$A,0)),"⚠ unknown recipe_id"))</f>
        <v/>
      </c>
      <c r="E2849" s="12" t="str">
        <f aca="false">IF(C2849="","",IFERROR(INDEX('Ingredient Catalog'!$C:$C,MATCH(C2849,'Ingredient Catalog'!$A:$A,0)),"⚠ not in catalog"))</f>
        <v/>
      </c>
      <c r="G2849" s="12" t="str">
        <f aca="false">IF(A2849="","",COUNTIFS('Weekly Log'!$A:$A,'Grocery List'!$B$3,'Weekly Log'!$C:$C,A2849,'Weekly Log'!$E:$E,"Yes"))</f>
        <v/>
      </c>
      <c r="H2849" s="12" t="str">
        <f aca="false">IF(OR(A2849="",D2849=""),"",D2849*G2849)</f>
        <v/>
      </c>
    </row>
    <row r="2850" customFormat="false" ht="15" hidden="false" customHeight="false" outlineLevel="0" collapsed="false">
      <c r="B2850" s="12" t="str">
        <f aca="false">IF(A2850="","",IFERROR(INDEX(Recipes!$B:$B,MATCH(A2850,Recipes!$A:$A,0)),"⚠ unknown recipe_id"))</f>
        <v/>
      </c>
      <c r="E2850" s="12" t="str">
        <f aca="false">IF(C2850="","",IFERROR(INDEX('Ingredient Catalog'!$C:$C,MATCH(C2850,'Ingredient Catalog'!$A:$A,0)),"⚠ not in catalog"))</f>
        <v/>
      </c>
      <c r="G2850" s="12" t="str">
        <f aca="false">IF(A2850="","",COUNTIFS('Weekly Log'!$A:$A,'Grocery List'!$B$3,'Weekly Log'!$C:$C,A2850,'Weekly Log'!$E:$E,"Yes"))</f>
        <v/>
      </c>
      <c r="H2850" s="12" t="str">
        <f aca="false">IF(OR(A2850="",D2850=""),"",D2850*G2850)</f>
        <v/>
      </c>
    </row>
    <row r="2851" customFormat="false" ht="15" hidden="false" customHeight="false" outlineLevel="0" collapsed="false">
      <c r="B2851" s="12" t="str">
        <f aca="false">IF(A2851="","",IFERROR(INDEX(Recipes!$B:$B,MATCH(A2851,Recipes!$A:$A,0)),"⚠ unknown recipe_id"))</f>
        <v/>
      </c>
      <c r="E2851" s="12" t="str">
        <f aca="false">IF(C2851="","",IFERROR(INDEX('Ingredient Catalog'!$C:$C,MATCH(C2851,'Ingredient Catalog'!$A:$A,0)),"⚠ not in catalog"))</f>
        <v/>
      </c>
      <c r="G2851" s="12" t="str">
        <f aca="false">IF(A2851="","",COUNTIFS('Weekly Log'!$A:$A,'Grocery List'!$B$3,'Weekly Log'!$C:$C,A2851,'Weekly Log'!$E:$E,"Yes"))</f>
        <v/>
      </c>
      <c r="H2851" s="12" t="str">
        <f aca="false">IF(OR(A2851="",D2851=""),"",D2851*G2851)</f>
        <v/>
      </c>
    </row>
    <row r="2852" customFormat="false" ht="15" hidden="false" customHeight="false" outlineLevel="0" collapsed="false">
      <c r="B2852" s="12" t="str">
        <f aca="false">IF(A2852="","",IFERROR(INDEX(Recipes!$B:$B,MATCH(A2852,Recipes!$A:$A,0)),"⚠ unknown recipe_id"))</f>
        <v/>
      </c>
      <c r="E2852" s="12" t="str">
        <f aca="false">IF(C2852="","",IFERROR(INDEX('Ingredient Catalog'!$C:$C,MATCH(C2852,'Ingredient Catalog'!$A:$A,0)),"⚠ not in catalog"))</f>
        <v/>
      </c>
      <c r="G2852" s="12" t="str">
        <f aca="false">IF(A2852="","",COUNTIFS('Weekly Log'!$A:$A,'Grocery List'!$B$3,'Weekly Log'!$C:$C,A2852,'Weekly Log'!$E:$E,"Yes"))</f>
        <v/>
      </c>
      <c r="H2852" s="12" t="str">
        <f aca="false">IF(OR(A2852="",D2852=""),"",D2852*G2852)</f>
        <v/>
      </c>
    </row>
    <row r="2853" customFormat="false" ht="15" hidden="false" customHeight="false" outlineLevel="0" collapsed="false">
      <c r="B2853" s="12" t="str">
        <f aca="false">IF(A2853="","",IFERROR(INDEX(Recipes!$B:$B,MATCH(A2853,Recipes!$A:$A,0)),"⚠ unknown recipe_id"))</f>
        <v/>
      </c>
      <c r="E2853" s="12" t="str">
        <f aca="false">IF(C2853="","",IFERROR(INDEX('Ingredient Catalog'!$C:$C,MATCH(C2853,'Ingredient Catalog'!$A:$A,0)),"⚠ not in catalog"))</f>
        <v/>
      </c>
      <c r="G2853" s="12" t="str">
        <f aca="false">IF(A2853="","",COUNTIFS('Weekly Log'!$A:$A,'Grocery List'!$B$3,'Weekly Log'!$C:$C,A2853,'Weekly Log'!$E:$E,"Yes"))</f>
        <v/>
      </c>
      <c r="H2853" s="12" t="str">
        <f aca="false">IF(OR(A2853="",D2853=""),"",D2853*G2853)</f>
        <v/>
      </c>
    </row>
    <row r="2854" customFormat="false" ht="15" hidden="false" customHeight="false" outlineLevel="0" collapsed="false">
      <c r="B2854" s="12" t="str">
        <f aca="false">IF(A2854="","",IFERROR(INDEX(Recipes!$B:$B,MATCH(A2854,Recipes!$A:$A,0)),"⚠ unknown recipe_id"))</f>
        <v/>
      </c>
      <c r="E2854" s="12" t="str">
        <f aca="false">IF(C2854="","",IFERROR(INDEX('Ingredient Catalog'!$C:$C,MATCH(C2854,'Ingredient Catalog'!$A:$A,0)),"⚠ not in catalog"))</f>
        <v/>
      </c>
      <c r="G2854" s="12" t="str">
        <f aca="false">IF(A2854="","",COUNTIFS('Weekly Log'!$A:$A,'Grocery List'!$B$3,'Weekly Log'!$C:$C,A2854,'Weekly Log'!$E:$E,"Yes"))</f>
        <v/>
      </c>
      <c r="H2854" s="12" t="str">
        <f aca="false">IF(OR(A2854="",D2854=""),"",D2854*G2854)</f>
        <v/>
      </c>
    </row>
    <row r="2855" customFormat="false" ht="15" hidden="false" customHeight="false" outlineLevel="0" collapsed="false">
      <c r="B2855" s="12" t="str">
        <f aca="false">IF(A2855="","",IFERROR(INDEX(Recipes!$B:$B,MATCH(A2855,Recipes!$A:$A,0)),"⚠ unknown recipe_id"))</f>
        <v/>
      </c>
      <c r="E2855" s="12" t="str">
        <f aca="false">IF(C2855="","",IFERROR(INDEX('Ingredient Catalog'!$C:$C,MATCH(C2855,'Ingredient Catalog'!$A:$A,0)),"⚠ not in catalog"))</f>
        <v/>
      </c>
      <c r="G2855" s="12" t="str">
        <f aca="false">IF(A2855="","",COUNTIFS('Weekly Log'!$A:$A,'Grocery List'!$B$3,'Weekly Log'!$C:$C,A2855,'Weekly Log'!$E:$E,"Yes"))</f>
        <v/>
      </c>
      <c r="H2855" s="12" t="str">
        <f aca="false">IF(OR(A2855="",D2855=""),"",D2855*G2855)</f>
        <v/>
      </c>
    </row>
    <row r="2856" customFormat="false" ht="15" hidden="false" customHeight="false" outlineLevel="0" collapsed="false">
      <c r="B2856" s="12" t="str">
        <f aca="false">IF(A2856="","",IFERROR(INDEX(Recipes!$B:$B,MATCH(A2856,Recipes!$A:$A,0)),"⚠ unknown recipe_id"))</f>
        <v/>
      </c>
      <c r="E2856" s="12" t="str">
        <f aca="false">IF(C2856="","",IFERROR(INDEX('Ingredient Catalog'!$C:$C,MATCH(C2856,'Ingredient Catalog'!$A:$A,0)),"⚠ not in catalog"))</f>
        <v/>
      </c>
      <c r="G2856" s="12" t="str">
        <f aca="false">IF(A2856="","",COUNTIFS('Weekly Log'!$A:$A,'Grocery List'!$B$3,'Weekly Log'!$C:$C,A2856,'Weekly Log'!$E:$E,"Yes"))</f>
        <v/>
      </c>
      <c r="H2856" s="12" t="str">
        <f aca="false">IF(OR(A2856="",D2856=""),"",D2856*G2856)</f>
        <v/>
      </c>
    </row>
    <row r="2857" customFormat="false" ht="15" hidden="false" customHeight="false" outlineLevel="0" collapsed="false">
      <c r="B2857" s="12" t="str">
        <f aca="false">IF(A2857="","",IFERROR(INDEX(Recipes!$B:$B,MATCH(A2857,Recipes!$A:$A,0)),"⚠ unknown recipe_id"))</f>
        <v/>
      </c>
      <c r="E2857" s="12" t="str">
        <f aca="false">IF(C2857="","",IFERROR(INDEX('Ingredient Catalog'!$C:$C,MATCH(C2857,'Ingredient Catalog'!$A:$A,0)),"⚠ not in catalog"))</f>
        <v/>
      </c>
      <c r="G2857" s="12" t="str">
        <f aca="false">IF(A2857="","",COUNTIFS('Weekly Log'!$A:$A,'Grocery List'!$B$3,'Weekly Log'!$C:$C,A2857,'Weekly Log'!$E:$E,"Yes"))</f>
        <v/>
      </c>
      <c r="H2857" s="12" t="str">
        <f aca="false">IF(OR(A2857="",D2857=""),"",D2857*G2857)</f>
        <v/>
      </c>
    </row>
    <row r="2858" customFormat="false" ht="15" hidden="false" customHeight="false" outlineLevel="0" collapsed="false">
      <c r="B2858" s="12" t="str">
        <f aca="false">IF(A2858="","",IFERROR(INDEX(Recipes!$B:$B,MATCH(A2858,Recipes!$A:$A,0)),"⚠ unknown recipe_id"))</f>
        <v/>
      </c>
      <c r="E2858" s="12" t="str">
        <f aca="false">IF(C2858="","",IFERROR(INDEX('Ingredient Catalog'!$C:$C,MATCH(C2858,'Ingredient Catalog'!$A:$A,0)),"⚠ not in catalog"))</f>
        <v/>
      </c>
      <c r="G2858" s="12" t="str">
        <f aca="false">IF(A2858="","",COUNTIFS('Weekly Log'!$A:$A,'Grocery List'!$B$3,'Weekly Log'!$C:$C,A2858,'Weekly Log'!$E:$E,"Yes"))</f>
        <v/>
      </c>
      <c r="H2858" s="12" t="str">
        <f aca="false">IF(OR(A2858="",D2858=""),"",D2858*G2858)</f>
        <v/>
      </c>
    </row>
    <row r="2859" customFormat="false" ht="15" hidden="false" customHeight="false" outlineLevel="0" collapsed="false">
      <c r="B2859" s="12" t="str">
        <f aca="false">IF(A2859="","",IFERROR(INDEX(Recipes!$B:$B,MATCH(A2859,Recipes!$A:$A,0)),"⚠ unknown recipe_id"))</f>
        <v/>
      </c>
      <c r="E2859" s="12" t="str">
        <f aca="false">IF(C2859="","",IFERROR(INDEX('Ingredient Catalog'!$C:$C,MATCH(C2859,'Ingredient Catalog'!$A:$A,0)),"⚠ not in catalog"))</f>
        <v/>
      </c>
      <c r="G2859" s="12" t="str">
        <f aca="false">IF(A2859="","",COUNTIFS('Weekly Log'!$A:$A,'Grocery List'!$B$3,'Weekly Log'!$C:$C,A2859,'Weekly Log'!$E:$E,"Yes"))</f>
        <v/>
      </c>
      <c r="H2859" s="12" t="str">
        <f aca="false">IF(OR(A2859="",D2859=""),"",D2859*G2859)</f>
        <v/>
      </c>
    </row>
    <row r="2860" customFormat="false" ht="15" hidden="false" customHeight="false" outlineLevel="0" collapsed="false">
      <c r="B2860" s="12" t="str">
        <f aca="false">IF(A2860="","",IFERROR(INDEX(Recipes!$B:$B,MATCH(A2860,Recipes!$A:$A,0)),"⚠ unknown recipe_id"))</f>
        <v/>
      </c>
      <c r="E2860" s="12" t="str">
        <f aca="false">IF(C2860="","",IFERROR(INDEX('Ingredient Catalog'!$C:$C,MATCH(C2860,'Ingredient Catalog'!$A:$A,0)),"⚠ not in catalog"))</f>
        <v/>
      </c>
      <c r="G2860" s="12" t="str">
        <f aca="false">IF(A2860="","",COUNTIFS('Weekly Log'!$A:$A,'Grocery List'!$B$3,'Weekly Log'!$C:$C,A2860,'Weekly Log'!$E:$E,"Yes"))</f>
        <v/>
      </c>
      <c r="H2860" s="12" t="str">
        <f aca="false">IF(OR(A2860="",D2860=""),"",D2860*G2860)</f>
        <v/>
      </c>
    </row>
    <row r="2861" customFormat="false" ht="15" hidden="false" customHeight="false" outlineLevel="0" collapsed="false">
      <c r="B2861" s="12" t="str">
        <f aca="false">IF(A2861="","",IFERROR(INDEX(Recipes!$B:$B,MATCH(A2861,Recipes!$A:$A,0)),"⚠ unknown recipe_id"))</f>
        <v/>
      </c>
      <c r="E2861" s="12" t="str">
        <f aca="false">IF(C2861="","",IFERROR(INDEX('Ingredient Catalog'!$C:$C,MATCH(C2861,'Ingredient Catalog'!$A:$A,0)),"⚠ not in catalog"))</f>
        <v/>
      </c>
      <c r="G2861" s="12" t="str">
        <f aca="false">IF(A2861="","",COUNTIFS('Weekly Log'!$A:$A,'Grocery List'!$B$3,'Weekly Log'!$C:$C,A2861,'Weekly Log'!$E:$E,"Yes"))</f>
        <v/>
      </c>
      <c r="H2861" s="12" t="str">
        <f aca="false">IF(OR(A2861="",D2861=""),"",D2861*G2861)</f>
        <v/>
      </c>
    </row>
    <row r="2862" customFormat="false" ht="15" hidden="false" customHeight="false" outlineLevel="0" collapsed="false">
      <c r="B2862" s="12" t="str">
        <f aca="false">IF(A2862="","",IFERROR(INDEX(Recipes!$B:$B,MATCH(A2862,Recipes!$A:$A,0)),"⚠ unknown recipe_id"))</f>
        <v/>
      </c>
      <c r="E2862" s="12" t="str">
        <f aca="false">IF(C2862="","",IFERROR(INDEX('Ingredient Catalog'!$C:$C,MATCH(C2862,'Ingredient Catalog'!$A:$A,0)),"⚠ not in catalog"))</f>
        <v/>
      </c>
      <c r="G2862" s="12" t="str">
        <f aca="false">IF(A2862="","",COUNTIFS('Weekly Log'!$A:$A,'Grocery List'!$B$3,'Weekly Log'!$C:$C,A2862,'Weekly Log'!$E:$E,"Yes"))</f>
        <v/>
      </c>
      <c r="H2862" s="12" t="str">
        <f aca="false">IF(OR(A2862="",D2862=""),"",D2862*G2862)</f>
        <v/>
      </c>
    </row>
    <row r="2863" customFormat="false" ht="15" hidden="false" customHeight="false" outlineLevel="0" collapsed="false">
      <c r="B2863" s="12" t="str">
        <f aca="false">IF(A2863="","",IFERROR(INDEX(Recipes!$B:$B,MATCH(A2863,Recipes!$A:$A,0)),"⚠ unknown recipe_id"))</f>
        <v/>
      </c>
      <c r="E2863" s="12" t="str">
        <f aca="false">IF(C2863="","",IFERROR(INDEX('Ingredient Catalog'!$C:$C,MATCH(C2863,'Ingredient Catalog'!$A:$A,0)),"⚠ not in catalog"))</f>
        <v/>
      </c>
      <c r="G2863" s="12" t="str">
        <f aca="false">IF(A2863="","",COUNTIFS('Weekly Log'!$A:$A,'Grocery List'!$B$3,'Weekly Log'!$C:$C,A2863,'Weekly Log'!$E:$E,"Yes"))</f>
        <v/>
      </c>
      <c r="H2863" s="12" t="str">
        <f aca="false">IF(OR(A2863="",D2863=""),"",D2863*G2863)</f>
        <v/>
      </c>
    </row>
    <row r="2864" customFormat="false" ht="15" hidden="false" customHeight="false" outlineLevel="0" collapsed="false">
      <c r="B2864" s="12" t="str">
        <f aca="false">IF(A2864="","",IFERROR(INDEX(Recipes!$B:$B,MATCH(A2864,Recipes!$A:$A,0)),"⚠ unknown recipe_id"))</f>
        <v/>
      </c>
      <c r="E2864" s="12" t="str">
        <f aca="false">IF(C2864="","",IFERROR(INDEX('Ingredient Catalog'!$C:$C,MATCH(C2864,'Ingredient Catalog'!$A:$A,0)),"⚠ not in catalog"))</f>
        <v/>
      </c>
      <c r="G2864" s="12" t="str">
        <f aca="false">IF(A2864="","",COUNTIFS('Weekly Log'!$A:$A,'Grocery List'!$B$3,'Weekly Log'!$C:$C,A2864,'Weekly Log'!$E:$E,"Yes"))</f>
        <v/>
      </c>
      <c r="H2864" s="12" t="str">
        <f aca="false">IF(OR(A2864="",D2864=""),"",D2864*G2864)</f>
        <v/>
      </c>
    </row>
    <row r="2865" customFormat="false" ht="15" hidden="false" customHeight="false" outlineLevel="0" collapsed="false">
      <c r="B2865" s="12" t="str">
        <f aca="false">IF(A2865="","",IFERROR(INDEX(Recipes!$B:$B,MATCH(A2865,Recipes!$A:$A,0)),"⚠ unknown recipe_id"))</f>
        <v/>
      </c>
      <c r="E2865" s="12" t="str">
        <f aca="false">IF(C2865="","",IFERROR(INDEX('Ingredient Catalog'!$C:$C,MATCH(C2865,'Ingredient Catalog'!$A:$A,0)),"⚠ not in catalog"))</f>
        <v/>
      </c>
      <c r="G2865" s="12" t="str">
        <f aca="false">IF(A2865="","",COUNTIFS('Weekly Log'!$A:$A,'Grocery List'!$B$3,'Weekly Log'!$C:$C,A2865,'Weekly Log'!$E:$E,"Yes"))</f>
        <v/>
      </c>
      <c r="H2865" s="12" t="str">
        <f aca="false">IF(OR(A2865="",D2865=""),"",D2865*G2865)</f>
        <v/>
      </c>
    </row>
    <row r="2866" customFormat="false" ht="15" hidden="false" customHeight="false" outlineLevel="0" collapsed="false">
      <c r="B2866" s="12" t="str">
        <f aca="false">IF(A2866="","",IFERROR(INDEX(Recipes!$B:$B,MATCH(A2866,Recipes!$A:$A,0)),"⚠ unknown recipe_id"))</f>
        <v/>
      </c>
      <c r="E2866" s="12" t="str">
        <f aca="false">IF(C2866="","",IFERROR(INDEX('Ingredient Catalog'!$C:$C,MATCH(C2866,'Ingredient Catalog'!$A:$A,0)),"⚠ not in catalog"))</f>
        <v/>
      </c>
      <c r="G2866" s="12" t="str">
        <f aca="false">IF(A2866="","",COUNTIFS('Weekly Log'!$A:$A,'Grocery List'!$B$3,'Weekly Log'!$C:$C,A2866,'Weekly Log'!$E:$E,"Yes"))</f>
        <v/>
      </c>
      <c r="H2866" s="12" t="str">
        <f aca="false">IF(OR(A2866="",D2866=""),"",D2866*G2866)</f>
        <v/>
      </c>
    </row>
    <row r="2867" customFormat="false" ht="15" hidden="false" customHeight="false" outlineLevel="0" collapsed="false">
      <c r="B2867" s="12" t="str">
        <f aca="false">IF(A2867="","",IFERROR(INDEX(Recipes!$B:$B,MATCH(A2867,Recipes!$A:$A,0)),"⚠ unknown recipe_id"))</f>
        <v/>
      </c>
      <c r="E2867" s="12" t="str">
        <f aca="false">IF(C2867="","",IFERROR(INDEX('Ingredient Catalog'!$C:$C,MATCH(C2867,'Ingredient Catalog'!$A:$A,0)),"⚠ not in catalog"))</f>
        <v/>
      </c>
      <c r="G2867" s="12" t="str">
        <f aca="false">IF(A2867="","",COUNTIFS('Weekly Log'!$A:$A,'Grocery List'!$B$3,'Weekly Log'!$C:$C,A2867,'Weekly Log'!$E:$E,"Yes"))</f>
        <v/>
      </c>
      <c r="H2867" s="12" t="str">
        <f aca="false">IF(OR(A2867="",D2867=""),"",D2867*G2867)</f>
        <v/>
      </c>
    </row>
    <row r="2868" customFormat="false" ht="15" hidden="false" customHeight="false" outlineLevel="0" collapsed="false">
      <c r="B2868" s="12" t="str">
        <f aca="false">IF(A2868="","",IFERROR(INDEX(Recipes!$B:$B,MATCH(A2868,Recipes!$A:$A,0)),"⚠ unknown recipe_id"))</f>
        <v/>
      </c>
      <c r="E2868" s="12" t="str">
        <f aca="false">IF(C2868="","",IFERROR(INDEX('Ingredient Catalog'!$C:$C,MATCH(C2868,'Ingredient Catalog'!$A:$A,0)),"⚠ not in catalog"))</f>
        <v/>
      </c>
      <c r="G2868" s="12" t="str">
        <f aca="false">IF(A2868="","",COUNTIFS('Weekly Log'!$A:$A,'Grocery List'!$B$3,'Weekly Log'!$C:$C,A2868,'Weekly Log'!$E:$E,"Yes"))</f>
        <v/>
      </c>
      <c r="H2868" s="12" t="str">
        <f aca="false">IF(OR(A2868="",D2868=""),"",D2868*G2868)</f>
        <v/>
      </c>
    </row>
    <row r="2869" customFormat="false" ht="15" hidden="false" customHeight="false" outlineLevel="0" collapsed="false">
      <c r="B2869" s="12" t="str">
        <f aca="false">IF(A2869="","",IFERROR(INDEX(Recipes!$B:$B,MATCH(A2869,Recipes!$A:$A,0)),"⚠ unknown recipe_id"))</f>
        <v/>
      </c>
      <c r="E2869" s="12" t="str">
        <f aca="false">IF(C2869="","",IFERROR(INDEX('Ingredient Catalog'!$C:$C,MATCH(C2869,'Ingredient Catalog'!$A:$A,0)),"⚠ not in catalog"))</f>
        <v/>
      </c>
      <c r="G2869" s="12" t="str">
        <f aca="false">IF(A2869="","",COUNTIFS('Weekly Log'!$A:$A,'Grocery List'!$B$3,'Weekly Log'!$C:$C,A2869,'Weekly Log'!$E:$E,"Yes"))</f>
        <v/>
      </c>
      <c r="H2869" s="12" t="str">
        <f aca="false">IF(OR(A2869="",D2869=""),"",D2869*G2869)</f>
        <v/>
      </c>
    </row>
    <row r="2870" customFormat="false" ht="15" hidden="false" customHeight="false" outlineLevel="0" collapsed="false">
      <c r="B2870" s="12" t="str">
        <f aca="false">IF(A2870="","",IFERROR(INDEX(Recipes!$B:$B,MATCH(A2870,Recipes!$A:$A,0)),"⚠ unknown recipe_id"))</f>
        <v/>
      </c>
      <c r="E2870" s="12" t="str">
        <f aca="false">IF(C2870="","",IFERROR(INDEX('Ingredient Catalog'!$C:$C,MATCH(C2870,'Ingredient Catalog'!$A:$A,0)),"⚠ not in catalog"))</f>
        <v/>
      </c>
      <c r="G2870" s="12" t="str">
        <f aca="false">IF(A2870="","",COUNTIFS('Weekly Log'!$A:$A,'Grocery List'!$B$3,'Weekly Log'!$C:$C,A2870,'Weekly Log'!$E:$E,"Yes"))</f>
        <v/>
      </c>
      <c r="H2870" s="12" t="str">
        <f aca="false">IF(OR(A2870="",D2870=""),"",D2870*G2870)</f>
        <v/>
      </c>
    </row>
    <row r="2871" customFormat="false" ht="15" hidden="false" customHeight="false" outlineLevel="0" collapsed="false">
      <c r="B2871" s="12" t="str">
        <f aca="false">IF(A2871="","",IFERROR(INDEX(Recipes!$B:$B,MATCH(A2871,Recipes!$A:$A,0)),"⚠ unknown recipe_id"))</f>
        <v/>
      </c>
      <c r="E2871" s="12" t="str">
        <f aca="false">IF(C2871="","",IFERROR(INDEX('Ingredient Catalog'!$C:$C,MATCH(C2871,'Ingredient Catalog'!$A:$A,0)),"⚠ not in catalog"))</f>
        <v/>
      </c>
      <c r="G2871" s="12" t="str">
        <f aca="false">IF(A2871="","",COUNTIFS('Weekly Log'!$A:$A,'Grocery List'!$B$3,'Weekly Log'!$C:$C,A2871,'Weekly Log'!$E:$E,"Yes"))</f>
        <v/>
      </c>
      <c r="H2871" s="12" t="str">
        <f aca="false">IF(OR(A2871="",D2871=""),"",D2871*G2871)</f>
        <v/>
      </c>
    </row>
    <row r="2872" customFormat="false" ht="15" hidden="false" customHeight="false" outlineLevel="0" collapsed="false">
      <c r="B2872" s="12" t="str">
        <f aca="false">IF(A2872="","",IFERROR(INDEX(Recipes!$B:$B,MATCH(A2872,Recipes!$A:$A,0)),"⚠ unknown recipe_id"))</f>
        <v/>
      </c>
      <c r="E2872" s="12" t="str">
        <f aca="false">IF(C2872="","",IFERROR(INDEX('Ingredient Catalog'!$C:$C,MATCH(C2872,'Ingredient Catalog'!$A:$A,0)),"⚠ not in catalog"))</f>
        <v/>
      </c>
      <c r="G2872" s="12" t="str">
        <f aca="false">IF(A2872="","",COUNTIFS('Weekly Log'!$A:$A,'Grocery List'!$B$3,'Weekly Log'!$C:$C,A2872,'Weekly Log'!$E:$E,"Yes"))</f>
        <v/>
      </c>
      <c r="H2872" s="12" t="str">
        <f aca="false">IF(OR(A2872="",D2872=""),"",D2872*G2872)</f>
        <v/>
      </c>
    </row>
    <row r="2873" customFormat="false" ht="15" hidden="false" customHeight="false" outlineLevel="0" collapsed="false">
      <c r="B2873" s="12" t="str">
        <f aca="false">IF(A2873="","",IFERROR(INDEX(Recipes!$B:$B,MATCH(A2873,Recipes!$A:$A,0)),"⚠ unknown recipe_id"))</f>
        <v/>
      </c>
      <c r="E2873" s="12" t="str">
        <f aca="false">IF(C2873="","",IFERROR(INDEX('Ingredient Catalog'!$C:$C,MATCH(C2873,'Ingredient Catalog'!$A:$A,0)),"⚠ not in catalog"))</f>
        <v/>
      </c>
      <c r="G2873" s="12" t="str">
        <f aca="false">IF(A2873="","",COUNTIFS('Weekly Log'!$A:$A,'Grocery List'!$B$3,'Weekly Log'!$C:$C,A2873,'Weekly Log'!$E:$E,"Yes"))</f>
        <v/>
      </c>
      <c r="H2873" s="12" t="str">
        <f aca="false">IF(OR(A2873="",D2873=""),"",D2873*G2873)</f>
        <v/>
      </c>
    </row>
    <row r="2874" customFormat="false" ht="15" hidden="false" customHeight="false" outlineLevel="0" collapsed="false">
      <c r="B2874" s="12" t="str">
        <f aca="false">IF(A2874="","",IFERROR(INDEX(Recipes!$B:$B,MATCH(A2874,Recipes!$A:$A,0)),"⚠ unknown recipe_id"))</f>
        <v/>
      </c>
      <c r="E2874" s="12" t="str">
        <f aca="false">IF(C2874="","",IFERROR(INDEX('Ingredient Catalog'!$C:$C,MATCH(C2874,'Ingredient Catalog'!$A:$A,0)),"⚠ not in catalog"))</f>
        <v/>
      </c>
      <c r="G2874" s="12" t="str">
        <f aca="false">IF(A2874="","",COUNTIFS('Weekly Log'!$A:$A,'Grocery List'!$B$3,'Weekly Log'!$C:$C,A2874,'Weekly Log'!$E:$E,"Yes"))</f>
        <v/>
      </c>
      <c r="H2874" s="12" t="str">
        <f aca="false">IF(OR(A2874="",D2874=""),"",D2874*G2874)</f>
        <v/>
      </c>
    </row>
    <row r="2875" customFormat="false" ht="15" hidden="false" customHeight="false" outlineLevel="0" collapsed="false">
      <c r="B2875" s="12" t="str">
        <f aca="false">IF(A2875="","",IFERROR(INDEX(Recipes!$B:$B,MATCH(A2875,Recipes!$A:$A,0)),"⚠ unknown recipe_id"))</f>
        <v/>
      </c>
      <c r="E2875" s="12" t="str">
        <f aca="false">IF(C2875="","",IFERROR(INDEX('Ingredient Catalog'!$C:$C,MATCH(C2875,'Ingredient Catalog'!$A:$A,0)),"⚠ not in catalog"))</f>
        <v/>
      </c>
      <c r="G2875" s="12" t="str">
        <f aca="false">IF(A2875="","",COUNTIFS('Weekly Log'!$A:$A,'Grocery List'!$B$3,'Weekly Log'!$C:$C,A2875,'Weekly Log'!$E:$E,"Yes"))</f>
        <v/>
      </c>
      <c r="H2875" s="12" t="str">
        <f aca="false">IF(OR(A2875="",D2875=""),"",D2875*G2875)</f>
        <v/>
      </c>
    </row>
    <row r="2876" customFormat="false" ht="15" hidden="false" customHeight="false" outlineLevel="0" collapsed="false">
      <c r="B2876" s="12" t="str">
        <f aca="false">IF(A2876="","",IFERROR(INDEX(Recipes!$B:$B,MATCH(A2876,Recipes!$A:$A,0)),"⚠ unknown recipe_id"))</f>
        <v/>
      </c>
      <c r="E2876" s="12" t="str">
        <f aca="false">IF(C2876="","",IFERROR(INDEX('Ingredient Catalog'!$C:$C,MATCH(C2876,'Ingredient Catalog'!$A:$A,0)),"⚠ not in catalog"))</f>
        <v/>
      </c>
      <c r="G2876" s="12" t="str">
        <f aca="false">IF(A2876="","",COUNTIFS('Weekly Log'!$A:$A,'Grocery List'!$B$3,'Weekly Log'!$C:$C,A2876,'Weekly Log'!$E:$E,"Yes"))</f>
        <v/>
      </c>
      <c r="H2876" s="12" t="str">
        <f aca="false">IF(OR(A2876="",D2876=""),"",D2876*G2876)</f>
        <v/>
      </c>
    </row>
    <row r="2877" customFormat="false" ht="15" hidden="false" customHeight="false" outlineLevel="0" collapsed="false">
      <c r="B2877" s="12" t="str">
        <f aca="false">IF(A2877="","",IFERROR(INDEX(Recipes!$B:$B,MATCH(A2877,Recipes!$A:$A,0)),"⚠ unknown recipe_id"))</f>
        <v/>
      </c>
      <c r="E2877" s="12" t="str">
        <f aca="false">IF(C2877="","",IFERROR(INDEX('Ingredient Catalog'!$C:$C,MATCH(C2877,'Ingredient Catalog'!$A:$A,0)),"⚠ not in catalog"))</f>
        <v/>
      </c>
      <c r="G2877" s="12" t="str">
        <f aca="false">IF(A2877="","",COUNTIFS('Weekly Log'!$A:$A,'Grocery List'!$B$3,'Weekly Log'!$C:$C,A2877,'Weekly Log'!$E:$E,"Yes"))</f>
        <v/>
      </c>
      <c r="H2877" s="12" t="str">
        <f aca="false">IF(OR(A2877="",D2877=""),"",D2877*G2877)</f>
        <v/>
      </c>
    </row>
    <row r="2878" customFormat="false" ht="15" hidden="false" customHeight="false" outlineLevel="0" collapsed="false">
      <c r="B2878" s="12" t="str">
        <f aca="false">IF(A2878="","",IFERROR(INDEX(Recipes!$B:$B,MATCH(A2878,Recipes!$A:$A,0)),"⚠ unknown recipe_id"))</f>
        <v/>
      </c>
      <c r="E2878" s="12" t="str">
        <f aca="false">IF(C2878="","",IFERROR(INDEX('Ingredient Catalog'!$C:$C,MATCH(C2878,'Ingredient Catalog'!$A:$A,0)),"⚠ not in catalog"))</f>
        <v/>
      </c>
      <c r="G2878" s="12" t="str">
        <f aca="false">IF(A2878="","",COUNTIFS('Weekly Log'!$A:$A,'Grocery List'!$B$3,'Weekly Log'!$C:$C,A2878,'Weekly Log'!$E:$E,"Yes"))</f>
        <v/>
      </c>
      <c r="H2878" s="12" t="str">
        <f aca="false">IF(OR(A2878="",D2878=""),"",D2878*G2878)</f>
        <v/>
      </c>
    </row>
    <row r="2879" customFormat="false" ht="15" hidden="false" customHeight="false" outlineLevel="0" collapsed="false">
      <c r="B2879" s="12" t="str">
        <f aca="false">IF(A2879="","",IFERROR(INDEX(Recipes!$B:$B,MATCH(A2879,Recipes!$A:$A,0)),"⚠ unknown recipe_id"))</f>
        <v/>
      </c>
      <c r="E2879" s="12" t="str">
        <f aca="false">IF(C2879="","",IFERROR(INDEX('Ingredient Catalog'!$C:$C,MATCH(C2879,'Ingredient Catalog'!$A:$A,0)),"⚠ not in catalog"))</f>
        <v/>
      </c>
      <c r="G2879" s="12" t="str">
        <f aca="false">IF(A2879="","",COUNTIFS('Weekly Log'!$A:$A,'Grocery List'!$B$3,'Weekly Log'!$C:$C,A2879,'Weekly Log'!$E:$E,"Yes"))</f>
        <v/>
      </c>
      <c r="H2879" s="12" t="str">
        <f aca="false">IF(OR(A2879="",D2879=""),"",D2879*G2879)</f>
        <v/>
      </c>
    </row>
    <row r="2880" customFormat="false" ht="15" hidden="false" customHeight="false" outlineLevel="0" collapsed="false">
      <c r="B2880" s="12" t="str">
        <f aca="false">IF(A2880="","",IFERROR(INDEX(Recipes!$B:$B,MATCH(A2880,Recipes!$A:$A,0)),"⚠ unknown recipe_id"))</f>
        <v/>
      </c>
      <c r="E2880" s="12" t="str">
        <f aca="false">IF(C2880="","",IFERROR(INDEX('Ingredient Catalog'!$C:$C,MATCH(C2880,'Ingredient Catalog'!$A:$A,0)),"⚠ not in catalog"))</f>
        <v/>
      </c>
      <c r="G2880" s="12" t="str">
        <f aca="false">IF(A2880="","",COUNTIFS('Weekly Log'!$A:$A,'Grocery List'!$B$3,'Weekly Log'!$C:$C,A2880,'Weekly Log'!$E:$E,"Yes"))</f>
        <v/>
      </c>
      <c r="H2880" s="12" t="str">
        <f aca="false">IF(OR(A2880="",D2880=""),"",D2880*G2880)</f>
        <v/>
      </c>
    </row>
    <row r="2881" customFormat="false" ht="15" hidden="false" customHeight="false" outlineLevel="0" collapsed="false">
      <c r="B2881" s="12" t="str">
        <f aca="false">IF(A2881="","",IFERROR(INDEX(Recipes!$B:$B,MATCH(A2881,Recipes!$A:$A,0)),"⚠ unknown recipe_id"))</f>
        <v/>
      </c>
      <c r="E2881" s="12" t="str">
        <f aca="false">IF(C2881="","",IFERROR(INDEX('Ingredient Catalog'!$C:$C,MATCH(C2881,'Ingredient Catalog'!$A:$A,0)),"⚠ not in catalog"))</f>
        <v/>
      </c>
      <c r="G2881" s="12" t="str">
        <f aca="false">IF(A2881="","",COUNTIFS('Weekly Log'!$A:$A,'Grocery List'!$B$3,'Weekly Log'!$C:$C,A2881,'Weekly Log'!$E:$E,"Yes"))</f>
        <v/>
      </c>
      <c r="H2881" s="12" t="str">
        <f aca="false">IF(OR(A2881="",D2881=""),"",D2881*G2881)</f>
        <v/>
      </c>
    </row>
    <row r="2882" customFormat="false" ht="15" hidden="false" customHeight="false" outlineLevel="0" collapsed="false">
      <c r="B2882" s="12" t="str">
        <f aca="false">IF(A2882="","",IFERROR(INDEX(Recipes!$B:$B,MATCH(A2882,Recipes!$A:$A,0)),"⚠ unknown recipe_id"))</f>
        <v/>
      </c>
      <c r="E2882" s="12" t="str">
        <f aca="false">IF(C2882="","",IFERROR(INDEX('Ingredient Catalog'!$C:$C,MATCH(C2882,'Ingredient Catalog'!$A:$A,0)),"⚠ not in catalog"))</f>
        <v/>
      </c>
      <c r="G2882" s="12" t="str">
        <f aca="false">IF(A2882="","",COUNTIFS('Weekly Log'!$A:$A,'Grocery List'!$B$3,'Weekly Log'!$C:$C,A2882,'Weekly Log'!$E:$E,"Yes"))</f>
        <v/>
      </c>
      <c r="H2882" s="12" t="str">
        <f aca="false">IF(OR(A2882="",D2882=""),"",D2882*G2882)</f>
        <v/>
      </c>
    </row>
    <row r="2883" customFormat="false" ht="15" hidden="false" customHeight="false" outlineLevel="0" collapsed="false">
      <c r="B2883" s="12" t="str">
        <f aca="false">IF(A2883="","",IFERROR(INDEX(Recipes!$B:$B,MATCH(A2883,Recipes!$A:$A,0)),"⚠ unknown recipe_id"))</f>
        <v/>
      </c>
      <c r="E2883" s="12" t="str">
        <f aca="false">IF(C2883="","",IFERROR(INDEX('Ingredient Catalog'!$C:$C,MATCH(C2883,'Ingredient Catalog'!$A:$A,0)),"⚠ not in catalog"))</f>
        <v/>
      </c>
      <c r="G2883" s="12" t="str">
        <f aca="false">IF(A2883="","",COUNTIFS('Weekly Log'!$A:$A,'Grocery List'!$B$3,'Weekly Log'!$C:$C,A2883,'Weekly Log'!$E:$E,"Yes"))</f>
        <v/>
      </c>
      <c r="H2883" s="12" t="str">
        <f aca="false">IF(OR(A2883="",D2883=""),"",D2883*G2883)</f>
        <v/>
      </c>
    </row>
    <row r="2884" customFormat="false" ht="15" hidden="false" customHeight="false" outlineLevel="0" collapsed="false">
      <c r="B2884" s="12" t="str">
        <f aca="false">IF(A2884="","",IFERROR(INDEX(Recipes!$B:$B,MATCH(A2884,Recipes!$A:$A,0)),"⚠ unknown recipe_id"))</f>
        <v/>
      </c>
      <c r="E2884" s="12" t="str">
        <f aca="false">IF(C2884="","",IFERROR(INDEX('Ingredient Catalog'!$C:$C,MATCH(C2884,'Ingredient Catalog'!$A:$A,0)),"⚠ not in catalog"))</f>
        <v/>
      </c>
      <c r="G2884" s="12" t="str">
        <f aca="false">IF(A2884="","",COUNTIFS('Weekly Log'!$A:$A,'Grocery List'!$B$3,'Weekly Log'!$C:$C,A2884,'Weekly Log'!$E:$E,"Yes"))</f>
        <v/>
      </c>
      <c r="H2884" s="12" t="str">
        <f aca="false">IF(OR(A2884="",D2884=""),"",D2884*G2884)</f>
        <v/>
      </c>
    </row>
    <row r="2885" customFormat="false" ht="15" hidden="false" customHeight="false" outlineLevel="0" collapsed="false">
      <c r="B2885" s="12" t="str">
        <f aca="false">IF(A2885="","",IFERROR(INDEX(Recipes!$B:$B,MATCH(A2885,Recipes!$A:$A,0)),"⚠ unknown recipe_id"))</f>
        <v/>
      </c>
      <c r="E2885" s="12" t="str">
        <f aca="false">IF(C2885="","",IFERROR(INDEX('Ingredient Catalog'!$C:$C,MATCH(C2885,'Ingredient Catalog'!$A:$A,0)),"⚠ not in catalog"))</f>
        <v/>
      </c>
      <c r="G2885" s="12" t="str">
        <f aca="false">IF(A2885="","",COUNTIFS('Weekly Log'!$A:$A,'Grocery List'!$B$3,'Weekly Log'!$C:$C,A2885,'Weekly Log'!$E:$E,"Yes"))</f>
        <v/>
      </c>
      <c r="H2885" s="12" t="str">
        <f aca="false">IF(OR(A2885="",D2885=""),"",D2885*G2885)</f>
        <v/>
      </c>
    </row>
    <row r="2886" customFormat="false" ht="15" hidden="false" customHeight="false" outlineLevel="0" collapsed="false">
      <c r="B2886" s="12" t="str">
        <f aca="false">IF(A2886="","",IFERROR(INDEX(Recipes!$B:$B,MATCH(A2886,Recipes!$A:$A,0)),"⚠ unknown recipe_id"))</f>
        <v/>
      </c>
      <c r="E2886" s="12" t="str">
        <f aca="false">IF(C2886="","",IFERROR(INDEX('Ingredient Catalog'!$C:$C,MATCH(C2886,'Ingredient Catalog'!$A:$A,0)),"⚠ not in catalog"))</f>
        <v/>
      </c>
      <c r="G2886" s="12" t="str">
        <f aca="false">IF(A2886="","",COUNTIFS('Weekly Log'!$A:$A,'Grocery List'!$B$3,'Weekly Log'!$C:$C,A2886,'Weekly Log'!$E:$E,"Yes"))</f>
        <v/>
      </c>
      <c r="H2886" s="12" t="str">
        <f aca="false">IF(OR(A2886="",D2886=""),"",D2886*G2886)</f>
        <v/>
      </c>
    </row>
    <row r="2887" customFormat="false" ht="15" hidden="false" customHeight="false" outlineLevel="0" collapsed="false">
      <c r="B2887" s="12" t="str">
        <f aca="false">IF(A2887="","",IFERROR(INDEX(Recipes!$B:$B,MATCH(A2887,Recipes!$A:$A,0)),"⚠ unknown recipe_id"))</f>
        <v/>
      </c>
      <c r="E2887" s="12" t="str">
        <f aca="false">IF(C2887="","",IFERROR(INDEX('Ingredient Catalog'!$C:$C,MATCH(C2887,'Ingredient Catalog'!$A:$A,0)),"⚠ not in catalog"))</f>
        <v/>
      </c>
      <c r="G2887" s="12" t="str">
        <f aca="false">IF(A2887="","",COUNTIFS('Weekly Log'!$A:$A,'Grocery List'!$B$3,'Weekly Log'!$C:$C,A2887,'Weekly Log'!$E:$E,"Yes"))</f>
        <v/>
      </c>
      <c r="H2887" s="12" t="str">
        <f aca="false">IF(OR(A2887="",D2887=""),"",D2887*G2887)</f>
        <v/>
      </c>
    </row>
    <row r="2888" customFormat="false" ht="15" hidden="false" customHeight="false" outlineLevel="0" collapsed="false">
      <c r="B2888" s="12" t="str">
        <f aca="false">IF(A2888="","",IFERROR(INDEX(Recipes!$B:$B,MATCH(A2888,Recipes!$A:$A,0)),"⚠ unknown recipe_id"))</f>
        <v/>
      </c>
      <c r="E2888" s="12" t="str">
        <f aca="false">IF(C2888="","",IFERROR(INDEX('Ingredient Catalog'!$C:$C,MATCH(C2888,'Ingredient Catalog'!$A:$A,0)),"⚠ not in catalog"))</f>
        <v/>
      </c>
      <c r="G2888" s="12" t="str">
        <f aca="false">IF(A2888="","",COUNTIFS('Weekly Log'!$A:$A,'Grocery List'!$B$3,'Weekly Log'!$C:$C,A2888,'Weekly Log'!$E:$E,"Yes"))</f>
        <v/>
      </c>
      <c r="H2888" s="12" t="str">
        <f aca="false">IF(OR(A2888="",D2888=""),"",D2888*G2888)</f>
        <v/>
      </c>
    </row>
    <row r="2889" customFormat="false" ht="15" hidden="false" customHeight="false" outlineLevel="0" collapsed="false">
      <c r="B2889" s="12" t="str">
        <f aca="false">IF(A2889="","",IFERROR(INDEX(Recipes!$B:$B,MATCH(A2889,Recipes!$A:$A,0)),"⚠ unknown recipe_id"))</f>
        <v/>
      </c>
      <c r="E2889" s="12" t="str">
        <f aca="false">IF(C2889="","",IFERROR(INDEX('Ingredient Catalog'!$C:$C,MATCH(C2889,'Ingredient Catalog'!$A:$A,0)),"⚠ not in catalog"))</f>
        <v/>
      </c>
      <c r="G2889" s="12" t="str">
        <f aca="false">IF(A2889="","",COUNTIFS('Weekly Log'!$A:$A,'Grocery List'!$B$3,'Weekly Log'!$C:$C,A2889,'Weekly Log'!$E:$E,"Yes"))</f>
        <v/>
      </c>
      <c r="H2889" s="12" t="str">
        <f aca="false">IF(OR(A2889="",D2889=""),"",D2889*G2889)</f>
        <v/>
      </c>
    </row>
    <row r="2890" customFormat="false" ht="15" hidden="false" customHeight="false" outlineLevel="0" collapsed="false">
      <c r="B2890" s="12" t="str">
        <f aca="false">IF(A2890="","",IFERROR(INDEX(Recipes!$B:$B,MATCH(A2890,Recipes!$A:$A,0)),"⚠ unknown recipe_id"))</f>
        <v/>
      </c>
      <c r="E2890" s="12" t="str">
        <f aca="false">IF(C2890="","",IFERROR(INDEX('Ingredient Catalog'!$C:$C,MATCH(C2890,'Ingredient Catalog'!$A:$A,0)),"⚠ not in catalog"))</f>
        <v/>
      </c>
      <c r="G2890" s="12" t="str">
        <f aca="false">IF(A2890="","",COUNTIFS('Weekly Log'!$A:$A,'Grocery List'!$B$3,'Weekly Log'!$C:$C,A2890,'Weekly Log'!$E:$E,"Yes"))</f>
        <v/>
      </c>
      <c r="H2890" s="12" t="str">
        <f aca="false">IF(OR(A2890="",D2890=""),"",D2890*G2890)</f>
        <v/>
      </c>
    </row>
    <row r="2891" customFormat="false" ht="15" hidden="false" customHeight="false" outlineLevel="0" collapsed="false">
      <c r="B2891" s="12" t="str">
        <f aca="false">IF(A2891="","",IFERROR(INDEX(Recipes!$B:$B,MATCH(A2891,Recipes!$A:$A,0)),"⚠ unknown recipe_id"))</f>
        <v/>
      </c>
      <c r="E2891" s="12" t="str">
        <f aca="false">IF(C2891="","",IFERROR(INDEX('Ingredient Catalog'!$C:$C,MATCH(C2891,'Ingredient Catalog'!$A:$A,0)),"⚠ not in catalog"))</f>
        <v/>
      </c>
      <c r="G2891" s="12" t="str">
        <f aca="false">IF(A2891="","",COUNTIFS('Weekly Log'!$A:$A,'Grocery List'!$B$3,'Weekly Log'!$C:$C,A2891,'Weekly Log'!$E:$E,"Yes"))</f>
        <v/>
      </c>
      <c r="H2891" s="12" t="str">
        <f aca="false">IF(OR(A2891="",D2891=""),"",D2891*G2891)</f>
        <v/>
      </c>
    </row>
    <row r="2892" customFormat="false" ht="15" hidden="false" customHeight="false" outlineLevel="0" collapsed="false">
      <c r="B2892" s="12" t="str">
        <f aca="false">IF(A2892="","",IFERROR(INDEX(Recipes!$B:$B,MATCH(A2892,Recipes!$A:$A,0)),"⚠ unknown recipe_id"))</f>
        <v/>
      </c>
      <c r="E2892" s="12" t="str">
        <f aca="false">IF(C2892="","",IFERROR(INDEX('Ingredient Catalog'!$C:$C,MATCH(C2892,'Ingredient Catalog'!$A:$A,0)),"⚠ not in catalog"))</f>
        <v/>
      </c>
      <c r="G2892" s="12" t="str">
        <f aca="false">IF(A2892="","",COUNTIFS('Weekly Log'!$A:$A,'Grocery List'!$B$3,'Weekly Log'!$C:$C,A2892,'Weekly Log'!$E:$E,"Yes"))</f>
        <v/>
      </c>
      <c r="H2892" s="12" t="str">
        <f aca="false">IF(OR(A2892="",D2892=""),"",D2892*G2892)</f>
        <v/>
      </c>
    </row>
    <row r="2893" customFormat="false" ht="15" hidden="false" customHeight="false" outlineLevel="0" collapsed="false">
      <c r="B2893" s="12" t="str">
        <f aca="false">IF(A2893="","",IFERROR(INDEX(Recipes!$B:$B,MATCH(A2893,Recipes!$A:$A,0)),"⚠ unknown recipe_id"))</f>
        <v/>
      </c>
      <c r="E2893" s="12" t="str">
        <f aca="false">IF(C2893="","",IFERROR(INDEX('Ingredient Catalog'!$C:$C,MATCH(C2893,'Ingredient Catalog'!$A:$A,0)),"⚠ not in catalog"))</f>
        <v/>
      </c>
      <c r="G2893" s="12" t="str">
        <f aca="false">IF(A2893="","",COUNTIFS('Weekly Log'!$A:$A,'Grocery List'!$B$3,'Weekly Log'!$C:$C,A2893,'Weekly Log'!$E:$E,"Yes"))</f>
        <v/>
      </c>
      <c r="H2893" s="12" t="str">
        <f aca="false">IF(OR(A2893="",D2893=""),"",D2893*G2893)</f>
        <v/>
      </c>
    </row>
    <row r="2894" customFormat="false" ht="15" hidden="false" customHeight="false" outlineLevel="0" collapsed="false">
      <c r="B2894" s="12" t="str">
        <f aca="false">IF(A2894="","",IFERROR(INDEX(Recipes!$B:$B,MATCH(A2894,Recipes!$A:$A,0)),"⚠ unknown recipe_id"))</f>
        <v/>
      </c>
      <c r="E2894" s="12" t="str">
        <f aca="false">IF(C2894="","",IFERROR(INDEX('Ingredient Catalog'!$C:$C,MATCH(C2894,'Ingredient Catalog'!$A:$A,0)),"⚠ not in catalog"))</f>
        <v/>
      </c>
      <c r="G2894" s="12" t="str">
        <f aca="false">IF(A2894="","",COUNTIFS('Weekly Log'!$A:$A,'Grocery List'!$B$3,'Weekly Log'!$C:$C,A2894,'Weekly Log'!$E:$E,"Yes"))</f>
        <v/>
      </c>
      <c r="H2894" s="12" t="str">
        <f aca="false">IF(OR(A2894="",D2894=""),"",D2894*G2894)</f>
        <v/>
      </c>
    </row>
    <row r="2895" customFormat="false" ht="15" hidden="false" customHeight="false" outlineLevel="0" collapsed="false">
      <c r="B2895" s="12" t="str">
        <f aca="false">IF(A2895="","",IFERROR(INDEX(Recipes!$B:$B,MATCH(A2895,Recipes!$A:$A,0)),"⚠ unknown recipe_id"))</f>
        <v/>
      </c>
      <c r="E2895" s="12" t="str">
        <f aca="false">IF(C2895="","",IFERROR(INDEX('Ingredient Catalog'!$C:$C,MATCH(C2895,'Ingredient Catalog'!$A:$A,0)),"⚠ not in catalog"))</f>
        <v/>
      </c>
      <c r="G2895" s="12" t="str">
        <f aca="false">IF(A2895="","",COUNTIFS('Weekly Log'!$A:$A,'Grocery List'!$B$3,'Weekly Log'!$C:$C,A2895,'Weekly Log'!$E:$E,"Yes"))</f>
        <v/>
      </c>
      <c r="H2895" s="12" t="str">
        <f aca="false">IF(OR(A2895="",D2895=""),"",D2895*G2895)</f>
        <v/>
      </c>
    </row>
    <row r="2896" customFormat="false" ht="15" hidden="false" customHeight="false" outlineLevel="0" collapsed="false">
      <c r="B2896" s="12" t="str">
        <f aca="false">IF(A2896="","",IFERROR(INDEX(Recipes!$B:$B,MATCH(A2896,Recipes!$A:$A,0)),"⚠ unknown recipe_id"))</f>
        <v/>
      </c>
      <c r="E2896" s="12" t="str">
        <f aca="false">IF(C2896="","",IFERROR(INDEX('Ingredient Catalog'!$C:$C,MATCH(C2896,'Ingredient Catalog'!$A:$A,0)),"⚠ not in catalog"))</f>
        <v/>
      </c>
      <c r="G2896" s="12" t="str">
        <f aca="false">IF(A2896="","",COUNTIFS('Weekly Log'!$A:$A,'Grocery List'!$B$3,'Weekly Log'!$C:$C,A2896,'Weekly Log'!$E:$E,"Yes"))</f>
        <v/>
      </c>
      <c r="H2896" s="12" t="str">
        <f aca="false">IF(OR(A2896="",D2896=""),"",D2896*G2896)</f>
        <v/>
      </c>
    </row>
    <row r="2897" customFormat="false" ht="15" hidden="false" customHeight="false" outlineLevel="0" collapsed="false">
      <c r="B2897" s="12" t="str">
        <f aca="false">IF(A2897="","",IFERROR(INDEX(Recipes!$B:$B,MATCH(A2897,Recipes!$A:$A,0)),"⚠ unknown recipe_id"))</f>
        <v/>
      </c>
      <c r="E2897" s="12" t="str">
        <f aca="false">IF(C2897="","",IFERROR(INDEX('Ingredient Catalog'!$C:$C,MATCH(C2897,'Ingredient Catalog'!$A:$A,0)),"⚠ not in catalog"))</f>
        <v/>
      </c>
      <c r="G2897" s="12" t="str">
        <f aca="false">IF(A2897="","",COUNTIFS('Weekly Log'!$A:$A,'Grocery List'!$B$3,'Weekly Log'!$C:$C,A2897,'Weekly Log'!$E:$E,"Yes"))</f>
        <v/>
      </c>
      <c r="H2897" s="12" t="str">
        <f aca="false">IF(OR(A2897="",D2897=""),"",D2897*G2897)</f>
        <v/>
      </c>
    </row>
    <row r="2898" customFormat="false" ht="15" hidden="false" customHeight="false" outlineLevel="0" collapsed="false">
      <c r="B2898" s="12" t="str">
        <f aca="false">IF(A2898="","",IFERROR(INDEX(Recipes!$B:$B,MATCH(A2898,Recipes!$A:$A,0)),"⚠ unknown recipe_id"))</f>
        <v/>
      </c>
      <c r="E2898" s="12" t="str">
        <f aca="false">IF(C2898="","",IFERROR(INDEX('Ingredient Catalog'!$C:$C,MATCH(C2898,'Ingredient Catalog'!$A:$A,0)),"⚠ not in catalog"))</f>
        <v/>
      </c>
      <c r="G2898" s="12" t="str">
        <f aca="false">IF(A2898="","",COUNTIFS('Weekly Log'!$A:$A,'Grocery List'!$B$3,'Weekly Log'!$C:$C,A2898,'Weekly Log'!$E:$E,"Yes"))</f>
        <v/>
      </c>
      <c r="H2898" s="12" t="str">
        <f aca="false">IF(OR(A2898="",D2898=""),"",D2898*G2898)</f>
        <v/>
      </c>
    </row>
    <row r="2899" customFormat="false" ht="15" hidden="false" customHeight="false" outlineLevel="0" collapsed="false">
      <c r="B2899" s="12" t="str">
        <f aca="false">IF(A2899="","",IFERROR(INDEX(Recipes!$B:$B,MATCH(A2899,Recipes!$A:$A,0)),"⚠ unknown recipe_id"))</f>
        <v/>
      </c>
      <c r="E2899" s="12" t="str">
        <f aca="false">IF(C2899="","",IFERROR(INDEX('Ingredient Catalog'!$C:$C,MATCH(C2899,'Ingredient Catalog'!$A:$A,0)),"⚠ not in catalog"))</f>
        <v/>
      </c>
      <c r="G2899" s="12" t="str">
        <f aca="false">IF(A2899="","",COUNTIFS('Weekly Log'!$A:$A,'Grocery List'!$B$3,'Weekly Log'!$C:$C,A2899,'Weekly Log'!$E:$E,"Yes"))</f>
        <v/>
      </c>
      <c r="H2899" s="12" t="str">
        <f aca="false">IF(OR(A2899="",D2899=""),"",D2899*G2899)</f>
        <v/>
      </c>
    </row>
    <row r="2900" customFormat="false" ht="15" hidden="false" customHeight="false" outlineLevel="0" collapsed="false">
      <c r="B2900" s="12" t="str">
        <f aca="false">IF(A2900="","",IFERROR(INDEX(Recipes!$B:$B,MATCH(A2900,Recipes!$A:$A,0)),"⚠ unknown recipe_id"))</f>
        <v/>
      </c>
      <c r="E2900" s="12" t="str">
        <f aca="false">IF(C2900="","",IFERROR(INDEX('Ingredient Catalog'!$C:$C,MATCH(C2900,'Ingredient Catalog'!$A:$A,0)),"⚠ not in catalog"))</f>
        <v/>
      </c>
      <c r="G2900" s="12" t="str">
        <f aca="false">IF(A2900="","",COUNTIFS('Weekly Log'!$A:$A,'Grocery List'!$B$3,'Weekly Log'!$C:$C,A2900,'Weekly Log'!$E:$E,"Yes"))</f>
        <v/>
      </c>
      <c r="H2900" s="12" t="str">
        <f aca="false">IF(OR(A2900="",D2900=""),"",D2900*G2900)</f>
        <v/>
      </c>
    </row>
    <row r="2901" customFormat="false" ht="15" hidden="false" customHeight="false" outlineLevel="0" collapsed="false">
      <c r="B2901" s="12" t="str">
        <f aca="false">IF(A2901="","",IFERROR(INDEX(Recipes!$B:$B,MATCH(A2901,Recipes!$A:$A,0)),"⚠ unknown recipe_id"))</f>
        <v/>
      </c>
      <c r="E2901" s="12" t="str">
        <f aca="false">IF(C2901="","",IFERROR(INDEX('Ingredient Catalog'!$C:$C,MATCH(C2901,'Ingredient Catalog'!$A:$A,0)),"⚠ not in catalog"))</f>
        <v/>
      </c>
      <c r="G2901" s="12" t="str">
        <f aca="false">IF(A2901="","",COUNTIFS('Weekly Log'!$A:$A,'Grocery List'!$B$3,'Weekly Log'!$C:$C,A2901,'Weekly Log'!$E:$E,"Yes"))</f>
        <v/>
      </c>
      <c r="H2901" s="12" t="str">
        <f aca="false">IF(OR(A2901="",D2901=""),"",D2901*G2901)</f>
        <v/>
      </c>
    </row>
    <row r="2902" customFormat="false" ht="15" hidden="false" customHeight="false" outlineLevel="0" collapsed="false">
      <c r="B2902" s="12" t="str">
        <f aca="false">IF(A2902="","",IFERROR(INDEX(Recipes!$B:$B,MATCH(A2902,Recipes!$A:$A,0)),"⚠ unknown recipe_id"))</f>
        <v/>
      </c>
      <c r="E2902" s="12" t="str">
        <f aca="false">IF(C2902="","",IFERROR(INDEX('Ingredient Catalog'!$C:$C,MATCH(C2902,'Ingredient Catalog'!$A:$A,0)),"⚠ not in catalog"))</f>
        <v/>
      </c>
      <c r="G2902" s="12" t="str">
        <f aca="false">IF(A2902="","",COUNTIFS('Weekly Log'!$A:$A,'Grocery List'!$B$3,'Weekly Log'!$C:$C,A2902,'Weekly Log'!$E:$E,"Yes"))</f>
        <v/>
      </c>
      <c r="H2902" s="12" t="str">
        <f aca="false">IF(OR(A2902="",D2902=""),"",D2902*G2902)</f>
        <v/>
      </c>
    </row>
    <row r="2903" customFormat="false" ht="15" hidden="false" customHeight="false" outlineLevel="0" collapsed="false">
      <c r="B2903" s="12" t="str">
        <f aca="false">IF(A2903="","",IFERROR(INDEX(Recipes!$B:$B,MATCH(A2903,Recipes!$A:$A,0)),"⚠ unknown recipe_id"))</f>
        <v/>
      </c>
      <c r="E2903" s="12" t="str">
        <f aca="false">IF(C2903="","",IFERROR(INDEX('Ingredient Catalog'!$C:$C,MATCH(C2903,'Ingredient Catalog'!$A:$A,0)),"⚠ not in catalog"))</f>
        <v/>
      </c>
      <c r="G2903" s="12" t="str">
        <f aca="false">IF(A2903="","",COUNTIFS('Weekly Log'!$A:$A,'Grocery List'!$B$3,'Weekly Log'!$C:$C,A2903,'Weekly Log'!$E:$E,"Yes"))</f>
        <v/>
      </c>
      <c r="H2903" s="12" t="str">
        <f aca="false">IF(OR(A2903="",D2903=""),"",D2903*G2903)</f>
        <v/>
      </c>
    </row>
    <row r="2904" customFormat="false" ht="15" hidden="false" customHeight="false" outlineLevel="0" collapsed="false">
      <c r="B2904" s="12" t="str">
        <f aca="false">IF(A2904="","",IFERROR(INDEX(Recipes!$B:$B,MATCH(A2904,Recipes!$A:$A,0)),"⚠ unknown recipe_id"))</f>
        <v/>
      </c>
      <c r="E2904" s="12" t="str">
        <f aca="false">IF(C2904="","",IFERROR(INDEX('Ingredient Catalog'!$C:$C,MATCH(C2904,'Ingredient Catalog'!$A:$A,0)),"⚠ not in catalog"))</f>
        <v/>
      </c>
      <c r="G2904" s="12" t="str">
        <f aca="false">IF(A2904="","",COUNTIFS('Weekly Log'!$A:$A,'Grocery List'!$B$3,'Weekly Log'!$C:$C,A2904,'Weekly Log'!$E:$E,"Yes"))</f>
        <v/>
      </c>
      <c r="H2904" s="12" t="str">
        <f aca="false">IF(OR(A2904="",D2904=""),"",D2904*G2904)</f>
        <v/>
      </c>
    </row>
    <row r="2905" customFormat="false" ht="15" hidden="false" customHeight="false" outlineLevel="0" collapsed="false">
      <c r="B2905" s="12" t="str">
        <f aca="false">IF(A2905="","",IFERROR(INDEX(Recipes!$B:$B,MATCH(A2905,Recipes!$A:$A,0)),"⚠ unknown recipe_id"))</f>
        <v/>
      </c>
      <c r="E2905" s="12" t="str">
        <f aca="false">IF(C2905="","",IFERROR(INDEX('Ingredient Catalog'!$C:$C,MATCH(C2905,'Ingredient Catalog'!$A:$A,0)),"⚠ not in catalog"))</f>
        <v/>
      </c>
      <c r="G2905" s="12" t="str">
        <f aca="false">IF(A2905="","",COUNTIFS('Weekly Log'!$A:$A,'Grocery List'!$B$3,'Weekly Log'!$C:$C,A2905,'Weekly Log'!$E:$E,"Yes"))</f>
        <v/>
      </c>
      <c r="H2905" s="12" t="str">
        <f aca="false">IF(OR(A2905="",D2905=""),"",D2905*G2905)</f>
        <v/>
      </c>
    </row>
    <row r="2906" customFormat="false" ht="15" hidden="false" customHeight="false" outlineLevel="0" collapsed="false">
      <c r="B2906" s="12" t="str">
        <f aca="false">IF(A2906="","",IFERROR(INDEX(Recipes!$B:$B,MATCH(A2906,Recipes!$A:$A,0)),"⚠ unknown recipe_id"))</f>
        <v/>
      </c>
      <c r="E2906" s="12" t="str">
        <f aca="false">IF(C2906="","",IFERROR(INDEX('Ingredient Catalog'!$C:$C,MATCH(C2906,'Ingredient Catalog'!$A:$A,0)),"⚠ not in catalog"))</f>
        <v/>
      </c>
      <c r="G2906" s="12" t="str">
        <f aca="false">IF(A2906="","",COUNTIFS('Weekly Log'!$A:$A,'Grocery List'!$B$3,'Weekly Log'!$C:$C,A2906,'Weekly Log'!$E:$E,"Yes"))</f>
        <v/>
      </c>
      <c r="H2906" s="12" t="str">
        <f aca="false">IF(OR(A2906="",D2906=""),"",D2906*G2906)</f>
        <v/>
      </c>
    </row>
    <row r="2907" customFormat="false" ht="15" hidden="false" customHeight="false" outlineLevel="0" collapsed="false">
      <c r="B2907" s="12" t="str">
        <f aca="false">IF(A2907="","",IFERROR(INDEX(Recipes!$B:$B,MATCH(A2907,Recipes!$A:$A,0)),"⚠ unknown recipe_id"))</f>
        <v/>
      </c>
      <c r="E2907" s="12" t="str">
        <f aca="false">IF(C2907="","",IFERROR(INDEX('Ingredient Catalog'!$C:$C,MATCH(C2907,'Ingredient Catalog'!$A:$A,0)),"⚠ not in catalog"))</f>
        <v/>
      </c>
      <c r="G2907" s="12" t="str">
        <f aca="false">IF(A2907="","",COUNTIFS('Weekly Log'!$A:$A,'Grocery List'!$B$3,'Weekly Log'!$C:$C,A2907,'Weekly Log'!$E:$E,"Yes"))</f>
        <v/>
      </c>
      <c r="H2907" s="12" t="str">
        <f aca="false">IF(OR(A2907="",D2907=""),"",D2907*G2907)</f>
        <v/>
      </c>
    </row>
    <row r="2908" customFormat="false" ht="15" hidden="false" customHeight="false" outlineLevel="0" collapsed="false">
      <c r="B2908" s="12" t="str">
        <f aca="false">IF(A2908="","",IFERROR(INDEX(Recipes!$B:$B,MATCH(A2908,Recipes!$A:$A,0)),"⚠ unknown recipe_id"))</f>
        <v/>
      </c>
      <c r="E2908" s="12" t="str">
        <f aca="false">IF(C2908="","",IFERROR(INDEX('Ingredient Catalog'!$C:$C,MATCH(C2908,'Ingredient Catalog'!$A:$A,0)),"⚠ not in catalog"))</f>
        <v/>
      </c>
      <c r="G2908" s="12" t="str">
        <f aca="false">IF(A2908="","",COUNTIFS('Weekly Log'!$A:$A,'Grocery List'!$B$3,'Weekly Log'!$C:$C,A2908,'Weekly Log'!$E:$E,"Yes"))</f>
        <v/>
      </c>
      <c r="H2908" s="12" t="str">
        <f aca="false">IF(OR(A2908="",D2908=""),"",D2908*G2908)</f>
        <v/>
      </c>
    </row>
    <row r="2909" customFormat="false" ht="15" hidden="false" customHeight="false" outlineLevel="0" collapsed="false">
      <c r="B2909" s="12" t="str">
        <f aca="false">IF(A2909="","",IFERROR(INDEX(Recipes!$B:$B,MATCH(A2909,Recipes!$A:$A,0)),"⚠ unknown recipe_id"))</f>
        <v/>
      </c>
      <c r="E2909" s="12" t="str">
        <f aca="false">IF(C2909="","",IFERROR(INDEX('Ingredient Catalog'!$C:$C,MATCH(C2909,'Ingredient Catalog'!$A:$A,0)),"⚠ not in catalog"))</f>
        <v/>
      </c>
      <c r="G2909" s="12" t="str">
        <f aca="false">IF(A2909="","",COUNTIFS('Weekly Log'!$A:$A,'Grocery List'!$B$3,'Weekly Log'!$C:$C,A2909,'Weekly Log'!$E:$E,"Yes"))</f>
        <v/>
      </c>
      <c r="H2909" s="12" t="str">
        <f aca="false">IF(OR(A2909="",D2909=""),"",D2909*G2909)</f>
        <v/>
      </c>
    </row>
    <row r="2910" customFormat="false" ht="15" hidden="false" customHeight="false" outlineLevel="0" collapsed="false">
      <c r="B2910" s="12" t="str">
        <f aca="false">IF(A2910="","",IFERROR(INDEX(Recipes!$B:$B,MATCH(A2910,Recipes!$A:$A,0)),"⚠ unknown recipe_id"))</f>
        <v/>
      </c>
      <c r="E2910" s="12" t="str">
        <f aca="false">IF(C2910="","",IFERROR(INDEX('Ingredient Catalog'!$C:$C,MATCH(C2910,'Ingredient Catalog'!$A:$A,0)),"⚠ not in catalog"))</f>
        <v/>
      </c>
      <c r="G2910" s="12" t="str">
        <f aca="false">IF(A2910="","",COUNTIFS('Weekly Log'!$A:$A,'Grocery List'!$B$3,'Weekly Log'!$C:$C,A2910,'Weekly Log'!$E:$E,"Yes"))</f>
        <v/>
      </c>
      <c r="H2910" s="12" t="str">
        <f aca="false">IF(OR(A2910="",D2910=""),"",D2910*G2910)</f>
        <v/>
      </c>
    </row>
    <row r="2911" customFormat="false" ht="15" hidden="false" customHeight="false" outlineLevel="0" collapsed="false">
      <c r="B2911" s="12" t="str">
        <f aca="false">IF(A2911="","",IFERROR(INDEX(Recipes!$B:$B,MATCH(A2911,Recipes!$A:$A,0)),"⚠ unknown recipe_id"))</f>
        <v/>
      </c>
      <c r="E2911" s="12" t="str">
        <f aca="false">IF(C2911="","",IFERROR(INDEX('Ingredient Catalog'!$C:$C,MATCH(C2911,'Ingredient Catalog'!$A:$A,0)),"⚠ not in catalog"))</f>
        <v/>
      </c>
      <c r="G2911" s="12" t="str">
        <f aca="false">IF(A2911="","",COUNTIFS('Weekly Log'!$A:$A,'Grocery List'!$B$3,'Weekly Log'!$C:$C,A2911,'Weekly Log'!$E:$E,"Yes"))</f>
        <v/>
      </c>
      <c r="H2911" s="12" t="str">
        <f aca="false">IF(OR(A2911="",D2911=""),"",D2911*G2911)</f>
        <v/>
      </c>
    </row>
    <row r="2912" customFormat="false" ht="15" hidden="false" customHeight="false" outlineLevel="0" collapsed="false">
      <c r="B2912" s="12" t="str">
        <f aca="false">IF(A2912="","",IFERROR(INDEX(Recipes!$B:$B,MATCH(A2912,Recipes!$A:$A,0)),"⚠ unknown recipe_id"))</f>
        <v/>
      </c>
      <c r="E2912" s="12" t="str">
        <f aca="false">IF(C2912="","",IFERROR(INDEX('Ingredient Catalog'!$C:$C,MATCH(C2912,'Ingredient Catalog'!$A:$A,0)),"⚠ not in catalog"))</f>
        <v/>
      </c>
      <c r="G2912" s="12" t="str">
        <f aca="false">IF(A2912="","",COUNTIFS('Weekly Log'!$A:$A,'Grocery List'!$B$3,'Weekly Log'!$C:$C,A2912,'Weekly Log'!$E:$E,"Yes"))</f>
        <v/>
      </c>
      <c r="H2912" s="12" t="str">
        <f aca="false">IF(OR(A2912="",D2912=""),"",D2912*G2912)</f>
        <v/>
      </c>
    </row>
    <row r="2913" customFormat="false" ht="15" hidden="false" customHeight="false" outlineLevel="0" collapsed="false">
      <c r="B2913" s="12" t="str">
        <f aca="false">IF(A2913="","",IFERROR(INDEX(Recipes!$B:$B,MATCH(A2913,Recipes!$A:$A,0)),"⚠ unknown recipe_id"))</f>
        <v/>
      </c>
      <c r="E2913" s="12" t="str">
        <f aca="false">IF(C2913="","",IFERROR(INDEX('Ingredient Catalog'!$C:$C,MATCH(C2913,'Ingredient Catalog'!$A:$A,0)),"⚠ not in catalog"))</f>
        <v/>
      </c>
      <c r="G2913" s="12" t="str">
        <f aca="false">IF(A2913="","",COUNTIFS('Weekly Log'!$A:$A,'Grocery List'!$B$3,'Weekly Log'!$C:$C,A2913,'Weekly Log'!$E:$E,"Yes"))</f>
        <v/>
      </c>
      <c r="H2913" s="12" t="str">
        <f aca="false">IF(OR(A2913="",D2913=""),"",D2913*G2913)</f>
        <v/>
      </c>
    </row>
    <row r="2914" customFormat="false" ht="15" hidden="false" customHeight="false" outlineLevel="0" collapsed="false">
      <c r="B2914" s="12" t="str">
        <f aca="false">IF(A2914="","",IFERROR(INDEX(Recipes!$B:$B,MATCH(A2914,Recipes!$A:$A,0)),"⚠ unknown recipe_id"))</f>
        <v/>
      </c>
      <c r="E2914" s="12" t="str">
        <f aca="false">IF(C2914="","",IFERROR(INDEX('Ingredient Catalog'!$C:$C,MATCH(C2914,'Ingredient Catalog'!$A:$A,0)),"⚠ not in catalog"))</f>
        <v/>
      </c>
      <c r="G2914" s="12" t="str">
        <f aca="false">IF(A2914="","",COUNTIFS('Weekly Log'!$A:$A,'Grocery List'!$B$3,'Weekly Log'!$C:$C,A2914,'Weekly Log'!$E:$E,"Yes"))</f>
        <v/>
      </c>
      <c r="H2914" s="12" t="str">
        <f aca="false">IF(OR(A2914="",D2914=""),"",D2914*G2914)</f>
        <v/>
      </c>
    </row>
    <row r="2915" customFormat="false" ht="15" hidden="false" customHeight="false" outlineLevel="0" collapsed="false">
      <c r="B2915" s="12" t="str">
        <f aca="false">IF(A2915="","",IFERROR(INDEX(Recipes!$B:$B,MATCH(A2915,Recipes!$A:$A,0)),"⚠ unknown recipe_id"))</f>
        <v/>
      </c>
      <c r="E2915" s="12" t="str">
        <f aca="false">IF(C2915="","",IFERROR(INDEX('Ingredient Catalog'!$C:$C,MATCH(C2915,'Ingredient Catalog'!$A:$A,0)),"⚠ not in catalog"))</f>
        <v/>
      </c>
      <c r="G2915" s="12" t="str">
        <f aca="false">IF(A2915="","",COUNTIFS('Weekly Log'!$A:$A,'Grocery List'!$B$3,'Weekly Log'!$C:$C,A2915,'Weekly Log'!$E:$E,"Yes"))</f>
        <v/>
      </c>
      <c r="H2915" s="12" t="str">
        <f aca="false">IF(OR(A2915="",D2915=""),"",D2915*G2915)</f>
        <v/>
      </c>
    </row>
    <row r="2916" customFormat="false" ht="15" hidden="false" customHeight="false" outlineLevel="0" collapsed="false">
      <c r="B2916" s="12" t="str">
        <f aca="false">IF(A2916="","",IFERROR(INDEX(Recipes!$B:$B,MATCH(A2916,Recipes!$A:$A,0)),"⚠ unknown recipe_id"))</f>
        <v/>
      </c>
      <c r="E2916" s="12" t="str">
        <f aca="false">IF(C2916="","",IFERROR(INDEX('Ingredient Catalog'!$C:$C,MATCH(C2916,'Ingredient Catalog'!$A:$A,0)),"⚠ not in catalog"))</f>
        <v/>
      </c>
      <c r="G2916" s="12" t="str">
        <f aca="false">IF(A2916="","",COUNTIFS('Weekly Log'!$A:$A,'Grocery List'!$B$3,'Weekly Log'!$C:$C,A2916,'Weekly Log'!$E:$E,"Yes"))</f>
        <v/>
      </c>
      <c r="H2916" s="12" t="str">
        <f aca="false">IF(OR(A2916="",D2916=""),"",D2916*G2916)</f>
        <v/>
      </c>
    </row>
    <row r="2917" customFormat="false" ht="15" hidden="false" customHeight="false" outlineLevel="0" collapsed="false">
      <c r="B2917" s="12" t="str">
        <f aca="false">IF(A2917="","",IFERROR(INDEX(Recipes!$B:$B,MATCH(A2917,Recipes!$A:$A,0)),"⚠ unknown recipe_id"))</f>
        <v/>
      </c>
      <c r="E2917" s="12" t="str">
        <f aca="false">IF(C2917="","",IFERROR(INDEX('Ingredient Catalog'!$C:$C,MATCH(C2917,'Ingredient Catalog'!$A:$A,0)),"⚠ not in catalog"))</f>
        <v/>
      </c>
      <c r="G2917" s="12" t="str">
        <f aca="false">IF(A2917="","",COUNTIFS('Weekly Log'!$A:$A,'Grocery List'!$B$3,'Weekly Log'!$C:$C,A2917,'Weekly Log'!$E:$E,"Yes"))</f>
        <v/>
      </c>
      <c r="H2917" s="12" t="str">
        <f aca="false">IF(OR(A2917="",D2917=""),"",D2917*G2917)</f>
        <v/>
      </c>
    </row>
    <row r="2918" customFormat="false" ht="15" hidden="false" customHeight="false" outlineLevel="0" collapsed="false">
      <c r="B2918" s="12" t="str">
        <f aca="false">IF(A2918="","",IFERROR(INDEX(Recipes!$B:$B,MATCH(A2918,Recipes!$A:$A,0)),"⚠ unknown recipe_id"))</f>
        <v/>
      </c>
      <c r="E2918" s="12" t="str">
        <f aca="false">IF(C2918="","",IFERROR(INDEX('Ingredient Catalog'!$C:$C,MATCH(C2918,'Ingredient Catalog'!$A:$A,0)),"⚠ not in catalog"))</f>
        <v/>
      </c>
      <c r="G2918" s="12" t="str">
        <f aca="false">IF(A2918="","",COUNTIFS('Weekly Log'!$A:$A,'Grocery List'!$B$3,'Weekly Log'!$C:$C,A2918,'Weekly Log'!$E:$E,"Yes"))</f>
        <v/>
      </c>
      <c r="H2918" s="12" t="str">
        <f aca="false">IF(OR(A2918="",D2918=""),"",D2918*G2918)</f>
        <v/>
      </c>
    </row>
    <row r="2919" customFormat="false" ht="15" hidden="false" customHeight="false" outlineLevel="0" collapsed="false">
      <c r="B2919" s="12" t="str">
        <f aca="false">IF(A2919="","",IFERROR(INDEX(Recipes!$B:$B,MATCH(A2919,Recipes!$A:$A,0)),"⚠ unknown recipe_id"))</f>
        <v/>
      </c>
      <c r="E2919" s="12" t="str">
        <f aca="false">IF(C2919="","",IFERROR(INDEX('Ingredient Catalog'!$C:$C,MATCH(C2919,'Ingredient Catalog'!$A:$A,0)),"⚠ not in catalog"))</f>
        <v/>
      </c>
      <c r="G2919" s="12" t="str">
        <f aca="false">IF(A2919="","",COUNTIFS('Weekly Log'!$A:$A,'Grocery List'!$B$3,'Weekly Log'!$C:$C,A2919,'Weekly Log'!$E:$E,"Yes"))</f>
        <v/>
      </c>
      <c r="H2919" s="12" t="str">
        <f aca="false">IF(OR(A2919="",D2919=""),"",D2919*G2919)</f>
        <v/>
      </c>
    </row>
    <row r="2920" customFormat="false" ht="15" hidden="false" customHeight="false" outlineLevel="0" collapsed="false">
      <c r="B2920" s="12" t="str">
        <f aca="false">IF(A2920="","",IFERROR(INDEX(Recipes!$B:$B,MATCH(A2920,Recipes!$A:$A,0)),"⚠ unknown recipe_id"))</f>
        <v/>
      </c>
      <c r="E2920" s="12" t="str">
        <f aca="false">IF(C2920="","",IFERROR(INDEX('Ingredient Catalog'!$C:$C,MATCH(C2920,'Ingredient Catalog'!$A:$A,0)),"⚠ not in catalog"))</f>
        <v/>
      </c>
      <c r="G2920" s="12" t="str">
        <f aca="false">IF(A2920="","",COUNTIFS('Weekly Log'!$A:$A,'Grocery List'!$B$3,'Weekly Log'!$C:$C,A2920,'Weekly Log'!$E:$E,"Yes"))</f>
        <v/>
      </c>
      <c r="H2920" s="12" t="str">
        <f aca="false">IF(OR(A2920="",D2920=""),"",D2920*G2920)</f>
        <v/>
      </c>
    </row>
    <row r="2921" customFormat="false" ht="15" hidden="false" customHeight="false" outlineLevel="0" collapsed="false">
      <c r="B2921" s="12" t="str">
        <f aca="false">IF(A2921="","",IFERROR(INDEX(Recipes!$B:$B,MATCH(A2921,Recipes!$A:$A,0)),"⚠ unknown recipe_id"))</f>
        <v/>
      </c>
      <c r="E2921" s="12" t="str">
        <f aca="false">IF(C2921="","",IFERROR(INDEX('Ingredient Catalog'!$C:$C,MATCH(C2921,'Ingredient Catalog'!$A:$A,0)),"⚠ not in catalog"))</f>
        <v/>
      </c>
      <c r="G2921" s="12" t="str">
        <f aca="false">IF(A2921="","",COUNTIFS('Weekly Log'!$A:$A,'Grocery List'!$B$3,'Weekly Log'!$C:$C,A2921,'Weekly Log'!$E:$E,"Yes"))</f>
        <v/>
      </c>
      <c r="H2921" s="12" t="str">
        <f aca="false">IF(OR(A2921="",D2921=""),"",D2921*G2921)</f>
        <v/>
      </c>
    </row>
    <row r="2922" customFormat="false" ht="15" hidden="false" customHeight="false" outlineLevel="0" collapsed="false">
      <c r="B2922" s="12" t="str">
        <f aca="false">IF(A2922="","",IFERROR(INDEX(Recipes!$B:$B,MATCH(A2922,Recipes!$A:$A,0)),"⚠ unknown recipe_id"))</f>
        <v/>
      </c>
      <c r="E2922" s="12" t="str">
        <f aca="false">IF(C2922="","",IFERROR(INDEX('Ingredient Catalog'!$C:$C,MATCH(C2922,'Ingredient Catalog'!$A:$A,0)),"⚠ not in catalog"))</f>
        <v/>
      </c>
      <c r="G2922" s="12" t="str">
        <f aca="false">IF(A2922="","",COUNTIFS('Weekly Log'!$A:$A,'Grocery List'!$B$3,'Weekly Log'!$C:$C,A2922,'Weekly Log'!$E:$E,"Yes"))</f>
        <v/>
      </c>
      <c r="H2922" s="12" t="str">
        <f aca="false">IF(OR(A2922="",D2922=""),"",D2922*G2922)</f>
        <v/>
      </c>
    </row>
    <row r="2923" customFormat="false" ht="15" hidden="false" customHeight="false" outlineLevel="0" collapsed="false">
      <c r="B2923" s="12" t="str">
        <f aca="false">IF(A2923="","",IFERROR(INDEX(Recipes!$B:$B,MATCH(A2923,Recipes!$A:$A,0)),"⚠ unknown recipe_id"))</f>
        <v/>
      </c>
      <c r="E2923" s="12" t="str">
        <f aca="false">IF(C2923="","",IFERROR(INDEX('Ingredient Catalog'!$C:$C,MATCH(C2923,'Ingredient Catalog'!$A:$A,0)),"⚠ not in catalog"))</f>
        <v/>
      </c>
      <c r="G2923" s="12" t="str">
        <f aca="false">IF(A2923="","",COUNTIFS('Weekly Log'!$A:$A,'Grocery List'!$B$3,'Weekly Log'!$C:$C,A2923,'Weekly Log'!$E:$E,"Yes"))</f>
        <v/>
      </c>
      <c r="H2923" s="12" t="str">
        <f aca="false">IF(OR(A2923="",D2923=""),"",D2923*G2923)</f>
        <v/>
      </c>
    </row>
    <row r="2924" customFormat="false" ht="15" hidden="false" customHeight="false" outlineLevel="0" collapsed="false">
      <c r="B2924" s="12" t="str">
        <f aca="false">IF(A2924="","",IFERROR(INDEX(Recipes!$B:$B,MATCH(A2924,Recipes!$A:$A,0)),"⚠ unknown recipe_id"))</f>
        <v/>
      </c>
      <c r="E2924" s="12" t="str">
        <f aca="false">IF(C2924="","",IFERROR(INDEX('Ingredient Catalog'!$C:$C,MATCH(C2924,'Ingredient Catalog'!$A:$A,0)),"⚠ not in catalog"))</f>
        <v/>
      </c>
      <c r="G2924" s="12" t="str">
        <f aca="false">IF(A2924="","",COUNTIFS('Weekly Log'!$A:$A,'Grocery List'!$B$3,'Weekly Log'!$C:$C,A2924,'Weekly Log'!$E:$E,"Yes"))</f>
        <v/>
      </c>
      <c r="H2924" s="12" t="str">
        <f aca="false">IF(OR(A2924="",D2924=""),"",D2924*G2924)</f>
        <v/>
      </c>
    </row>
    <row r="2925" customFormat="false" ht="15" hidden="false" customHeight="false" outlineLevel="0" collapsed="false">
      <c r="B2925" s="12" t="str">
        <f aca="false">IF(A2925="","",IFERROR(INDEX(Recipes!$B:$B,MATCH(A2925,Recipes!$A:$A,0)),"⚠ unknown recipe_id"))</f>
        <v/>
      </c>
      <c r="E2925" s="12" t="str">
        <f aca="false">IF(C2925="","",IFERROR(INDEX('Ingredient Catalog'!$C:$C,MATCH(C2925,'Ingredient Catalog'!$A:$A,0)),"⚠ not in catalog"))</f>
        <v/>
      </c>
      <c r="G2925" s="12" t="str">
        <f aca="false">IF(A2925="","",COUNTIFS('Weekly Log'!$A:$A,'Grocery List'!$B$3,'Weekly Log'!$C:$C,A2925,'Weekly Log'!$E:$E,"Yes"))</f>
        <v/>
      </c>
      <c r="H2925" s="12" t="str">
        <f aca="false">IF(OR(A2925="",D2925=""),"",D2925*G2925)</f>
        <v/>
      </c>
    </row>
    <row r="2926" customFormat="false" ht="15" hidden="false" customHeight="false" outlineLevel="0" collapsed="false">
      <c r="B2926" s="12" t="str">
        <f aca="false">IF(A2926="","",IFERROR(INDEX(Recipes!$B:$B,MATCH(A2926,Recipes!$A:$A,0)),"⚠ unknown recipe_id"))</f>
        <v/>
      </c>
      <c r="E2926" s="12" t="str">
        <f aca="false">IF(C2926="","",IFERROR(INDEX('Ingredient Catalog'!$C:$C,MATCH(C2926,'Ingredient Catalog'!$A:$A,0)),"⚠ not in catalog"))</f>
        <v/>
      </c>
      <c r="G2926" s="12" t="str">
        <f aca="false">IF(A2926="","",COUNTIFS('Weekly Log'!$A:$A,'Grocery List'!$B$3,'Weekly Log'!$C:$C,A2926,'Weekly Log'!$E:$E,"Yes"))</f>
        <v/>
      </c>
      <c r="H2926" s="12" t="str">
        <f aca="false">IF(OR(A2926="",D2926=""),"",D2926*G2926)</f>
        <v/>
      </c>
    </row>
    <row r="2927" customFormat="false" ht="15" hidden="false" customHeight="false" outlineLevel="0" collapsed="false">
      <c r="B2927" s="12" t="str">
        <f aca="false">IF(A2927="","",IFERROR(INDEX(Recipes!$B:$B,MATCH(A2927,Recipes!$A:$A,0)),"⚠ unknown recipe_id"))</f>
        <v/>
      </c>
      <c r="E2927" s="12" t="str">
        <f aca="false">IF(C2927="","",IFERROR(INDEX('Ingredient Catalog'!$C:$C,MATCH(C2927,'Ingredient Catalog'!$A:$A,0)),"⚠ not in catalog"))</f>
        <v/>
      </c>
      <c r="G2927" s="12" t="str">
        <f aca="false">IF(A2927="","",COUNTIFS('Weekly Log'!$A:$A,'Grocery List'!$B$3,'Weekly Log'!$C:$C,A2927,'Weekly Log'!$E:$E,"Yes"))</f>
        <v/>
      </c>
      <c r="H2927" s="12" t="str">
        <f aca="false">IF(OR(A2927="",D2927=""),"",D2927*G2927)</f>
        <v/>
      </c>
    </row>
    <row r="2928" customFormat="false" ht="15" hidden="false" customHeight="false" outlineLevel="0" collapsed="false">
      <c r="B2928" s="12" t="str">
        <f aca="false">IF(A2928="","",IFERROR(INDEX(Recipes!$B:$B,MATCH(A2928,Recipes!$A:$A,0)),"⚠ unknown recipe_id"))</f>
        <v/>
      </c>
      <c r="E2928" s="12" t="str">
        <f aca="false">IF(C2928="","",IFERROR(INDEX('Ingredient Catalog'!$C:$C,MATCH(C2928,'Ingredient Catalog'!$A:$A,0)),"⚠ not in catalog"))</f>
        <v/>
      </c>
      <c r="G2928" s="12" t="str">
        <f aca="false">IF(A2928="","",COUNTIFS('Weekly Log'!$A:$A,'Grocery List'!$B$3,'Weekly Log'!$C:$C,A2928,'Weekly Log'!$E:$E,"Yes"))</f>
        <v/>
      </c>
      <c r="H2928" s="12" t="str">
        <f aca="false">IF(OR(A2928="",D2928=""),"",D2928*G2928)</f>
        <v/>
      </c>
    </row>
    <row r="2929" customFormat="false" ht="15" hidden="false" customHeight="false" outlineLevel="0" collapsed="false">
      <c r="B2929" s="12" t="str">
        <f aca="false">IF(A2929="","",IFERROR(INDEX(Recipes!$B:$B,MATCH(A2929,Recipes!$A:$A,0)),"⚠ unknown recipe_id"))</f>
        <v/>
      </c>
      <c r="E2929" s="12" t="str">
        <f aca="false">IF(C2929="","",IFERROR(INDEX('Ingredient Catalog'!$C:$C,MATCH(C2929,'Ingredient Catalog'!$A:$A,0)),"⚠ not in catalog"))</f>
        <v/>
      </c>
      <c r="G2929" s="12" t="str">
        <f aca="false">IF(A2929="","",COUNTIFS('Weekly Log'!$A:$A,'Grocery List'!$B$3,'Weekly Log'!$C:$C,A2929,'Weekly Log'!$E:$E,"Yes"))</f>
        <v/>
      </c>
      <c r="H2929" s="12" t="str">
        <f aca="false">IF(OR(A2929="",D2929=""),"",D2929*G2929)</f>
        <v/>
      </c>
    </row>
    <row r="2930" customFormat="false" ht="15" hidden="false" customHeight="false" outlineLevel="0" collapsed="false">
      <c r="B2930" s="12" t="str">
        <f aca="false">IF(A2930="","",IFERROR(INDEX(Recipes!$B:$B,MATCH(A2930,Recipes!$A:$A,0)),"⚠ unknown recipe_id"))</f>
        <v/>
      </c>
      <c r="E2930" s="12" t="str">
        <f aca="false">IF(C2930="","",IFERROR(INDEX('Ingredient Catalog'!$C:$C,MATCH(C2930,'Ingredient Catalog'!$A:$A,0)),"⚠ not in catalog"))</f>
        <v/>
      </c>
      <c r="G2930" s="12" t="str">
        <f aca="false">IF(A2930="","",COUNTIFS('Weekly Log'!$A:$A,'Grocery List'!$B$3,'Weekly Log'!$C:$C,A2930,'Weekly Log'!$E:$E,"Yes"))</f>
        <v/>
      </c>
      <c r="H2930" s="12" t="str">
        <f aca="false">IF(OR(A2930="",D2930=""),"",D2930*G2930)</f>
        <v/>
      </c>
    </row>
    <row r="2931" customFormat="false" ht="15" hidden="false" customHeight="false" outlineLevel="0" collapsed="false">
      <c r="B2931" s="12" t="str">
        <f aca="false">IF(A2931="","",IFERROR(INDEX(Recipes!$B:$B,MATCH(A2931,Recipes!$A:$A,0)),"⚠ unknown recipe_id"))</f>
        <v/>
      </c>
      <c r="E2931" s="12" t="str">
        <f aca="false">IF(C2931="","",IFERROR(INDEX('Ingredient Catalog'!$C:$C,MATCH(C2931,'Ingredient Catalog'!$A:$A,0)),"⚠ not in catalog"))</f>
        <v/>
      </c>
      <c r="G2931" s="12" t="str">
        <f aca="false">IF(A2931="","",COUNTIFS('Weekly Log'!$A:$A,'Grocery List'!$B$3,'Weekly Log'!$C:$C,A2931,'Weekly Log'!$E:$E,"Yes"))</f>
        <v/>
      </c>
      <c r="H2931" s="12" t="str">
        <f aca="false">IF(OR(A2931="",D2931=""),"",D2931*G2931)</f>
        <v/>
      </c>
    </row>
    <row r="2932" customFormat="false" ht="15" hidden="false" customHeight="false" outlineLevel="0" collapsed="false">
      <c r="B2932" s="12" t="str">
        <f aca="false">IF(A2932="","",IFERROR(INDEX(Recipes!$B:$B,MATCH(A2932,Recipes!$A:$A,0)),"⚠ unknown recipe_id"))</f>
        <v/>
      </c>
      <c r="E2932" s="12" t="str">
        <f aca="false">IF(C2932="","",IFERROR(INDEX('Ingredient Catalog'!$C:$C,MATCH(C2932,'Ingredient Catalog'!$A:$A,0)),"⚠ not in catalog"))</f>
        <v/>
      </c>
      <c r="G2932" s="12" t="str">
        <f aca="false">IF(A2932="","",COUNTIFS('Weekly Log'!$A:$A,'Grocery List'!$B$3,'Weekly Log'!$C:$C,A2932,'Weekly Log'!$E:$E,"Yes"))</f>
        <v/>
      </c>
      <c r="H2932" s="12" t="str">
        <f aca="false">IF(OR(A2932="",D2932=""),"",D2932*G2932)</f>
        <v/>
      </c>
    </row>
    <row r="2933" customFormat="false" ht="15" hidden="false" customHeight="false" outlineLevel="0" collapsed="false">
      <c r="B2933" s="12" t="str">
        <f aca="false">IF(A2933="","",IFERROR(INDEX(Recipes!$B:$B,MATCH(A2933,Recipes!$A:$A,0)),"⚠ unknown recipe_id"))</f>
        <v/>
      </c>
      <c r="E2933" s="12" t="str">
        <f aca="false">IF(C2933="","",IFERROR(INDEX('Ingredient Catalog'!$C:$C,MATCH(C2933,'Ingredient Catalog'!$A:$A,0)),"⚠ not in catalog"))</f>
        <v/>
      </c>
      <c r="G2933" s="12" t="str">
        <f aca="false">IF(A2933="","",COUNTIFS('Weekly Log'!$A:$A,'Grocery List'!$B$3,'Weekly Log'!$C:$C,A2933,'Weekly Log'!$E:$E,"Yes"))</f>
        <v/>
      </c>
      <c r="H2933" s="12" t="str">
        <f aca="false">IF(OR(A2933="",D2933=""),"",D2933*G2933)</f>
        <v/>
      </c>
    </row>
    <row r="2934" customFormat="false" ht="15" hidden="false" customHeight="false" outlineLevel="0" collapsed="false">
      <c r="B2934" s="12" t="str">
        <f aca="false">IF(A2934="","",IFERROR(INDEX(Recipes!$B:$B,MATCH(A2934,Recipes!$A:$A,0)),"⚠ unknown recipe_id"))</f>
        <v/>
      </c>
      <c r="E2934" s="12" t="str">
        <f aca="false">IF(C2934="","",IFERROR(INDEX('Ingredient Catalog'!$C:$C,MATCH(C2934,'Ingredient Catalog'!$A:$A,0)),"⚠ not in catalog"))</f>
        <v/>
      </c>
      <c r="G2934" s="12" t="str">
        <f aca="false">IF(A2934="","",COUNTIFS('Weekly Log'!$A:$A,'Grocery List'!$B$3,'Weekly Log'!$C:$C,A2934,'Weekly Log'!$E:$E,"Yes"))</f>
        <v/>
      </c>
      <c r="H2934" s="12" t="str">
        <f aca="false">IF(OR(A2934="",D2934=""),"",D2934*G2934)</f>
        <v/>
      </c>
    </row>
    <row r="2935" customFormat="false" ht="15" hidden="false" customHeight="false" outlineLevel="0" collapsed="false">
      <c r="B2935" s="12" t="str">
        <f aca="false">IF(A2935="","",IFERROR(INDEX(Recipes!$B:$B,MATCH(A2935,Recipes!$A:$A,0)),"⚠ unknown recipe_id"))</f>
        <v/>
      </c>
      <c r="E2935" s="12" t="str">
        <f aca="false">IF(C2935="","",IFERROR(INDEX('Ingredient Catalog'!$C:$C,MATCH(C2935,'Ingredient Catalog'!$A:$A,0)),"⚠ not in catalog"))</f>
        <v/>
      </c>
      <c r="G2935" s="12" t="str">
        <f aca="false">IF(A2935="","",COUNTIFS('Weekly Log'!$A:$A,'Grocery List'!$B$3,'Weekly Log'!$C:$C,A2935,'Weekly Log'!$E:$E,"Yes"))</f>
        <v/>
      </c>
      <c r="H2935" s="12" t="str">
        <f aca="false">IF(OR(A2935="",D2935=""),"",D2935*G2935)</f>
        <v/>
      </c>
    </row>
    <row r="2936" customFormat="false" ht="15" hidden="false" customHeight="false" outlineLevel="0" collapsed="false">
      <c r="B2936" s="12" t="str">
        <f aca="false">IF(A2936="","",IFERROR(INDEX(Recipes!$B:$B,MATCH(A2936,Recipes!$A:$A,0)),"⚠ unknown recipe_id"))</f>
        <v/>
      </c>
      <c r="E2936" s="12" t="str">
        <f aca="false">IF(C2936="","",IFERROR(INDEX('Ingredient Catalog'!$C:$C,MATCH(C2936,'Ingredient Catalog'!$A:$A,0)),"⚠ not in catalog"))</f>
        <v/>
      </c>
      <c r="G2936" s="12" t="str">
        <f aca="false">IF(A2936="","",COUNTIFS('Weekly Log'!$A:$A,'Grocery List'!$B$3,'Weekly Log'!$C:$C,A2936,'Weekly Log'!$E:$E,"Yes"))</f>
        <v/>
      </c>
      <c r="H2936" s="12" t="str">
        <f aca="false">IF(OR(A2936="",D2936=""),"",D2936*G2936)</f>
        <v/>
      </c>
    </row>
    <row r="2937" customFormat="false" ht="15" hidden="false" customHeight="false" outlineLevel="0" collapsed="false">
      <c r="B2937" s="12" t="str">
        <f aca="false">IF(A2937="","",IFERROR(INDEX(Recipes!$B:$B,MATCH(A2937,Recipes!$A:$A,0)),"⚠ unknown recipe_id"))</f>
        <v/>
      </c>
      <c r="E2937" s="12" t="str">
        <f aca="false">IF(C2937="","",IFERROR(INDEX('Ingredient Catalog'!$C:$C,MATCH(C2937,'Ingredient Catalog'!$A:$A,0)),"⚠ not in catalog"))</f>
        <v/>
      </c>
      <c r="G2937" s="12" t="str">
        <f aca="false">IF(A2937="","",COUNTIFS('Weekly Log'!$A:$A,'Grocery List'!$B$3,'Weekly Log'!$C:$C,A2937,'Weekly Log'!$E:$E,"Yes"))</f>
        <v/>
      </c>
      <c r="H2937" s="12" t="str">
        <f aca="false">IF(OR(A2937="",D2937=""),"",D2937*G2937)</f>
        <v/>
      </c>
    </row>
    <row r="2938" customFormat="false" ht="15" hidden="false" customHeight="false" outlineLevel="0" collapsed="false">
      <c r="B2938" s="12" t="str">
        <f aca="false">IF(A2938="","",IFERROR(INDEX(Recipes!$B:$B,MATCH(A2938,Recipes!$A:$A,0)),"⚠ unknown recipe_id"))</f>
        <v/>
      </c>
      <c r="E2938" s="12" t="str">
        <f aca="false">IF(C2938="","",IFERROR(INDEX('Ingredient Catalog'!$C:$C,MATCH(C2938,'Ingredient Catalog'!$A:$A,0)),"⚠ not in catalog"))</f>
        <v/>
      </c>
      <c r="G2938" s="12" t="str">
        <f aca="false">IF(A2938="","",COUNTIFS('Weekly Log'!$A:$A,'Grocery List'!$B$3,'Weekly Log'!$C:$C,A2938,'Weekly Log'!$E:$E,"Yes"))</f>
        <v/>
      </c>
      <c r="H2938" s="12" t="str">
        <f aca="false">IF(OR(A2938="",D2938=""),"",D2938*G2938)</f>
        <v/>
      </c>
    </row>
    <row r="2939" customFormat="false" ht="15" hidden="false" customHeight="false" outlineLevel="0" collapsed="false">
      <c r="B2939" s="12" t="str">
        <f aca="false">IF(A2939="","",IFERROR(INDEX(Recipes!$B:$B,MATCH(A2939,Recipes!$A:$A,0)),"⚠ unknown recipe_id"))</f>
        <v/>
      </c>
      <c r="E2939" s="12" t="str">
        <f aca="false">IF(C2939="","",IFERROR(INDEX('Ingredient Catalog'!$C:$C,MATCH(C2939,'Ingredient Catalog'!$A:$A,0)),"⚠ not in catalog"))</f>
        <v/>
      </c>
      <c r="G2939" s="12" t="str">
        <f aca="false">IF(A2939="","",COUNTIFS('Weekly Log'!$A:$A,'Grocery List'!$B$3,'Weekly Log'!$C:$C,A2939,'Weekly Log'!$E:$E,"Yes"))</f>
        <v/>
      </c>
      <c r="H2939" s="12" t="str">
        <f aca="false">IF(OR(A2939="",D2939=""),"",D2939*G2939)</f>
        <v/>
      </c>
    </row>
    <row r="2940" customFormat="false" ht="15" hidden="false" customHeight="false" outlineLevel="0" collapsed="false">
      <c r="B2940" s="12" t="str">
        <f aca="false">IF(A2940="","",IFERROR(INDEX(Recipes!$B:$B,MATCH(A2940,Recipes!$A:$A,0)),"⚠ unknown recipe_id"))</f>
        <v/>
      </c>
      <c r="E2940" s="12" t="str">
        <f aca="false">IF(C2940="","",IFERROR(INDEX('Ingredient Catalog'!$C:$C,MATCH(C2940,'Ingredient Catalog'!$A:$A,0)),"⚠ not in catalog"))</f>
        <v/>
      </c>
      <c r="G2940" s="12" t="str">
        <f aca="false">IF(A2940="","",COUNTIFS('Weekly Log'!$A:$A,'Grocery List'!$B$3,'Weekly Log'!$C:$C,A2940,'Weekly Log'!$E:$E,"Yes"))</f>
        <v/>
      </c>
      <c r="H2940" s="12" t="str">
        <f aca="false">IF(OR(A2940="",D2940=""),"",D2940*G2940)</f>
        <v/>
      </c>
    </row>
    <row r="2941" customFormat="false" ht="15" hidden="false" customHeight="false" outlineLevel="0" collapsed="false">
      <c r="B2941" s="12" t="str">
        <f aca="false">IF(A2941="","",IFERROR(INDEX(Recipes!$B:$B,MATCH(A2941,Recipes!$A:$A,0)),"⚠ unknown recipe_id"))</f>
        <v/>
      </c>
      <c r="E2941" s="12" t="str">
        <f aca="false">IF(C2941="","",IFERROR(INDEX('Ingredient Catalog'!$C:$C,MATCH(C2941,'Ingredient Catalog'!$A:$A,0)),"⚠ not in catalog"))</f>
        <v/>
      </c>
      <c r="G2941" s="12" t="str">
        <f aca="false">IF(A2941="","",COUNTIFS('Weekly Log'!$A:$A,'Grocery List'!$B$3,'Weekly Log'!$C:$C,A2941,'Weekly Log'!$E:$E,"Yes"))</f>
        <v/>
      </c>
      <c r="H2941" s="12" t="str">
        <f aca="false">IF(OR(A2941="",D2941=""),"",D2941*G2941)</f>
        <v/>
      </c>
    </row>
    <row r="2942" customFormat="false" ht="15" hidden="false" customHeight="false" outlineLevel="0" collapsed="false">
      <c r="B2942" s="12" t="str">
        <f aca="false">IF(A2942="","",IFERROR(INDEX(Recipes!$B:$B,MATCH(A2942,Recipes!$A:$A,0)),"⚠ unknown recipe_id"))</f>
        <v/>
      </c>
      <c r="E2942" s="12" t="str">
        <f aca="false">IF(C2942="","",IFERROR(INDEX('Ingredient Catalog'!$C:$C,MATCH(C2942,'Ingredient Catalog'!$A:$A,0)),"⚠ not in catalog"))</f>
        <v/>
      </c>
      <c r="G2942" s="12" t="str">
        <f aca="false">IF(A2942="","",COUNTIFS('Weekly Log'!$A:$A,'Grocery List'!$B$3,'Weekly Log'!$C:$C,A2942,'Weekly Log'!$E:$E,"Yes"))</f>
        <v/>
      </c>
      <c r="H2942" s="12" t="str">
        <f aca="false">IF(OR(A2942="",D2942=""),"",D2942*G2942)</f>
        <v/>
      </c>
    </row>
    <row r="2943" customFormat="false" ht="15" hidden="false" customHeight="false" outlineLevel="0" collapsed="false">
      <c r="B2943" s="12" t="str">
        <f aca="false">IF(A2943="","",IFERROR(INDEX(Recipes!$B:$B,MATCH(A2943,Recipes!$A:$A,0)),"⚠ unknown recipe_id"))</f>
        <v/>
      </c>
      <c r="E2943" s="12" t="str">
        <f aca="false">IF(C2943="","",IFERROR(INDEX('Ingredient Catalog'!$C:$C,MATCH(C2943,'Ingredient Catalog'!$A:$A,0)),"⚠ not in catalog"))</f>
        <v/>
      </c>
      <c r="G2943" s="12" t="str">
        <f aca="false">IF(A2943="","",COUNTIFS('Weekly Log'!$A:$A,'Grocery List'!$B$3,'Weekly Log'!$C:$C,A2943,'Weekly Log'!$E:$E,"Yes"))</f>
        <v/>
      </c>
      <c r="H2943" s="12" t="str">
        <f aca="false">IF(OR(A2943="",D2943=""),"",D2943*G2943)</f>
        <v/>
      </c>
    </row>
    <row r="2944" customFormat="false" ht="15" hidden="false" customHeight="false" outlineLevel="0" collapsed="false">
      <c r="B2944" s="12" t="str">
        <f aca="false">IF(A2944="","",IFERROR(INDEX(Recipes!$B:$B,MATCH(A2944,Recipes!$A:$A,0)),"⚠ unknown recipe_id"))</f>
        <v/>
      </c>
      <c r="E2944" s="12" t="str">
        <f aca="false">IF(C2944="","",IFERROR(INDEX('Ingredient Catalog'!$C:$C,MATCH(C2944,'Ingredient Catalog'!$A:$A,0)),"⚠ not in catalog"))</f>
        <v/>
      </c>
      <c r="G2944" s="12" t="str">
        <f aca="false">IF(A2944="","",COUNTIFS('Weekly Log'!$A:$A,'Grocery List'!$B$3,'Weekly Log'!$C:$C,A2944,'Weekly Log'!$E:$E,"Yes"))</f>
        <v/>
      </c>
      <c r="H2944" s="12" t="str">
        <f aca="false">IF(OR(A2944="",D2944=""),"",D2944*G2944)</f>
        <v/>
      </c>
    </row>
    <row r="2945" customFormat="false" ht="15" hidden="false" customHeight="false" outlineLevel="0" collapsed="false">
      <c r="B2945" s="12" t="str">
        <f aca="false">IF(A2945="","",IFERROR(INDEX(Recipes!$B:$B,MATCH(A2945,Recipes!$A:$A,0)),"⚠ unknown recipe_id"))</f>
        <v/>
      </c>
      <c r="E2945" s="12" t="str">
        <f aca="false">IF(C2945="","",IFERROR(INDEX('Ingredient Catalog'!$C:$C,MATCH(C2945,'Ingredient Catalog'!$A:$A,0)),"⚠ not in catalog"))</f>
        <v/>
      </c>
      <c r="G2945" s="12" t="str">
        <f aca="false">IF(A2945="","",COUNTIFS('Weekly Log'!$A:$A,'Grocery List'!$B$3,'Weekly Log'!$C:$C,A2945,'Weekly Log'!$E:$E,"Yes"))</f>
        <v/>
      </c>
      <c r="H2945" s="12" t="str">
        <f aca="false">IF(OR(A2945="",D2945=""),"",D2945*G2945)</f>
        <v/>
      </c>
    </row>
    <row r="2946" customFormat="false" ht="15" hidden="false" customHeight="false" outlineLevel="0" collapsed="false">
      <c r="B2946" s="12" t="str">
        <f aca="false">IF(A2946="","",IFERROR(INDEX(Recipes!$B:$B,MATCH(A2946,Recipes!$A:$A,0)),"⚠ unknown recipe_id"))</f>
        <v/>
      </c>
      <c r="E2946" s="12" t="str">
        <f aca="false">IF(C2946="","",IFERROR(INDEX('Ingredient Catalog'!$C:$C,MATCH(C2946,'Ingredient Catalog'!$A:$A,0)),"⚠ not in catalog"))</f>
        <v/>
      </c>
      <c r="G2946" s="12" t="str">
        <f aca="false">IF(A2946="","",COUNTIFS('Weekly Log'!$A:$A,'Grocery List'!$B$3,'Weekly Log'!$C:$C,A2946,'Weekly Log'!$E:$E,"Yes"))</f>
        <v/>
      </c>
      <c r="H2946" s="12" t="str">
        <f aca="false">IF(OR(A2946="",D2946=""),"",D2946*G2946)</f>
        <v/>
      </c>
    </row>
    <row r="2947" customFormat="false" ht="15" hidden="false" customHeight="false" outlineLevel="0" collapsed="false">
      <c r="B2947" s="12" t="str">
        <f aca="false">IF(A2947="","",IFERROR(INDEX(Recipes!$B:$B,MATCH(A2947,Recipes!$A:$A,0)),"⚠ unknown recipe_id"))</f>
        <v/>
      </c>
      <c r="E2947" s="12" t="str">
        <f aca="false">IF(C2947="","",IFERROR(INDEX('Ingredient Catalog'!$C:$C,MATCH(C2947,'Ingredient Catalog'!$A:$A,0)),"⚠ not in catalog"))</f>
        <v/>
      </c>
      <c r="G2947" s="12" t="str">
        <f aca="false">IF(A2947="","",COUNTIFS('Weekly Log'!$A:$A,'Grocery List'!$B$3,'Weekly Log'!$C:$C,A2947,'Weekly Log'!$E:$E,"Yes"))</f>
        <v/>
      </c>
      <c r="H2947" s="12" t="str">
        <f aca="false">IF(OR(A2947="",D2947=""),"",D2947*G2947)</f>
        <v/>
      </c>
    </row>
    <row r="2948" customFormat="false" ht="15" hidden="false" customHeight="false" outlineLevel="0" collapsed="false">
      <c r="B2948" s="12" t="str">
        <f aca="false">IF(A2948="","",IFERROR(INDEX(Recipes!$B:$B,MATCH(A2948,Recipes!$A:$A,0)),"⚠ unknown recipe_id"))</f>
        <v/>
      </c>
      <c r="E2948" s="12" t="str">
        <f aca="false">IF(C2948="","",IFERROR(INDEX('Ingredient Catalog'!$C:$C,MATCH(C2948,'Ingredient Catalog'!$A:$A,0)),"⚠ not in catalog"))</f>
        <v/>
      </c>
      <c r="G2948" s="12" t="str">
        <f aca="false">IF(A2948="","",COUNTIFS('Weekly Log'!$A:$A,'Grocery List'!$B$3,'Weekly Log'!$C:$C,A2948,'Weekly Log'!$E:$E,"Yes"))</f>
        <v/>
      </c>
      <c r="H2948" s="12" t="str">
        <f aca="false">IF(OR(A2948="",D2948=""),"",D2948*G2948)</f>
        <v/>
      </c>
    </row>
    <row r="2949" customFormat="false" ht="15" hidden="false" customHeight="false" outlineLevel="0" collapsed="false">
      <c r="B2949" s="12" t="str">
        <f aca="false">IF(A2949="","",IFERROR(INDEX(Recipes!$B:$B,MATCH(A2949,Recipes!$A:$A,0)),"⚠ unknown recipe_id"))</f>
        <v/>
      </c>
      <c r="E2949" s="12" t="str">
        <f aca="false">IF(C2949="","",IFERROR(INDEX('Ingredient Catalog'!$C:$C,MATCH(C2949,'Ingredient Catalog'!$A:$A,0)),"⚠ not in catalog"))</f>
        <v/>
      </c>
      <c r="G2949" s="12" t="str">
        <f aca="false">IF(A2949="","",COUNTIFS('Weekly Log'!$A:$A,'Grocery List'!$B$3,'Weekly Log'!$C:$C,A2949,'Weekly Log'!$E:$E,"Yes"))</f>
        <v/>
      </c>
      <c r="H2949" s="12" t="str">
        <f aca="false">IF(OR(A2949="",D2949=""),"",D2949*G2949)</f>
        <v/>
      </c>
    </row>
    <row r="2950" customFormat="false" ht="15" hidden="false" customHeight="false" outlineLevel="0" collapsed="false">
      <c r="B2950" s="12" t="str">
        <f aca="false">IF(A2950="","",IFERROR(INDEX(Recipes!$B:$B,MATCH(A2950,Recipes!$A:$A,0)),"⚠ unknown recipe_id"))</f>
        <v/>
      </c>
      <c r="E2950" s="12" t="str">
        <f aca="false">IF(C2950="","",IFERROR(INDEX('Ingredient Catalog'!$C:$C,MATCH(C2950,'Ingredient Catalog'!$A:$A,0)),"⚠ not in catalog"))</f>
        <v/>
      </c>
      <c r="G2950" s="12" t="str">
        <f aca="false">IF(A2950="","",COUNTIFS('Weekly Log'!$A:$A,'Grocery List'!$B$3,'Weekly Log'!$C:$C,A2950,'Weekly Log'!$E:$E,"Yes"))</f>
        <v/>
      </c>
      <c r="H2950" s="12" t="str">
        <f aca="false">IF(OR(A2950="",D2950=""),"",D2950*G2950)</f>
        <v/>
      </c>
    </row>
    <row r="2951" customFormat="false" ht="15" hidden="false" customHeight="false" outlineLevel="0" collapsed="false">
      <c r="B2951" s="12" t="str">
        <f aca="false">IF(A2951="","",IFERROR(INDEX(Recipes!$B:$B,MATCH(A2951,Recipes!$A:$A,0)),"⚠ unknown recipe_id"))</f>
        <v/>
      </c>
      <c r="E2951" s="12" t="str">
        <f aca="false">IF(C2951="","",IFERROR(INDEX('Ingredient Catalog'!$C:$C,MATCH(C2951,'Ingredient Catalog'!$A:$A,0)),"⚠ not in catalog"))</f>
        <v/>
      </c>
      <c r="G2951" s="12" t="str">
        <f aca="false">IF(A2951="","",COUNTIFS('Weekly Log'!$A:$A,'Grocery List'!$B$3,'Weekly Log'!$C:$C,A2951,'Weekly Log'!$E:$E,"Yes"))</f>
        <v/>
      </c>
      <c r="H2951" s="12" t="str">
        <f aca="false">IF(OR(A2951="",D2951=""),"",D2951*G2951)</f>
        <v/>
      </c>
    </row>
    <row r="2952" customFormat="false" ht="15" hidden="false" customHeight="false" outlineLevel="0" collapsed="false">
      <c r="B2952" s="12" t="str">
        <f aca="false">IF(A2952="","",IFERROR(INDEX(Recipes!$B:$B,MATCH(A2952,Recipes!$A:$A,0)),"⚠ unknown recipe_id"))</f>
        <v/>
      </c>
      <c r="E2952" s="12" t="str">
        <f aca="false">IF(C2952="","",IFERROR(INDEX('Ingredient Catalog'!$C:$C,MATCH(C2952,'Ingredient Catalog'!$A:$A,0)),"⚠ not in catalog"))</f>
        <v/>
      </c>
      <c r="G2952" s="12" t="str">
        <f aca="false">IF(A2952="","",COUNTIFS('Weekly Log'!$A:$A,'Grocery List'!$B$3,'Weekly Log'!$C:$C,A2952,'Weekly Log'!$E:$E,"Yes"))</f>
        <v/>
      </c>
      <c r="H2952" s="12" t="str">
        <f aca="false">IF(OR(A2952="",D2952=""),"",D2952*G2952)</f>
        <v/>
      </c>
    </row>
    <row r="2953" customFormat="false" ht="15" hidden="false" customHeight="false" outlineLevel="0" collapsed="false">
      <c r="B2953" s="12" t="str">
        <f aca="false">IF(A2953="","",IFERROR(INDEX(Recipes!$B:$B,MATCH(A2953,Recipes!$A:$A,0)),"⚠ unknown recipe_id"))</f>
        <v/>
      </c>
      <c r="E2953" s="12" t="str">
        <f aca="false">IF(C2953="","",IFERROR(INDEX('Ingredient Catalog'!$C:$C,MATCH(C2953,'Ingredient Catalog'!$A:$A,0)),"⚠ not in catalog"))</f>
        <v/>
      </c>
      <c r="G2953" s="12" t="str">
        <f aca="false">IF(A2953="","",COUNTIFS('Weekly Log'!$A:$A,'Grocery List'!$B$3,'Weekly Log'!$C:$C,A2953,'Weekly Log'!$E:$E,"Yes"))</f>
        <v/>
      </c>
      <c r="H2953" s="12" t="str">
        <f aca="false">IF(OR(A2953="",D2953=""),"",D2953*G2953)</f>
        <v/>
      </c>
    </row>
    <row r="2954" customFormat="false" ht="15" hidden="false" customHeight="false" outlineLevel="0" collapsed="false">
      <c r="B2954" s="12" t="str">
        <f aca="false">IF(A2954="","",IFERROR(INDEX(Recipes!$B:$B,MATCH(A2954,Recipes!$A:$A,0)),"⚠ unknown recipe_id"))</f>
        <v/>
      </c>
      <c r="E2954" s="12" t="str">
        <f aca="false">IF(C2954="","",IFERROR(INDEX('Ingredient Catalog'!$C:$C,MATCH(C2954,'Ingredient Catalog'!$A:$A,0)),"⚠ not in catalog"))</f>
        <v/>
      </c>
      <c r="G2954" s="12" t="str">
        <f aca="false">IF(A2954="","",COUNTIFS('Weekly Log'!$A:$A,'Grocery List'!$B$3,'Weekly Log'!$C:$C,A2954,'Weekly Log'!$E:$E,"Yes"))</f>
        <v/>
      </c>
      <c r="H2954" s="12" t="str">
        <f aca="false">IF(OR(A2954="",D2954=""),"",D2954*G2954)</f>
        <v/>
      </c>
    </row>
    <row r="2955" customFormat="false" ht="15" hidden="false" customHeight="false" outlineLevel="0" collapsed="false">
      <c r="B2955" s="12" t="str">
        <f aca="false">IF(A2955="","",IFERROR(INDEX(Recipes!$B:$B,MATCH(A2955,Recipes!$A:$A,0)),"⚠ unknown recipe_id"))</f>
        <v/>
      </c>
      <c r="E2955" s="12" t="str">
        <f aca="false">IF(C2955="","",IFERROR(INDEX('Ingredient Catalog'!$C:$C,MATCH(C2955,'Ingredient Catalog'!$A:$A,0)),"⚠ not in catalog"))</f>
        <v/>
      </c>
      <c r="G2955" s="12" t="str">
        <f aca="false">IF(A2955="","",COUNTIFS('Weekly Log'!$A:$A,'Grocery List'!$B$3,'Weekly Log'!$C:$C,A2955,'Weekly Log'!$E:$E,"Yes"))</f>
        <v/>
      </c>
      <c r="H2955" s="12" t="str">
        <f aca="false">IF(OR(A2955="",D2955=""),"",D2955*G2955)</f>
        <v/>
      </c>
    </row>
    <row r="2956" customFormat="false" ht="15" hidden="false" customHeight="false" outlineLevel="0" collapsed="false">
      <c r="B2956" s="12" t="str">
        <f aca="false">IF(A2956="","",IFERROR(INDEX(Recipes!$B:$B,MATCH(A2956,Recipes!$A:$A,0)),"⚠ unknown recipe_id"))</f>
        <v/>
      </c>
      <c r="E2956" s="12" t="str">
        <f aca="false">IF(C2956="","",IFERROR(INDEX('Ingredient Catalog'!$C:$C,MATCH(C2956,'Ingredient Catalog'!$A:$A,0)),"⚠ not in catalog"))</f>
        <v/>
      </c>
      <c r="G2956" s="12" t="str">
        <f aca="false">IF(A2956="","",COUNTIFS('Weekly Log'!$A:$A,'Grocery List'!$B$3,'Weekly Log'!$C:$C,A2956,'Weekly Log'!$E:$E,"Yes"))</f>
        <v/>
      </c>
      <c r="H2956" s="12" t="str">
        <f aca="false">IF(OR(A2956="",D2956=""),"",D2956*G2956)</f>
        <v/>
      </c>
    </row>
    <row r="2957" customFormat="false" ht="15" hidden="false" customHeight="false" outlineLevel="0" collapsed="false">
      <c r="B2957" s="12" t="str">
        <f aca="false">IF(A2957="","",IFERROR(INDEX(Recipes!$B:$B,MATCH(A2957,Recipes!$A:$A,0)),"⚠ unknown recipe_id"))</f>
        <v/>
      </c>
      <c r="E2957" s="12" t="str">
        <f aca="false">IF(C2957="","",IFERROR(INDEX('Ingredient Catalog'!$C:$C,MATCH(C2957,'Ingredient Catalog'!$A:$A,0)),"⚠ not in catalog"))</f>
        <v/>
      </c>
      <c r="G2957" s="12" t="str">
        <f aca="false">IF(A2957="","",COUNTIFS('Weekly Log'!$A:$A,'Grocery List'!$B$3,'Weekly Log'!$C:$C,A2957,'Weekly Log'!$E:$E,"Yes"))</f>
        <v/>
      </c>
      <c r="H2957" s="12" t="str">
        <f aca="false">IF(OR(A2957="",D2957=""),"",D2957*G2957)</f>
        <v/>
      </c>
    </row>
    <row r="2958" customFormat="false" ht="15" hidden="false" customHeight="false" outlineLevel="0" collapsed="false">
      <c r="B2958" s="12" t="str">
        <f aca="false">IF(A2958="","",IFERROR(INDEX(Recipes!$B:$B,MATCH(A2958,Recipes!$A:$A,0)),"⚠ unknown recipe_id"))</f>
        <v/>
      </c>
      <c r="E2958" s="12" t="str">
        <f aca="false">IF(C2958="","",IFERROR(INDEX('Ingredient Catalog'!$C:$C,MATCH(C2958,'Ingredient Catalog'!$A:$A,0)),"⚠ not in catalog"))</f>
        <v/>
      </c>
      <c r="G2958" s="12" t="str">
        <f aca="false">IF(A2958="","",COUNTIFS('Weekly Log'!$A:$A,'Grocery List'!$B$3,'Weekly Log'!$C:$C,A2958,'Weekly Log'!$E:$E,"Yes"))</f>
        <v/>
      </c>
      <c r="H2958" s="12" t="str">
        <f aca="false">IF(OR(A2958="",D2958=""),"",D2958*G2958)</f>
        <v/>
      </c>
    </row>
    <row r="2959" customFormat="false" ht="15" hidden="false" customHeight="false" outlineLevel="0" collapsed="false">
      <c r="B2959" s="12" t="str">
        <f aca="false">IF(A2959="","",IFERROR(INDEX(Recipes!$B:$B,MATCH(A2959,Recipes!$A:$A,0)),"⚠ unknown recipe_id"))</f>
        <v/>
      </c>
      <c r="E2959" s="12" t="str">
        <f aca="false">IF(C2959="","",IFERROR(INDEX('Ingredient Catalog'!$C:$C,MATCH(C2959,'Ingredient Catalog'!$A:$A,0)),"⚠ not in catalog"))</f>
        <v/>
      </c>
      <c r="G2959" s="12" t="str">
        <f aca="false">IF(A2959="","",COUNTIFS('Weekly Log'!$A:$A,'Grocery List'!$B$3,'Weekly Log'!$C:$C,A2959,'Weekly Log'!$E:$E,"Yes"))</f>
        <v/>
      </c>
      <c r="H2959" s="12" t="str">
        <f aca="false">IF(OR(A2959="",D2959=""),"",D2959*G2959)</f>
        <v/>
      </c>
    </row>
    <row r="2960" customFormat="false" ht="15" hidden="false" customHeight="false" outlineLevel="0" collapsed="false">
      <c r="B2960" s="12" t="str">
        <f aca="false">IF(A2960="","",IFERROR(INDEX(Recipes!$B:$B,MATCH(A2960,Recipes!$A:$A,0)),"⚠ unknown recipe_id"))</f>
        <v/>
      </c>
      <c r="E2960" s="12" t="str">
        <f aca="false">IF(C2960="","",IFERROR(INDEX('Ingredient Catalog'!$C:$C,MATCH(C2960,'Ingredient Catalog'!$A:$A,0)),"⚠ not in catalog"))</f>
        <v/>
      </c>
      <c r="G2960" s="12" t="str">
        <f aca="false">IF(A2960="","",COUNTIFS('Weekly Log'!$A:$A,'Grocery List'!$B$3,'Weekly Log'!$C:$C,A2960,'Weekly Log'!$E:$E,"Yes"))</f>
        <v/>
      </c>
      <c r="H2960" s="12" t="str">
        <f aca="false">IF(OR(A2960="",D2960=""),"",D2960*G2960)</f>
        <v/>
      </c>
    </row>
    <row r="2961" customFormat="false" ht="15" hidden="false" customHeight="false" outlineLevel="0" collapsed="false">
      <c r="B2961" s="12" t="str">
        <f aca="false">IF(A2961="","",IFERROR(INDEX(Recipes!$B:$B,MATCH(A2961,Recipes!$A:$A,0)),"⚠ unknown recipe_id"))</f>
        <v/>
      </c>
      <c r="E2961" s="12" t="str">
        <f aca="false">IF(C2961="","",IFERROR(INDEX('Ingredient Catalog'!$C:$C,MATCH(C2961,'Ingredient Catalog'!$A:$A,0)),"⚠ not in catalog"))</f>
        <v/>
      </c>
      <c r="G2961" s="12" t="str">
        <f aca="false">IF(A2961="","",COUNTIFS('Weekly Log'!$A:$A,'Grocery List'!$B$3,'Weekly Log'!$C:$C,A2961,'Weekly Log'!$E:$E,"Yes"))</f>
        <v/>
      </c>
      <c r="H2961" s="12" t="str">
        <f aca="false">IF(OR(A2961="",D2961=""),"",D2961*G2961)</f>
        <v/>
      </c>
    </row>
    <row r="2962" customFormat="false" ht="15" hidden="false" customHeight="false" outlineLevel="0" collapsed="false">
      <c r="B2962" s="12" t="str">
        <f aca="false">IF(A2962="","",IFERROR(INDEX(Recipes!$B:$B,MATCH(A2962,Recipes!$A:$A,0)),"⚠ unknown recipe_id"))</f>
        <v/>
      </c>
      <c r="E2962" s="12" t="str">
        <f aca="false">IF(C2962="","",IFERROR(INDEX('Ingredient Catalog'!$C:$C,MATCH(C2962,'Ingredient Catalog'!$A:$A,0)),"⚠ not in catalog"))</f>
        <v/>
      </c>
      <c r="G2962" s="12" t="str">
        <f aca="false">IF(A2962="","",COUNTIFS('Weekly Log'!$A:$A,'Grocery List'!$B$3,'Weekly Log'!$C:$C,A2962,'Weekly Log'!$E:$E,"Yes"))</f>
        <v/>
      </c>
      <c r="H2962" s="12" t="str">
        <f aca="false">IF(OR(A2962="",D2962=""),"",D2962*G2962)</f>
        <v/>
      </c>
    </row>
    <row r="2963" customFormat="false" ht="15" hidden="false" customHeight="false" outlineLevel="0" collapsed="false">
      <c r="B2963" s="12" t="str">
        <f aca="false">IF(A2963="","",IFERROR(INDEX(Recipes!$B:$B,MATCH(A2963,Recipes!$A:$A,0)),"⚠ unknown recipe_id"))</f>
        <v/>
      </c>
      <c r="E2963" s="12" t="str">
        <f aca="false">IF(C2963="","",IFERROR(INDEX('Ingredient Catalog'!$C:$C,MATCH(C2963,'Ingredient Catalog'!$A:$A,0)),"⚠ not in catalog"))</f>
        <v/>
      </c>
      <c r="G2963" s="12" t="str">
        <f aca="false">IF(A2963="","",COUNTIFS('Weekly Log'!$A:$A,'Grocery List'!$B$3,'Weekly Log'!$C:$C,A2963,'Weekly Log'!$E:$E,"Yes"))</f>
        <v/>
      </c>
      <c r="H2963" s="12" t="str">
        <f aca="false">IF(OR(A2963="",D2963=""),"",D2963*G2963)</f>
        <v/>
      </c>
    </row>
    <row r="2964" customFormat="false" ht="15" hidden="false" customHeight="false" outlineLevel="0" collapsed="false">
      <c r="B2964" s="12" t="str">
        <f aca="false">IF(A2964="","",IFERROR(INDEX(Recipes!$B:$B,MATCH(A2964,Recipes!$A:$A,0)),"⚠ unknown recipe_id"))</f>
        <v/>
      </c>
      <c r="E2964" s="12" t="str">
        <f aca="false">IF(C2964="","",IFERROR(INDEX('Ingredient Catalog'!$C:$C,MATCH(C2964,'Ingredient Catalog'!$A:$A,0)),"⚠ not in catalog"))</f>
        <v/>
      </c>
      <c r="G2964" s="12" t="str">
        <f aca="false">IF(A2964="","",COUNTIFS('Weekly Log'!$A:$A,'Grocery List'!$B$3,'Weekly Log'!$C:$C,A2964,'Weekly Log'!$E:$E,"Yes"))</f>
        <v/>
      </c>
      <c r="H2964" s="12" t="str">
        <f aca="false">IF(OR(A2964="",D2964=""),"",D2964*G2964)</f>
        <v/>
      </c>
    </row>
    <row r="2965" customFormat="false" ht="15" hidden="false" customHeight="false" outlineLevel="0" collapsed="false">
      <c r="B2965" s="12" t="str">
        <f aca="false">IF(A2965="","",IFERROR(INDEX(Recipes!$B:$B,MATCH(A2965,Recipes!$A:$A,0)),"⚠ unknown recipe_id"))</f>
        <v/>
      </c>
      <c r="E2965" s="12" t="str">
        <f aca="false">IF(C2965="","",IFERROR(INDEX('Ingredient Catalog'!$C:$C,MATCH(C2965,'Ingredient Catalog'!$A:$A,0)),"⚠ not in catalog"))</f>
        <v/>
      </c>
      <c r="G2965" s="12" t="str">
        <f aca="false">IF(A2965="","",COUNTIFS('Weekly Log'!$A:$A,'Grocery List'!$B$3,'Weekly Log'!$C:$C,A2965,'Weekly Log'!$E:$E,"Yes"))</f>
        <v/>
      </c>
      <c r="H2965" s="12" t="str">
        <f aca="false">IF(OR(A2965="",D2965=""),"",D2965*G2965)</f>
        <v/>
      </c>
    </row>
    <row r="2966" customFormat="false" ht="15" hidden="false" customHeight="false" outlineLevel="0" collapsed="false">
      <c r="B2966" s="12" t="str">
        <f aca="false">IF(A2966="","",IFERROR(INDEX(Recipes!$B:$B,MATCH(A2966,Recipes!$A:$A,0)),"⚠ unknown recipe_id"))</f>
        <v/>
      </c>
      <c r="E2966" s="12" t="str">
        <f aca="false">IF(C2966="","",IFERROR(INDEX('Ingredient Catalog'!$C:$C,MATCH(C2966,'Ingredient Catalog'!$A:$A,0)),"⚠ not in catalog"))</f>
        <v/>
      </c>
      <c r="G2966" s="12" t="str">
        <f aca="false">IF(A2966="","",COUNTIFS('Weekly Log'!$A:$A,'Grocery List'!$B$3,'Weekly Log'!$C:$C,A2966,'Weekly Log'!$E:$E,"Yes"))</f>
        <v/>
      </c>
      <c r="H2966" s="12" t="str">
        <f aca="false">IF(OR(A2966="",D2966=""),"",D2966*G2966)</f>
        <v/>
      </c>
    </row>
    <row r="2967" customFormat="false" ht="15" hidden="false" customHeight="false" outlineLevel="0" collapsed="false">
      <c r="B2967" s="12" t="str">
        <f aca="false">IF(A2967="","",IFERROR(INDEX(Recipes!$B:$B,MATCH(A2967,Recipes!$A:$A,0)),"⚠ unknown recipe_id"))</f>
        <v/>
      </c>
      <c r="E2967" s="12" t="str">
        <f aca="false">IF(C2967="","",IFERROR(INDEX('Ingredient Catalog'!$C:$C,MATCH(C2967,'Ingredient Catalog'!$A:$A,0)),"⚠ not in catalog"))</f>
        <v/>
      </c>
      <c r="G2967" s="12" t="str">
        <f aca="false">IF(A2967="","",COUNTIFS('Weekly Log'!$A:$A,'Grocery List'!$B$3,'Weekly Log'!$C:$C,A2967,'Weekly Log'!$E:$E,"Yes"))</f>
        <v/>
      </c>
      <c r="H2967" s="12" t="str">
        <f aca="false">IF(OR(A2967="",D2967=""),"",D2967*G2967)</f>
        <v/>
      </c>
    </row>
    <row r="2968" customFormat="false" ht="15" hidden="false" customHeight="false" outlineLevel="0" collapsed="false">
      <c r="B2968" s="12" t="str">
        <f aca="false">IF(A2968="","",IFERROR(INDEX(Recipes!$B:$B,MATCH(A2968,Recipes!$A:$A,0)),"⚠ unknown recipe_id"))</f>
        <v/>
      </c>
      <c r="E2968" s="12" t="str">
        <f aca="false">IF(C2968="","",IFERROR(INDEX('Ingredient Catalog'!$C:$C,MATCH(C2968,'Ingredient Catalog'!$A:$A,0)),"⚠ not in catalog"))</f>
        <v/>
      </c>
      <c r="G2968" s="12" t="str">
        <f aca="false">IF(A2968="","",COUNTIFS('Weekly Log'!$A:$A,'Grocery List'!$B$3,'Weekly Log'!$C:$C,A2968,'Weekly Log'!$E:$E,"Yes"))</f>
        <v/>
      </c>
      <c r="H2968" s="12" t="str">
        <f aca="false">IF(OR(A2968="",D2968=""),"",D2968*G2968)</f>
        <v/>
      </c>
    </row>
    <row r="2969" customFormat="false" ht="15" hidden="false" customHeight="false" outlineLevel="0" collapsed="false">
      <c r="B2969" s="12" t="str">
        <f aca="false">IF(A2969="","",IFERROR(INDEX(Recipes!$B:$B,MATCH(A2969,Recipes!$A:$A,0)),"⚠ unknown recipe_id"))</f>
        <v/>
      </c>
      <c r="E2969" s="12" t="str">
        <f aca="false">IF(C2969="","",IFERROR(INDEX('Ingredient Catalog'!$C:$C,MATCH(C2969,'Ingredient Catalog'!$A:$A,0)),"⚠ not in catalog"))</f>
        <v/>
      </c>
      <c r="G2969" s="12" t="str">
        <f aca="false">IF(A2969="","",COUNTIFS('Weekly Log'!$A:$A,'Grocery List'!$B$3,'Weekly Log'!$C:$C,A2969,'Weekly Log'!$E:$E,"Yes"))</f>
        <v/>
      </c>
      <c r="H2969" s="12" t="str">
        <f aca="false">IF(OR(A2969="",D2969=""),"",D2969*G2969)</f>
        <v/>
      </c>
    </row>
    <row r="2970" customFormat="false" ht="15" hidden="false" customHeight="false" outlineLevel="0" collapsed="false">
      <c r="B2970" s="12" t="str">
        <f aca="false">IF(A2970="","",IFERROR(INDEX(Recipes!$B:$B,MATCH(A2970,Recipes!$A:$A,0)),"⚠ unknown recipe_id"))</f>
        <v/>
      </c>
      <c r="E2970" s="12" t="str">
        <f aca="false">IF(C2970="","",IFERROR(INDEX('Ingredient Catalog'!$C:$C,MATCH(C2970,'Ingredient Catalog'!$A:$A,0)),"⚠ not in catalog"))</f>
        <v/>
      </c>
      <c r="G2970" s="12" t="str">
        <f aca="false">IF(A2970="","",COUNTIFS('Weekly Log'!$A:$A,'Grocery List'!$B$3,'Weekly Log'!$C:$C,A2970,'Weekly Log'!$E:$E,"Yes"))</f>
        <v/>
      </c>
      <c r="H2970" s="12" t="str">
        <f aca="false">IF(OR(A2970="",D2970=""),"",D2970*G2970)</f>
        <v/>
      </c>
    </row>
    <row r="2971" customFormat="false" ht="15" hidden="false" customHeight="false" outlineLevel="0" collapsed="false">
      <c r="B2971" s="12" t="str">
        <f aca="false">IF(A2971="","",IFERROR(INDEX(Recipes!$B:$B,MATCH(A2971,Recipes!$A:$A,0)),"⚠ unknown recipe_id"))</f>
        <v/>
      </c>
      <c r="E2971" s="12" t="str">
        <f aca="false">IF(C2971="","",IFERROR(INDEX('Ingredient Catalog'!$C:$C,MATCH(C2971,'Ingredient Catalog'!$A:$A,0)),"⚠ not in catalog"))</f>
        <v/>
      </c>
      <c r="G2971" s="12" t="str">
        <f aca="false">IF(A2971="","",COUNTIFS('Weekly Log'!$A:$A,'Grocery List'!$B$3,'Weekly Log'!$C:$C,A2971,'Weekly Log'!$E:$E,"Yes"))</f>
        <v/>
      </c>
      <c r="H2971" s="12" t="str">
        <f aca="false">IF(OR(A2971="",D2971=""),"",D2971*G2971)</f>
        <v/>
      </c>
    </row>
    <row r="2972" customFormat="false" ht="15" hidden="false" customHeight="false" outlineLevel="0" collapsed="false">
      <c r="B2972" s="12" t="str">
        <f aca="false">IF(A2972="","",IFERROR(INDEX(Recipes!$B:$B,MATCH(A2972,Recipes!$A:$A,0)),"⚠ unknown recipe_id"))</f>
        <v/>
      </c>
      <c r="E2972" s="12" t="str">
        <f aca="false">IF(C2972="","",IFERROR(INDEX('Ingredient Catalog'!$C:$C,MATCH(C2972,'Ingredient Catalog'!$A:$A,0)),"⚠ not in catalog"))</f>
        <v/>
      </c>
      <c r="G2972" s="12" t="str">
        <f aca="false">IF(A2972="","",COUNTIFS('Weekly Log'!$A:$A,'Grocery List'!$B$3,'Weekly Log'!$C:$C,A2972,'Weekly Log'!$E:$E,"Yes"))</f>
        <v/>
      </c>
      <c r="H2972" s="12" t="str">
        <f aca="false">IF(OR(A2972="",D2972=""),"",D2972*G2972)</f>
        <v/>
      </c>
    </row>
    <row r="2973" customFormat="false" ht="15" hidden="false" customHeight="false" outlineLevel="0" collapsed="false">
      <c r="B2973" s="12" t="str">
        <f aca="false">IF(A2973="","",IFERROR(INDEX(Recipes!$B:$B,MATCH(A2973,Recipes!$A:$A,0)),"⚠ unknown recipe_id"))</f>
        <v/>
      </c>
      <c r="E2973" s="12" t="str">
        <f aca="false">IF(C2973="","",IFERROR(INDEX('Ingredient Catalog'!$C:$C,MATCH(C2973,'Ingredient Catalog'!$A:$A,0)),"⚠ not in catalog"))</f>
        <v/>
      </c>
      <c r="G2973" s="12" t="str">
        <f aca="false">IF(A2973="","",COUNTIFS('Weekly Log'!$A:$A,'Grocery List'!$B$3,'Weekly Log'!$C:$C,A2973,'Weekly Log'!$E:$E,"Yes"))</f>
        <v/>
      </c>
      <c r="H2973" s="12" t="str">
        <f aca="false">IF(OR(A2973="",D2973=""),"",D2973*G2973)</f>
        <v/>
      </c>
    </row>
    <row r="2974" customFormat="false" ht="15" hidden="false" customHeight="false" outlineLevel="0" collapsed="false">
      <c r="B2974" s="12" t="str">
        <f aca="false">IF(A2974="","",IFERROR(INDEX(Recipes!$B:$B,MATCH(A2974,Recipes!$A:$A,0)),"⚠ unknown recipe_id"))</f>
        <v/>
      </c>
      <c r="E2974" s="12" t="str">
        <f aca="false">IF(C2974="","",IFERROR(INDEX('Ingredient Catalog'!$C:$C,MATCH(C2974,'Ingredient Catalog'!$A:$A,0)),"⚠ not in catalog"))</f>
        <v/>
      </c>
      <c r="G2974" s="12" t="str">
        <f aca="false">IF(A2974="","",COUNTIFS('Weekly Log'!$A:$A,'Grocery List'!$B$3,'Weekly Log'!$C:$C,A2974,'Weekly Log'!$E:$E,"Yes"))</f>
        <v/>
      </c>
      <c r="H2974" s="12" t="str">
        <f aca="false">IF(OR(A2974="",D2974=""),"",D2974*G2974)</f>
        <v/>
      </c>
    </row>
    <row r="2975" customFormat="false" ht="15" hidden="false" customHeight="false" outlineLevel="0" collapsed="false">
      <c r="B2975" s="12" t="str">
        <f aca="false">IF(A2975="","",IFERROR(INDEX(Recipes!$B:$B,MATCH(A2975,Recipes!$A:$A,0)),"⚠ unknown recipe_id"))</f>
        <v/>
      </c>
      <c r="E2975" s="12" t="str">
        <f aca="false">IF(C2975="","",IFERROR(INDEX('Ingredient Catalog'!$C:$C,MATCH(C2975,'Ingredient Catalog'!$A:$A,0)),"⚠ not in catalog"))</f>
        <v/>
      </c>
      <c r="G2975" s="12" t="str">
        <f aca="false">IF(A2975="","",COUNTIFS('Weekly Log'!$A:$A,'Grocery List'!$B$3,'Weekly Log'!$C:$C,A2975,'Weekly Log'!$E:$E,"Yes"))</f>
        <v/>
      </c>
      <c r="H2975" s="12" t="str">
        <f aca="false">IF(OR(A2975="",D2975=""),"",D2975*G2975)</f>
        <v/>
      </c>
    </row>
    <row r="2976" customFormat="false" ht="15" hidden="false" customHeight="false" outlineLevel="0" collapsed="false">
      <c r="B2976" s="12" t="str">
        <f aca="false">IF(A2976="","",IFERROR(INDEX(Recipes!$B:$B,MATCH(A2976,Recipes!$A:$A,0)),"⚠ unknown recipe_id"))</f>
        <v/>
      </c>
      <c r="E2976" s="12" t="str">
        <f aca="false">IF(C2976="","",IFERROR(INDEX('Ingredient Catalog'!$C:$C,MATCH(C2976,'Ingredient Catalog'!$A:$A,0)),"⚠ not in catalog"))</f>
        <v/>
      </c>
      <c r="G2976" s="12" t="str">
        <f aca="false">IF(A2976="","",COUNTIFS('Weekly Log'!$A:$A,'Grocery List'!$B$3,'Weekly Log'!$C:$C,A2976,'Weekly Log'!$E:$E,"Yes"))</f>
        <v/>
      </c>
      <c r="H2976" s="12" t="str">
        <f aca="false">IF(OR(A2976="",D2976=""),"",D2976*G2976)</f>
        <v/>
      </c>
    </row>
    <row r="2977" customFormat="false" ht="15" hidden="false" customHeight="false" outlineLevel="0" collapsed="false">
      <c r="B2977" s="12" t="str">
        <f aca="false">IF(A2977="","",IFERROR(INDEX(Recipes!$B:$B,MATCH(A2977,Recipes!$A:$A,0)),"⚠ unknown recipe_id"))</f>
        <v/>
      </c>
      <c r="E2977" s="12" t="str">
        <f aca="false">IF(C2977="","",IFERROR(INDEX('Ingredient Catalog'!$C:$C,MATCH(C2977,'Ingredient Catalog'!$A:$A,0)),"⚠ not in catalog"))</f>
        <v/>
      </c>
      <c r="G2977" s="12" t="str">
        <f aca="false">IF(A2977="","",COUNTIFS('Weekly Log'!$A:$A,'Grocery List'!$B$3,'Weekly Log'!$C:$C,A2977,'Weekly Log'!$E:$E,"Yes"))</f>
        <v/>
      </c>
      <c r="H2977" s="12" t="str">
        <f aca="false">IF(OR(A2977="",D2977=""),"",D2977*G2977)</f>
        <v/>
      </c>
    </row>
    <row r="2978" customFormat="false" ht="15" hidden="false" customHeight="false" outlineLevel="0" collapsed="false">
      <c r="B2978" s="12" t="str">
        <f aca="false">IF(A2978="","",IFERROR(INDEX(Recipes!$B:$B,MATCH(A2978,Recipes!$A:$A,0)),"⚠ unknown recipe_id"))</f>
        <v/>
      </c>
      <c r="E2978" s="12" t="str">
        <f aca="false">IF(C2978="","",IFERROR(INDEX('Ingredient Catalog'!$C:$C,MATCH(C2978,'Ingredient Catalog'!$A:$A,0)),"⚠ not in catalog"))</f>
        <v/>
      </c>
      <c r="G2978" s="12" t="str">
        <f aca="false">IF(A2978="","",COUNTIFS('Weekly Log'!$A:$A,'Grocery List'!$B$3,'Weekly Log'!$C:$C,A2978,'Weekly Log'!$E:$E,"Yes"))</f>
        <v/>
      </c>
      <c r="H2978" s="12" t="str">
        <f aca="false">IF(OR(A2978="",D2978=""),"",D2978*G2978)</f>
        <v/>
      </c>
    </row>
    <row r="2979" customFormat="false" ht="15" hidden="false" customHeight="false" outlineLevel="0" collapsed="false">
      <c r="B2979" s="12" t="str">
        <f aca="false">IF(A2979="","",IFERROR(INDEX(Recipes!$B:$B,MATCH(A2979,Recipes!$A:$A,0)),"⚠ unknown recipe_id"))</f>
        <v/>
      </c>
      <c r="E2979" s="12" t="str">
        <f aca="false">IF(C2979="","",IFERROR(INDEX('Ingredient Catalog'!$C:$C,MATCH(C2979,'Ingredient Catalog'!$A:$A,0)),"⚠ not in catalog"))</f>
        <v/>
      </c>
      <c r="G2979" s="12" t="str">
        <f aca="false">IF(A2979="","",COUNTIFS('Weekly Log'!$A:$A,'Grocery List'!$B$3,'Weekly Log'!$C:$C,A2979,'Weekly Log'!$E:$E,"Yes"))</f>
        <v/>
      </c>
      <c r="H2979" s="12" t="str">
        <f aca="false">IF(OR(A2979="",D2979=""),"",D2979*G2979)</f>
        <v/>
      </c>
    </row>
    <row r="2980" customFormat="false" ht="15" hidden="false" customHeight="false" outlineLevel="0" collapsed="false">
      <c r="B2980" s="12" t="str">
        <f aca="false">IF(A2980="","",IFERROR(INDEX(Recipes!$B:$B,MATCH(A2980,Recipes!$A:$A,0)),"⚠ unknown recipe_id"))</f>
        <v/>
      </c>
      <c r="E2980" s="12" t="str">
        <f aca="false">IF(C2980="","",IFERROR(INDEX('Ingredient Catalog'!$C:$C,MATCH(C2980,'Ingredient Catalog'!$A:$A,0)),"⚠ not in catalog"))</f>
        <v/>
      </c>
      <c r="G2980" s="12" t="str">
        <f aca="false">IF(A2980="","",COUNTIFS('Weekly Log'!$A:$A,'Grocery List'!$B$3,'Weekly Log'!$C:$C,A2980,'Weekly Log'!$E:$E,"Yes"))</f>
        <v/>
      </c>
      <c r="H2980" s="12" t="str">
        <f aca="false">IF(OR(A2980="",D2980=""),"",D2980*G2980)</f>
        <v/>
      </c>
    </row>
    <row r="2981" customFormat="false" ht="15" hidden="false" customHeight="false" outlineLevel="0" collapsed="false">
      <c r="B2981" s="12" t="str">
        <f aca="false">IF(A2981="","",IFERROR(INDEX(Recipes!$B:$B,MATCH(A2981,Recipes!$A:$A,0)),"⚠ unknown recipe_id"))</f>
        <v/>
      </c>
      <c r="E2981" s="12" t="str">
        <f aca="false">IF(C2981="","",IFERROR(INDEX('Ingredient Catalog'!$C:$C,MATCH(C2981,'Ingredient Catalog'!$A:$A,0)),"⚠ not in catalog"))</f>
        <v/>
      </c>
      <c r="G2981" s="12" t="str">
        <f aca="false">IF(A2981="","",COUNTIFS('Weekly Log'!$A:$A,'Grocery List'!$B$3,'Weekly Log'!$C:$C,A2981,'Weekly Log'!$E:$E,"Yes"))</f>
        <v/>
      </c>
      <c r="H2981" s="12" t="str">
        <f aca="false">IF(OR(A2981="",D2981=""),"",D2981*G2981)</f>
        <v/>
      </c>
    </row>
    <row r="2982" customFormat="false" ht="15" hidden="false" customHeight="false" outlineLevel="0" collapsed="false">
      <c r="B2982" s="12" t="str">
        <f aca="false">IF(A2982="","",IFERROR(INDEX(Recipes!$B:$B,MATCH(A2982,Recipes!$A:$A,0)),"⚠ unknown recipe_id"))</f>
        <v/>
      </c>
      <c r="E2982" s="12" t="str">
        <f aca="false">IF(C2982="","",IFERROR(INDEX('Ingredient Catalog'!$C:$C,MATCH(C2982,'Ingredient Catalog'!$A:$A,0)),"⚠ not in catalog"))</f>
        <v/>
      </c>
      <c r="G2982" s="12" t="str">
        <f aca="false">IF(A2982="","",COUNTIFS('Weekly Log'!$A:$A,'Grocery List'!$B$3,'Weekly Log'!$C:$C,A2982,'Weekly Log'!$E:$E,"Yes"))</f>
        <v/>
      </c>
      <c r="H2982" s="12" t="str">
        <f aca="false">IF(OR(A2982="",D2982=""),"",D2982*G2982)</f>
        <v/>
      </c>
    </row>
    <row r="2983" customFormat="false" ht="15" hidden="false" customHeight="false" outlineLevel="0" collapsed="false">
      <c r="B2983" s="12" t="str">
        <f aca="false">IF(A2983="","",IFERROR(INDEX(Recipes!$B:$B,MATCH(A2983,Recipes!$A:$A,0)),"⚠ unknown recipe_id"))</f>
        <v/>
      </c>
      <c r="E2983" s="12" t="str">
        <f aca="false">IF(C2983="","",IFERROR(INDEX('Ingredient Catalog'!$C:$C,MATCH(C2983,'Ingredient Catalog'!$A:$A,0)),"⚠ not in catalog"))</f>
        <v/>
      </c>
      <c r="G2983" s="12" t="str">
        <f aca="false">IF(A2983="","",COUNTIFS('Weekly Log'!$A:$A,'Grocery List'!$B$3,'Weekly Log'!$C:$C,A2983,'Weekly Log'!$E:$E,"Yes"))</f>
        <v/>
      </c>
      <c r="H2983" s="12" t="str">
        <f aca="false">IF(OR(A2983="",D2983=""),"",D2983*G2983)</f>
        <v/>
      </c>
    </row>
    <row r="2984" customFormat="false" ht="15" hidden="false" customHeight="false" outlineLevel="0" collapsed="false">
      <c r="B2984" s="12" t="str">
        <f aca="false">IF(A2984="","",IFERROR(INDEX(Recipes!$B:$B,MATCH(A2984,Recipes!$A:$A,0)),"⚠ unknown recipe_id"))</f>
        <v/>
      </c>
      <c r="E2984" s="12" t="str">
        <f aca="false">IF(C2984="","",IFERROR(INDEX('Ingredient Catalog'!$C:$C,MATCH(C2984,'Ingredient Catalog'!$A:$A,0)),"⚠ not in catalog"))</f>
        <v/>
      </c>
      <c r="G2984" s="12" t="str">
        <f aca="false">IF(A2984="","",COUNTIFS('Weekly Log'!$A:$A,'Grocery List'!$B$3,'Weekly Log'!$C:$C,A2984,'Weekly Log'!$E:$E,"Yes"))</f>
        <v/>
      </c>
      <c r="H2984" s="12" t="str">
        <f aca="false">IF(OR(A2984="",D2984=""),"",D2984*G2984)</f>
        <v/>
      </c>
    </row>
    <row r="2985" customFormat="false" ht="15" hidden="false" customHeight="false" outlineLevel="0" collapsed="false">
      <c r="B2985" s="12" t="str">
        <f aca="false">IF(A2985="","",IFERROR(INDEX(Recipes!$B:$B,MATCH(A2985,Recipes!$A:$A,0)),"⚠ unknown recipe_id"))</f>
        <v/>
      </c>
      <c r="E2985" s="12" t="str">
        <f aca="false">IF(C2985="","",IFERROR(INDEX('Ingredient Catalog'!$C:$C,MATCH(C2985,'Ingredient Catalog'!$A:$A,0)),"⚠ not in catalog"))</f>
        <v/>
      </c>
      <c r="G2985" s="12" t="str">
        <f aca="false">IF(A2985="","",COUNTIFS('Weekly Log'!$A:$A,'Grocery List'!$B$3,'Weekly Log'!$C:$C,A2985,'Weekly Log'!$E:$E,"Yes"))</f>
        <v/>
      </c>
      <c r="H2985" s="12" t="str">
        <f aca="false">IF(OR(A2985="",D2985=""),"",D2985*G2985)</f>
        <v/>
      </c>
    </row>
    <row r="2986" customFormat="false" ht="15" hidden="false" customHeight="false" outlineLevel="0" collapsed="false">
      <c r="B2986" s="12" t="str">
        <f aca="false">IF(A2986="","",IFERROR(INDEX(Recipes!$B:$B,MATCH(A2986,Recipes!$A:$A,0)),"⚠ unknown recipe_id"))</f>
        <v/>
      </c>
      <c r="E2986" s="12" t="str">
        <f aca="false">IF(C2986="","",IFERROR(INDEX('Ingredient Catalog'!$C:$C,MATCH(C2986,'Ingredient Catalog'!$A:$A,0)),"⚠ not in catalog"))</f>
        <v/>
      </c>
      <c r="G2986" s="12" t="str">
        <f aca="false">IF(A2986="","",COUNTIFS('Weekly Log'!$A:$A,'Grocery List'!$B$3,'Weekly Log'!$C:$C,A2986,'Weekly Log'!$E:$E,"Yes"))</f>
        <v/>
      </c>
      <c r="H2986" s="12" t="str">
        <f aca="false">IF(OR(A2986="",D2986=""),"",D2986*G2986)</f>
        <v/>
      </c>
    </row>
    <row r="2987" customFormat="false" ht="15" hidden="false" customHeight="false" outlineLevel="0" collapsed="false">
      <c r="B2987" s="12" t="str">
        <f aca="false">IF(A2987="","",IFERROR(INDEX(Recipes!$B:$B,MATCH(A2987,Recipes!$A:$A,0)),"⚠ unknown recipe_id"))</f>
        <v/>
      </c>
      <c r="E2987" s="12" t="str">
        <f aca="false">IF(C2987="","",IFERROR(INDEX('Ingredient Catalog'!$C:$C,MATCH(C2987,'Ingredient Catalog'!$A:$A,0)),"⚠ not in catalog"))</f>
        <v/>
      </c>
      <c r="G2987" s="12" t="str">
        <f aca="false">IF(A2987="","",COUNTIFS('Weekly Log'!$A:$A,'Grocery List'!$B$3,'Weekly Log'!$C:$C,A2987,'Weekly Log'!$E:$E,"Yes"))</f>
        <v/>
      </c>
      <c r="H2987" s="12" t="str">
        <f aca="false">IF(OR(A2987="",D2987=""),"",D2987*G2987)</f>
        <v/>
      </c>
    </row>
    <row r="2988" customFormat="false" ht="15" hidden="false" customHeight="false" outlineLevel="0" collapsed="false">
      <c r="B2988" s="12" t="str">
        <f aca="false">IF(A2988="","",IFERROR(INDEX(Recipes!$B:$B,MATCH(A2988,Recipes!$A:$A,0)),"⚠ unknown recipe_id"))</f>
        <v/>
      </c>
      <c r="E2988" s="12" t="str">
        <f aca="false">IF(C2988="","",IFERROR(INDEX('Ingredient Catalog'!$C:$C,MATCH(C2988,'Ingredient Catalog'!$A:$A,0)),"⚠ not in catalog"))</f>
        <v/>
      </c>
      <c r="G2988" s="12" t="str">
        <f aca="false">IF(A2988="","",COUNTIFS('Weekly Log'!$A:$A,'Grocery List'!$B$3,'Weekly Log'!$C:$C,A2988,'Weekly Log'!$E:$E,"Yes"))</f>
        <v/>
      </c>
      <c r="H2988" s="12" t="str">
        <f aca="false">IF(OR(A2988="",D2988=""),"",D2988*G2988)</f>
        <v/>
      </c>
    </row>
    <row r="2989" customFormat="false" ht="15" hidden="false" customHeight="false" outlineLevel="0" collapsed="false">
      <c r="B2989" s="12" t="str">
        <f aca="false">IF(A2989="","",IFERROR(INDEX(Recipes!$B:$B,MATCH(A2989,Recipes!$A:$A,0)),"⚠ unknown recipe_id"))</f>
        <v/>
      </c>
      <c r="E2989" s="12" t="str">
        <f aca="false">IF(C2989="","",IFERROR(INDEX('Ingredient Catalog'!$C:$C,MATCH(C2989,'Ingredient Catalog'!$A:$A,0)),"⚠ not in catalog"))</f>
        <v/>
      </c>
      <c r="G2989" s="12" t="str">
        <f aca="false">IF(A2989="","",COUNTIFS('Weekly Log'!$A:$A,'Grocery List'!$B$3,'Weekly Log'!$C:$C,A2989,'Weekly Log'!$E:$E,"Yes"))</f>
        <v/>
      </c>
      <c r="H2989" s="12" t="str">
        <f aca="false">IF(OR(A2989="",D2989=""),"",D2989*G2989)</f>
        <v/>
      </c>
    </row>
    <row r="2990" customFormat="false" ht="15" hidden="false" customHeight="false" outlineLevel="0" collapsed="false">
      <c r="B2990" s="12" t="str">
        <f aca="false">IF(A2990="","",IFERROR(INDEX(Recipes!$B:$B,MATCH(A2990,Recipes!$A:$A,0)),"⚠ unknown recipe_id"))</f>
        <v/>
      </c>
      <c r="E2990" s="12" t="str">
        <f aca="false">IF(C2990="","",IFERROR(INDEX('Ingredient Catalog'!$C:$C,MATCH(C2990,'Ingredient Catalog'!$A:$A,0)),"⚠ not in catalog"))</f>
        <v/>
      </c>
      <c r="G2990" s="12" t="str">
        <f aca="false">IF(A2990="","",COUNTIFS('Weekly Log'!$A:$A,'Grocery List'!$B$3,'Weekly Log'!$C:$C,A2990,'Weekly Log'!$E:$E,"Yes"))</f>
        <v/>
      </c>
      <c r="H2990" s="12" t="str">
        <f aca="false">IF(OR(A2990="",D2990=""),"",D2990*G2990)</f>
        <v/>
      </c>
    </row>
    <row r="2991" customFormat="false" ht="15" hidden="false" customHeight="false" outlineLevel="0" collapsed="false">
      <c r="B2991" s="12" t="str">
        <f aca="false">IF(A2991="","",IFERROR(INDEX(Recipes!$B:$B,MATCH(A2991,Recipes!$A:$A,0)),"⚠ unknown recipe_id"))</f>
        <v/>
      </c>
      <c r="E2991" s="12" t="str">
        <f aca="false">IF(C2991="","",IFERROR(INDEX('Ingredient Catalog'!$C:$C,MATCH(C2991,'Ingredient Catalog'!$A:$A,0)),"⚠ not in catalog"))</f>
        <v/>
      </c>
      <c r="G2991" s="12" t="str">
        <f aca="false">IF(A2991="","",COUNTIFS('Weekly Log'!$A:$A,'Grocery List'!$B$3,'Weekly Log'!$C:$C,A2991,'Weekly Log'!$E:$E,"Yes"))</f>
        <v/>
      </c>
      <c r="H2991" s="12" t="str">
        <f aca="false">IF(OR(A2991="",D2991=""),"",D2991*G2991)</f>
        <v/>
      </c>
    </row>
    <row r="2992" customFormat="false" ht="15" hidden="false" customHeight="false" outlineLevel="0" collapsed="false">
      <c r="B2992" s="12" t="str">
        <f aca="false">IF(A2992="","",IFERROR(INDEX(Recipes!$B:$B,MATCH(A2992,Recipes!$A:$A,0)),"⚠ unknown recipe_id"))</f>
        <v/>
      </c>
      <c r="E2992" s="12" t="str">
        <f aca="false">IF(C2992="","",IFERROR(INDEX('Ingredient Catalog'!$C:$C,MATCH(C2992,'Ingredient Catalog'!$A:$A,0)),"⚠ not in catalog"))</f>
        <v/>
      </c>
      <c r="G2992" s="12" t="str">
        <f aca="false">IF(A2992="","",COUNTIFS('Weekly Log'!$A:$A,'Grocery List'!$B$3,'Weekly Log'!$C:$C,A2992,'Weekly Log'!$E:$E,"Yes"))</f>
        <v/>
      </c>
      <c r="H2992" s="12" t="str">
        <f aca="false">IF(OR(A2992="",D2992=""),"",D2992*G2992)</f>
        <v/>
      </c>
    </row>
    <row r="2993" customFormat="false" ht="15" hidden="false" customHeight="false" outlineLevel="0" collapsed="false">
      <c r="B2993" s="12" t="str">
        <f aca="false">IF(A2993="","",IFERROR(INDEX(Recipes!$B:$B,MATCH(A2993,Recipes!$A:$A,0)),"⚠ unknown recipe_id"))</f>
        <v/>
      </c>
      <c r="E2993" s="12" t="str">
        <f aca="false">IF(C2993="","",IFERROR(INDEX('Ingredient Catalog'!$C:$C,MATCH(C2993,'Ingredient Catalog'!$A:$A,0)),"⚠ not in catalog"))</f>
        <v/>
      </c>
      <c r="G2993" s="12" t="str">
        <f aca="false">IF(A2993="","",COUNTIFS('Weekly Log'!$A:$A,'Grocery List'!$B$3,'Weekly Log'!$C:$C,A2993,'Weekly Log'!$E:$E,"Yes"))</f>
        <v/>
      </c>
      <c r="H2993" s="12" t="str">
        <f aca="false">IF(OR(A2993="",D2993=""),"",D2993*G2993)</f>
        <v/>
      </c>
    </row>
    <row r="2994" customFormat="false" ht="15" hidden="false" customHeight="false" outlineLevel="0" collapsed="false">
      <c r="B2994" s="12" t="str">
        <f aca="false">IF(A2994="","",IFERROR(INDEX(Recipes!$B:$B,MATCH(A2994,Recipes!$A:$A,0)),"⚠ unknown recipe_id"))</f>
        <v/>
      </c>
      <c r="E2994" s="12" t="str">
        <f aca="false">IF(C2994="","",IFERROR(INDEX('Ingredient Catalog'!$C:$C,MATCH(C2994,'Ingredient Catalog'!$A:$A,0)),"⚠ not in catalog"))</f>
        <v/>
      </c>
      <c r="G2994" s="12" t="str">
        <f aca="false">IF(A2994="","",COUNTIFS('Weekly Log'!$A:$A,'Grocery List'!$B$3,'Weekly Log'!$C:$C,A2994,'Weekly Log'!$E:$E,"Yes"))</f>
        <v/>
      </c>
      <c r="H2994" s="12" t="str">
        <f aca="false">IF(OR(A2994="",D2994=""),"",D2994*G2994)</f>
        <v/>
      </c>
    </row>
    <row r="2995" customFormat="false" ht="15" hidden="false" customHeight="false" outlineLevel="0" collapsed="false">
      <c r="B2995" s="12" t="str">
        <f aca="false">IF(A2995="","",IFERROR(INDEX(Recipes!$B:$B,MATCH(A2995,Recipes!$A:$A,0)),"⚠ unknown recipe_id"))</f>
        <v/>
      </c>
      <c r="E2995" s="12" t="str">
        <f aca="false">IF(C2995="","",IFERROR(INDEX('Ingredient Catalog'!$C:$C,MATCH(C2995,'Ingredient Catalog'!$A:$A,0)),"⚠ not in catalog"))</f>
        <v/>
      </c>
      <c r="G2995" s="12" t="str">
        <f aca="false">IF(A2995="","",COUNTIFS('Weekly Log'!$A:$A,'Grocery List'!$B$3,'Weekly Log'!$C:$C,A2995,'Weekly Log'!$E:$E,"Yes"))</f>
        <v/>
      </c>
      <c r="H2995" s="12" t="str">
        <f aca="false">IF(OR(A2995="",D2995=""),"",D2995*G2995)</f>
        <v/>
      </c>
    </row>
    <row r="2996" customFormat="false" ht="15" hidden="false" customHeight="false" outlineLevel="0" collapsed="false">
      <c r="B2996" s="12" t="str">
        <f aca="false">IF(A2996="","",IFERROR(INDEX(Recipes!$B:$B,MATCH(A2996,Recipes!$A:$A,0)),"⚠ unknown recipe_id"))</f>
        <v/>
      </c>
      <c r="E2996" s="12" t="str">
        <f aca="false">IF(C2996="","",IFERROR(INDEX('Ingredient Catalog'!$C:$C,MATCH(C2996,'Ingredient Catalog'!$A:$A,0)),"⚠ not in catalog"))</f>
        <v/>
      </c>
      <c r="G2996" s="12" t="str">
        <f aca="false">IF(A2996="","",COUNTIFS('Weekly Log'!$A:$A,'Grocery List'!$B$3,'Weekly Log'!$C:$C,A2996,'Weekly Log'!$E:$E,"Yes"))</f>
        <v/>
      </c>
      <c r="H2996" s="12" t="str">
        <f aca="false">IF(OR(A2996="",D2996=""),"",D2996*G2996)</f>
        <v/>
      </c>
    </row>
    <row r="2997" customFormat="false" ht="15" hidden="false" customHeight="false" outlineLevel="0" collapsed="false">
      <c r="B2997" s="12" t="str">
        <f aca="false">IF(A2997="","",IFERROR(INDEX(Recipes!$B:$B,MATCH(A2997,Recipes!$A:$A,0)),"⚠ unknown recipe_id"))</f>
        <v/>
      </c>
      <c r="E2997" s="12" t="str">
        <f aca="false">IF(C2997="","",IFERROR(INDEX('Ingredient Catalog'!$C:$C,MATCH(C2997,'Ingredient Catalog'!$A:$A,0)),"⚠ not in catalog"))</f>
        <v/>
      </c>
      <c r="G2997" s="12" t="str">
        <f aca="false">IF(A2997="","",COUNTIFS('Weekly Log'!$A:$A,'Grocery List'!$B$3,'Weekly Log'!$C:$C,A2997,'Weekly Log'!$E:$E,"Yes"))</f>
        <v/>
      </c>
      <c r="H2997" s="12" t="str">
        <f aca="false">IF(OR(A2997="",D2997=""),"",D2997*G2997)</f>
        <v/>
      </c>
    </row>
    <row r="2998" customFormat="false" ht="15" hidden="false" customHeight="false" outlineLevel="0" collapsed="false">
      <c r="B2998" s="12" t="str">
        <f aca="false">IF(A2998="","",IFERROR(INDEX(Recipes!$B:$B,MATCH(A2998,Recipes!$A:$A,0)),"⚠ unknown recipe_id"))</f>
        <v/>
      </c>
      <c r="E2998" s="12" t="str">
        <f aca="false">IF(C2998="","",IFERROR(INDEX('Ingredient Catalog'!$C:$C,MATCH(C2998,'Ingredient Catalog'!$A:$A,0)),"⚠ not in catalog"))</f>
        <v/>
      </c>
      <c r="G2998" s="12" t="str">
        <f aca="false">IF(A2998="","",COUNTIFS('Weekly Log'!$A:$A,'Grocery List'!$B$3,'Weekly Log'!$C:$C,A2998,'Weekly Log'!$E:$E,"Yes"))</f>
        <v/>
      </c>
      <c r="H2998" s="12" t="str">
        <f aca="false">IF(OR(A2998="",D2998=""),"",D2998*G2998)</f>
        <v/>
      </c>
    </row>
    <row r="2999" customFormat="false" ht="15" hidden="false" customHeight="false" outlineLevel="0" collapsed="false">
      <c r="B2999" s="12" t="str">
        <f aca="false">IF(A2999="","",IFERROR(INDEX(Recipes!$B:$B,MATCH(A2999,Recipes!$A:$A,0)),"⚠ unknown recipe_id"))</f>
        <v/>
      </c>
      <c r="E2999" s="12" t="str">
        <f aca="false">IF(C2999="","",IFERROR(INDEX('Ingredient Catalog'!$C:$C,MATCH(C2999,'Ingredient Catalog'!$A:$A,0)),"⚠ not in catalog"))</f>
        <v/>
      </c>
      <c r="G2999" s="12" t="str">
        <f aca="false">IF(A2999="","",COUNTIFS('Weekly Log'!$A:$A,'Grocery List'!$B$3,'Weekly Log'!$C:$C,A2999,'Weekly Log'!$E:$E,"Yes"))</f>
        <v/>
      </c>
      <c r="H2999" s="12" t="str">
        <f aca="false">IF(OR(A2999="",D2999=""),"",D2999*G2999)</f>
        <v/>
      </c>
    </row>
    <row r="3000" customFormat="false" ht="15" hidden="false" customHeight="false" outlineLevel="0" collapsed="false">
      <c r="B3000" s="12" t="str">
        <f aca="false">IF(A3000="","",IFERROR(INDEX(Recipes!$B:$B,MATCH(A3000,Recipes!$A:$A,0)),"⚠ unknown recipe_id"))</f>
        <v/>
      </c>
      <c r="E3000" s="12" t="str">
        <f aca="false">IF(C3000="","",IFERROR(INDEX('Ingredient Catalog'!$C:$C,MATCH(C3000,'Ingredient Catalog'!$A:$A,0)),"⚠ not in catalog"))</f>
        <v/>
      </c>
      <c r="G3000" s="12" t="str">
        <f aca="false">IF(A3000="","",COUNTIFS('Weekly Log'!$A:$A,'Grocery List'!$B$3,'Weekly Log'!$C:$C,A3000,'Weekly Log'!$E:$E,"Yes"))</f>
        <v/>
      </c>
      <c r="H3000" s="12" t="str">
        <f aca="false">IF(OR(A3000="",D3000=""),"",D3000*G3000)</f>
        <v/>
      </c>
    </row>
    <row r="3001" customFormat="false" ht="15" hidden="false" customHeight="false" outlineLevel="0" collapsed="false">
      <c r="B3001" s="12" t="str">
        <f aca="false">IF(A3001="","",IFERROR(INDEX(Recipes!$B:$B,MATCH(A3001,Recipes!$A:$A,0)),"⚠ unknown recipe_id"))</f>
        <v/>
      </c>
      <c r="E3001" s="12" t="str">
        <f aca="false">IF(C3001="","",IFERROR(INDEX('Ingredient Catalog'!$C:$C,MATCH(C3001,'Ingredient Catalog'!$A:$A,0)),"⚠ not in catalog"))</f>
        <v/>
      </c>
      <c r="G3001" s="12" t="str">
        <f aca="false">IF(A3001="","",COUNTIFS('Weekly Log'!$A:$A,'Grocery List'!$B$3,'Weekly Log'!$C:$C,A3001,'Weekly Log'!$E:$E,"Yes"))</f>
        <v/>
      </c>
      <c r="H3001" s="12" t="str">
        <f aca="false">IF(OR(A3001="",D3001=""),"",D3001*G3001)</f>
        <v/>
      </c>
    </row>
    <row r="3002" customFormat="false" ht="15" hidden="false" customHeight="false" outlineLevel="0" collapsed="false">
      <c r="B3002" s="12" t="str">
        <f aca="false">IF(A3002="","",IFERROR(INDEX(Recipes!$B:$B,MATCH(A3002,Recipes!$A:$A,0)),"⚠ unknown recipe_id"))</f>
        <v/>
      </c>
      <c r="E3002" s="12" t="str">
        <f aca="false">IF(C3002="","",IFERROR(INDEX('Ingredient Catalog'!$C:$C,MATCH(C3002,'Ingredient Catalog'!$A:$A,0)),"⚠ not in catalog"))</f>
        <v/>
      </c>
      <c r="G3002" s="12" t="str">
        <f aca="false">IF(A3002="","",COUNTIFS('Weekly Log'!$A:$A,'Grocery List'!$B$3,'Weekly Log'!$C:$C,A3002,'Weekly Log'!$E:$E,"Yes"))</f>
        <v/>
      </c>
      <c r="H3002" s="12" t="str">
        <f aca="false">IF(OR(A3002="",D3002=""),"",D3002*G3002)</f>
        <v/>
      </c>
    </row>
    <row r="3003" customFormat="false" ht="15" hidden="false" customHeight="false" outlineLevel="0" collapsed="false">
      <c r="B3003" s="12" t="str">
        <f aca="false">IF(A3003="","",IFERROR(INDEX(Recipes!$B:$B,MATCH(A3003,Recipes!$A:$A,0)),"⚠ unknown recipe_id"))</f>
        <v/>
      </c>
      <c r="E3003" s="12" t="str">
        <f aca="false">IF(C3003="","",IFERROR(INDEX('Ingredient Catalog'!$C:$C,MATCH(C3003,'Ingredient Catalog'!$A:$A,0)),"⚠ not in catalog"))</f>
        <v/>
      </c>
      <c r="G3003" s="12" t="str">
        <f aca="false">IF(A3003="","",COUNTIFS('Weekly Log'!$A:$A,'Grocery List'!$B$3,'Weekly Log'!$C:$C,A3003,'Weekly Log'!$E:$E,"Yes"))</f>
        <v/>
      </c>
      <c r="H3003" s="12" t="str">
        <f aca="false">IF(OR(A3003="",D3003=""),"",D3003*G3003)</f>
        <v/>
      </c>
    </row>
  </sheetData>
  <autoFilter ref="A3:H3003"/>
  <dataValidations count="1">
    <dataValidation allowBlank="true" errorStyle="stop" operator="between" showDropDown="false" showErrorMessage="false" showInputMessage="false" sqref="C4:C3003" type="list">
      <formula1>'Ingredient Catalog'!$A$4:$A$503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5" t="s">
        <v>128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17" t="s">
        <v>129</v>
      </c>
      <c r="B3" s="18" t="n">
        <f aca="false">MAX('Weekly Log'!$A:$A)</f>
        <v>46313</v>
      </c>
      <c r="C3" s="7" t="s">
        <v>130</v>
      </c>
    </row>
    <row r="5" customFormat="false" ht="15" hidden="false" customHeight="false" outlineLevel="0" collapsed="false">
      <c r="A5" s="19" t="s">
        <v>131</v>
      </c>
    </row>
    <row r="6" customFormat="false" ht="15" hidden="false" customHeight="false" outlineLevel="0" collapsed="false">
      <c r="A6" s="20" t="s">
        <v>132</v>
      </c>
      <c r="B6" s="20" t="s">
        <v>133</v>
      </c>
    </row>
    <row r="7" customFormat="false" ht="15" hidden="false" customHeight="false" outlineLevel="0" collapsed="false">
      <c r="A7" s="21" t="str">
        <f aca="false">IFERROR(INDEX('Weekly Log'!$B:$B,MATCH(1,'Weekly Log'!$L:$L,0)),"")</f>
        <v>Lunch 1</v>
      </c>
      <c r="B7" s="21" t="str">
        <f aca="false">IFERROR(INDEX('Weekly Log'!$D:$D,MATCH(1,'Weekly Log'!$L:$L,0)),"")</f>
        <v>Cold sesame noodles with cucumber</v>
      </c>
    </row>
    <row r="8" customFormat="false" ht="15" hidden="false" customHeight="false" outlineLevel="0" collapsed="false">
      <c r="A8" s="21" t="str">
        <f aca="false">IFERROR(INDEX('Weekly Log'!$B:$B,MATCH(2,'Weekly Log'!$L:$L,0)),"")</f>
        <v>Lunch 2</v>
      </c>
      <c r="B8" s="21" t="str">
        <f aca="false">IFERROR(INDEX('Weekly Log'!$D:$D,MATCH(2,'Weekly Log'!$L:$L,0)),"")</f>
        <v>Ciorbă de perișoare (meatball soup)</v>
      </c>
    </row>
    <row r="9" customFormat="false" ht="15" hidden="false" customHeight="false" outlineLevel="0" collapsed="false">
      <c r="A9" s="21" t="str">
        <f aca="false">IFERROR(INDEX('Weekly Log'!$B:$B,MATCH(3,'Weekly Log'!$L:$L,0)),"")</f>
        <v>Dinner 1</v>
      </c>
      <c r="B9" s="21" t="str">
        <f aca="false">IFERROR(INDEX('Weekly Log'!$D:$D,MATCH(3,'Weekly Log'!$L:$L,0)),"")</f>
        <v>Sheet-pan sausage, peppers &amp; potatoes</v>
      </c>
    </row>
    <row r="10" customFormat="false" ht="15" hidden="false" customHeight="false" outlineLevel="0" collapsed="false">
      <c r="A10" s="21" t="str">
        <f aca="false">IFERROR(INDEX('Weekly Log'!$B:$B,MATCH(4,'Weekly Log'!$L:$L,0)),"")</f>
        <v>Dinner 2</v>
      </c>
      <c r="B10" s="21" t="str">
        <f aca="false">IFERROR(INDEX('Weekly Log'!$D:$D,MATCH(4,'Weekly Log'!$L:$L,0)),"")</f>
        <v>Chicken papricaș with mămăligă</v>
      </c>
    </row>
    <row r="11" customFormat="false" ht="15" hidden="false" customHeight="false" outlineLevel="0" collapsed="false">
      <c r="A11" s="21" t="str">
        <f aca="false">IFERROR(INDEX('Weekly Log'!$B:$B,MATCH(5,'Weekly Log'!$L:$L,0)),"")</f>
        <v/>
      </c>
      <c r="B11" s="21" t="str">
        <f aca="false">IFERROR(INDEX('Weekly Log'!$D:$D,MATCH(5,'Weekly Log'!$L:$L,0)),"")</f>
        <v/>
      </c>
    </row>
    <row r="12" customFormat="false" ht="15" hidden="false" customHeight="false" outlineLevel="0" collapsed="false">
      <c r="A12" s="21" t="str">
        <f aca="false">IFERROR(INDEX('Weekly Log'!$B:$B,MATCH(6,'Weekly Log'!$L:$L,0)),"")</f>
        <v/>
      </c>
      <c r="B12" s="21" t="str">
        <f aca="false">IFERROR(INDEX('Weekly Log'!$D:$D,MATCH(6,'Weekly Log'!$L:$L,0)),"")</f>
        <v/>
      </c>
    </row>
    <row r="13" customFormat="false" ht="15" hidden="false" customHeight="false" outlineLevel="0" collapsed="false">
      <c r="A13" s="21" t="str">
        <f aca="false">IFERROR(INDEX('Weekly Log'!$B:$B,MATCH(7,'Weekly Log'!$L:$L,0)),"")</f>
        <v/>
      </c>
      <c r="B13" s="21" t="str">
        <f aca="false">IFERROR(INDEX('Weekly Log'!$D:$D,MATCH(7,'Weekly Log'!$L:$L,0)),"")</f>
        <v/>
      </c>
    </row>
    <row r="14" customFormat="false" ht="15" hidden="false" customHeight="false" outlineLevel="0" collapsed="false">
      <c r="A14" s="21" t="str">
        <f aca="false">IFERROR(INDEX('Weekly Log'!$B:$B,MATCH(8,'Weekly Log'!$L:$L,0)),"")</f>
        <v/>
      </c>
      <c r="B14" s="21" t="str">
        <f aca="false">IFERROR(INDEX('Weekly Log'!$D:$D,MATCH(8,'Weekly Log'!$L:$L,0)),"")</f>
        <v/>
      </c>
    </row>
    <row r="16" customFormat="false" ht="15" hidden="false" customHeight="false" outlineLevel="0" collapsed="false">
      <c r="A16" s="19" t="s">
        <v>134</v>
      </c>
    </row>
    <row r="17" customFormat="false" ht="15" hidden="false" customHeight="false" outlineLevel="0" collapsed="false">
      <c r="A17" s="22" t="s">
        <v>135</v>
      </c>
      <c r="B17" s="22" t="s">
        <v>136</v>
      </c>
      <c r="C17" s="22" t="s">
        <v>137</v>
      </c>
      <c r="D17" s="22" t="s">
        <v>138</v>
      </c>
      <c r="E17" s="22" t="s">
        <v>139</v>
      </c>
      <c r="F17" s="22" t="s">
        <v>140</v>
      </c>
      <c r="G17" s="22" t="s">
        <v>141</v>
      </c>
    </row>
    <row r="18" customFormat="false" ht="15" hidden="false" customHeight="false" outlineLevel="0" collapsed="false">
      <c r="B18" s="21" t="str">
        <f aca="false">IFERROR(INDEX('Ingredient Catalog'!$A:$A,MATCH(1,'Ingredient Catalog'!$J:$J,0)),"")</f>
        <v>Cucumber</v>
      </c>
      <c r="C18" s="23" t="n">
        <f aca="false">IFERROR(IF(INDEX('Ingredient Catalog'!$H:$H,MATCH(1,'Ingredient Catalog'!$J:$J,0))=0,"",INDEX('Ingredient Catalog'!$H:$H,MATCH(1,'Ingredient Catalog'!$J:$J,0))),"")</f>
        <v>2</v>
      </c>
      <c r="D18" s="21" t="str">
        <f aca="false">IFERROR(INDEX('Ingredient Catalog'!$C:$C,MATCH(1,'Ingredient Catalog'!$J:$J,0)),"")</f>
        <v>each</v>
      </c>
      <c r="E18" s="21" t="str">
        <f aca="false">IFERROR(INDEX('Ingredient Catalog'!$B:$B,MATCH(1,'Ingredient Catalog'!$J:$J,0)),"")</f>
        <v>Produce</v>
      </c>
      <c r="F18" s="21" t="str">
        <f aca="false">IFERROR(IF(INDEX('Ingredient Catalog'!$D:$D,MATCH(1,'Ingredient Catalog'!$J:$J,0))="Yes","Check pantry",""),"")</f>
        <v/>
      </c>
      <c r="G18" s="21" t="str">
        <f aca="false">IFERROR(IF(INDEX('Ingredient Catalog'!$E:$E,MATCH(1,'Ingredient Catalog'!$J:$J,0))=0,"",INDEX('Ingredient Catalog'!$E:$E,MATCH(1,'Ingredient Catalog'!$J:$J,0))),"")</f>
        <v/>
      </c>
    </row>
    <row r="19" customFormat="false" ht="15" hidden="false" customHeight="false" outlineLevel="0" collapsed="false">
      <c r="B19" s="21" t="str">
        <f aca="false">IFERROR(INDEX('Ingredient Catalog'!$A:$A,MATCH(2,'Ingredient Catalog'!$J:$J,0)),"")</f>
        <v>Garlic</v>
      </c>
      <c r="C19" s="23" t="n">
        <f aca="false">IFERROR(IF(INDEX('Ingredient Catalog'!$H:$H,MATCH(2,'Ingredient Catalog'!$J:$J,0))=0,"",INDEX('Ingredient Catalog'!$H:$H,MATCH(2,'Ingredient Catalog'!$J:$J,0))),"")</f>
        <v>7</v>
      </c>
      <c r="D19" s="21" t="str">
        <f aca="false">IFERROR(INDEX('Ingredient Catalog'!$C:$C,MATCH(2,'Ingredient Catalog'!$J:$J,0)),"")</f>
        <v>clove</v>
      </c>
      <c r="E19" s="21" t="str">
        <f aca="false">IFERROR(INDEX('Ingredient Catalog'!$B:$B,MATCH(2,'Ingredient Catalog'!$J:$J,0)),"")</f>
        <v>Produce</v>
      </c>
      <c r="F19" s="21" t="str">
        <f aca="false">IFERROR(IF(INDEX('Ingredient Catalog'!$D:$D,MATCH(2,'Ingredient Catalog'!$J:$J,0))="Yes","Check pantry",""),"")</f>
        <v/>
      </c>
      <c r="G19" s="21" t="str">
        <f aca="false">IFERROR(IF(INDEX('Ingredient Catalog'!$E:$E,MATCH(2,'Ingredient Catalog'!$J:$J,0))=0,"",INDEX('Ingredient Catalog'!$E:$E,MATCH(2,'Ingredient Catalog'!$J:$J,0))),"")</f>
        <v/>
      </c>
    </row>
    <row r="20" customFormat="false" ht="15" hidden="false" customHeight="false" outlineLevel="0" collapsed="false">
      <c r="B20" s="21" t="str">
        <f aca="false">IFERROR(INDEX('Ingredient Catalog'!$A:$A,MATCH(3,'Ingredient Catalog'!$J:$J,0)),"")</f>
        <v>Scallions</v>
      </c>
      <c r="C20" s="23" t="n">
        <f aca="false">IFERROR(IF(INDEX('Ingredient Catalog'!$H:$H,MATCH(3,'Ingredient Catalog'!$J:$J,0))=0,"",INDEX('Ingredient Catalog'!$H:$H,MATCH(3,'Ingredient Catalog'!$J:$J,0))),"")</f>
        <v>1</v>
      </c>
      <c r="D20" s="21" t="str">
        <f aca="false">IFERROR(INDEX('Ingredient Catalog'!$C:$C,MATCH(3,'Ingredient Catalog'!$J:$J,0)),"")</f>
        <v>bunch</v>
      </c>
      <c r="E20" s="21" t="str">
        <f aca="false">IFERROR(INDEX('Ingredient Catalog'!$B:$B,MATCH(3,'Ingredient Catalog'!$J:$J,0)),"")</f>
        <v>Produce</v>
      </c>
      <c r="F20" s="21" t="str">
        <f aca="false">IFERROR(IF(INDEX('Ingredient Catalog'!$D:$D,MATCH(3,'Ingredient Catalog'!$J:$J,0))="Yes","Check pantry",""),"")</f>
        <v/>
      </c>
      <c r="G20" s="21" t="str">
        <f aca="false">IFERROR(IF(INDEX('Ingredient Catalog'!$E:$E,MATCH(3,'Ingredient Catalog'!$J:$J,0))=0,"",INDEX('Ingredient Catalog'!$E:$E,MATCH(3,'Ingredient Catalog'!$J:$J,0))),"")</f>
        <v/>
      </c>
    </row>
    <row r="21" customFormat="false" ht="15" hidden="false" customHeight="false" outlineLevel="0" collapsed="false">
      <c r="B21" s="21" t="str">
        <f aca="false">IFERROR(INDEX('Ingredient Catalog'!$A:$A,MATCH(4,'Ingredient Catalog'!$J:$J,0)),"")</f>
        <v>Onion</v>
      </c>
      <c r="C21" s="23" t="n">
        <f aca="false">IFERROR(IF(INDEX('Ingredient Catalog'!$H:$H,MATCH(4,'Ingredient Catalog'!$J:$J,0))=0,"",INDEX('Ingredient Catalog'!$H:$H,MATCH(4,'Ingredient Catalog'!$J:$J,0))),"")</f>
        <v>4</v>
      </c>
      <c r="D21" s="21" t="str">
        <f aca="false">IFERROR(INDEX('Ingredient Catalog'!$C:$C,MATCH(4,'Ingredient Catalog'!$J:$J,0)),"")</f>
        <v>each</v>
      </c>
      <c r="E21" s="21" t="str">
        <f aca="false">IFERROR(INDEX('Ingredient Catalog'!$B:$B,MATCH(4,'Ingredient Catalog'!$J:$J,0)),"")</f>
        <v>Produce</v>
      </c>
      <c r="F21" s="21" t="str">
        <f aca="false">IFERROR(IF(INDEX('Ingredient Catalog'!$D:$D,MATCH(4,'Ingredient Catalog'!$J:$J,0))="Yes","Check pantry",""),"")</f>
        <v/>
      </c>
      <c r="G21" s="21" t="str">
        <f aca="false">IFERROR(IF(INDEX('Ingredient Catalog'!$E:$E,MATCH(4,'Ingredient Catalog'!$J:$J,0))=0,"",INDEX('Ingredient Catalog'!$E:$E,MATCH(4,'Ingredient Catalog'!$J:$J,0))),"")</f>
        <v/>
      </c>
    </row>
    <row r="22" customFormat="false" ht="15" hidden="false" customHeight="false" outlineLevel="0" collapsed="false">
      <c r="B22" s="21" t="str">
        <f aca="false">IFERROR(INDEX('Ingredient Catalog'!$A:$A,MATCH(5,'Ingredient Catalog'!$J:$J,0)),"")</f>
        <v>Carrot</v>
      </c>
      <c r="C22" s="23" t="n">
        <f aca="false">IFERROR(IF(INDEX('Ingredient Catalog'!$H:$H,MATCH(5,'Ingredient Catalog'!$J:$J,0))=0,"",INDEX('Ingredient Catalog'!$H:$H,MATCH(5,'Ingredient Catalog'!$J:$J,0))),"")</f>
        <v>2</v>
      </c>
      <c r="D22" s="21" t="str">
        <f aca="false">IFERROR(INDEX('Ingredient Catalog'!$C:$C,MATCH(5,'Ingredient Catalog'!$J:$J,0)),"")</f>
        <v>each</v>
      </c>
      <c r="E22" s="21" t="str">
        <f aca="false">IFERROR(INDEX('Ingredient Catalog'!$B:$B,MATCH(5,'Ingredient Catalog'!$J:$J,0)),"")</f>
        <v>Produce</v>
      </c>
      <c r="F22" s="21" t="str">
        <f aca="false">IFERROR(IF(INDEX('Ingredient Catalog'!$D:$D,MATCH(5,'Ingredient Catalog'!$J:$J,0))="Yes","Check pantry",""),"")</f>
        <v/>
      </c>
      <c r="G22" s="21" t="str">
        <f aca="false">IFERROR(IF(INDEX('Ingredient Catalog'!$E:$E,MATCH(5,'Ingredient Catalog'!$J:$J,0))=0,"",INDEX('Ingredient Catalog'!$E:$E,MATCH(5,'Ingredient Catalog'!$J:$J,0))),"")</f>
        <v/>
      </c>
    </row>
    <row r="23" customFormat="false" ht="15" hidden="false" customHeight="false" outlineLevel="0" collapsed="false">
      <c r="B23" s="21" t="str">
        <f aca="false">IFERROR(INDEX('Ingredient Catalog'!$A:$A,MATCH(6,'Ingredient Catalog'!$J:$J,0)),"")</f>
        <v>Lovage (leuștean)</v>
      </c>
      <c r="C23" s="23" t="n">
        <f aca="false">IFERROR(IF(INDEX('Ingredient Catalog'!$H:$H,MATCH(6,'Ingredient Catalog'!$J:$J,0))=0,"",INDEX('Ingredient Catalog'!$H:$H,MATCH(6,'Ingredient Catalog'!$J:$J,0))),"")</f>
        <v>1</v>
      </c>
      <c r="D23" s="21" t="str">
        <f aca="false">IFERROR(INDEX('Ingredient Catalog'!$C:$C,MATCH(6,'Ingredient Catalog'!$J:$J,0)),"")</f>
        <v>bunch</v>
      </c>
      <c r="E23" s="21" t="str">
        <f aca="false">IFERROR(INDEX('Ingredient Catalog'!$B:$B,MATCH(6,'Ingredient Catalog'!$J:$J,0)),"")</f>
        <v>Produce</v>
      </c>
      <c r="F23" s="21" t="str">
        <f aca="false">IFERROR(IF(INDEX('Ingredient Catalog'!$D:$D,MATCH(6,'Ingredient Catalog'!$J:$J,0))="Yes","Check pantry",""),"")</f>
        <v/>
      </c>
      <c r="G23" s="21" t="str">
        <f aca="false">IFERROR(IF(INDEX('Ingredient Catalog'!$E:$E,MATCH(6,'Ingredient Catalog'!$J:$J,0))=0,"",INDEX('Ingredient Catalog'!$E:$E,MATCH(6,'Ingredient Catalog'!$J:$J,0))),"")</f>
        <v>Romanian/Polish deli</v>
      </c>
    </row>
    <row r="24" customFormat="false" ht="15" hidden="false" customHeight="false" outlineLevel="0" collapsed="false">
      <c r="B24" s="21" t="str">
        <f aca="false">IFERROR(INDEX('Ingredient Catalog'!$A:$A,MATCH(7,'Ingredient Catalog'!$J:$J,0)),"")</f>
        <v>Bell pepper</v>
      </c>
      <c r="C24" s="23" t="n">
        <f aca="false">IFERROR(IF(INDEX('Ingredient Catalog'!$H:$H,MATCH(7,'Ingredient Catalog'!$J:$J,0))=0,"",INDEX('Ingredient Catalog'!$H:$H,MATCH(7,'Ingredient Catalog'!$J:$J,0))),"")</f>
        <v>4</v>
      </c>
      <c r="D24" s="21" t="str">
        <f aca="false">IFERROR(INDEX('Ingredient Catalog'!$C:$C,MATCH(7,'Ingredient Catalog'!$J:$J,0)),"")</f>
        <v>each</v>
      </c>
      <c r="E24" s="21" t="str">
        <f aca="false">IFERROR(INDEX('Ingredient Catalog'!$B:$B,MATCH(7,'Ingredient Catalog'!$J:$J,0)),"")</f>
        <v>Produce</v>
      </c>
      <c r="F24" s="21" t="str">
        <f aca="false">IFERROR(IF(INDEX('Ingredient Catalog'!$D:$D,MATCH(7,'Ingredient Catalog'!$J:$J,0))="Yes","Check pantry",""),"")</f>
        <v/>
      </c>
      <c r="G24" s="21" t="str">
        <f aca="false">IFERROR(IF(INDEX('Ingredient Catalog'!$E:$E,MATCH(7,'Ingredient Catalog'!$J:$J,0))=0,"",INDEX('Ingredient Catalog'!$E:$E,MATCH(7,'Ingredient Catalog'!$J:$J,0))),"")</f>
        <v/>
      </c>
    </row>
    <row r="25" customFormat="false" ht="15" hidden="false" customHeight="false" outlineLevel="0" collapsed="false">
      <c r="B25" s="21" t="str">
        <f aca="false">IFERROR(INDEX('Ingredient Catalog'!$A:$A,MATCH(8,'Ingredient Catalog'!$J:$J,0)),"")</f>
        <v>Baby potatoes</v>
      </c>
      <c r="C25" s="23" t="n">
        <f aca="false">IFERROR(IF(INDEX('Ingredient Catalog'!$H:$H,MATCH(8,'Ingredient Catalog'!$J:$J,0))=0,"",INDEX('Ingredient Catalog'!$H:$H,MATCH(8,'Ingredient Catalog'!$J:$J,0))),"")</f>
        <v>1.5</v>
      </c>
      <c r="D25" s="21" t="str">
        <f aca="false">IFERROR(INDEX('Ingredient Catalog'!$C:$C,MATCH(8,'Ingredient Catalog'!$J:$J,0)),"")</f>
        <v>lb</v>
      </c>
      <c r="E25" s="21" t="str">
        <f aca="false">IFERROR(INDEX('Ingredient Catalog'!$B:$B,MATCH(8,'Ingredient Catalog'!$J:$J,0)),"")</f>
        <v>Produce</v>
      </c>
      <c r="F25" s="21" t="str">
        <f aca="false">IFERROR(IF(INDEX('Ingredient Catalog'!$D:$D,MATCH(8,'Ingredient Catalog'!$J:$J,0))="Yes","Check pantry",""),"")</f>
        <v/>
      </c>
      <c r="G25" s="21" t="str">
        <f aca="false">IFERROR(IF(INDEX('Ingredient Catalog'!$E:$E,MATCH(8,'Ingredient Catalog'!$J:$J,0))=0,"",INDEX('Ingredient Catalog'!$E:$E,MATCH(8,'Ingredient Catalog'!$J:$J,0))),"")</f>
        <v/>
      </c>
    </row>
    <row r="26" customFormat="false" ht="15" hidden="false" customHeight="false" outlineLevel="0" collapsed="false">
      <c r="B26" s="21" t="str">
        <f aca="false">IFERROR(INDEX('Ingredient Catalog'!$A:$A,MATCH(9,'Ingredient Catalog'!$J:$J,0)),"")</f>
        <v>Ground pork</v>
      </c>
      <c r="C26" s="23" t="n">
        <f aca="false">IFERROR(IF(INDEX('Ingredient Catalog'!$H:$H,MATCH(9,'Ingredient Catalog'!$J:$J,0))=0,"",INDEX('Ingredient Catalog'!$H:$H,MATCH(9,'Ingredient Catalog'!$J:$J,0))),"")</f>
        <v>1</v>
      </c>
      <c r="D26" s="21" t="str">
        <f aca="false">IFERROR(INDEX('Ingredient Catalog'!$C:$C,MATCH(9,'Ingredient Catalog'!$J:$J,0)),"")</f>
        <v>lb</v>
      </c>
      <c r="E26" s="21" t="str">
        <f aca="false">IFERROR(INDEX('Ingredient Catalog'!$B:$B,MATCH(9,'Ingredient Catalog'!$J:$J,0)),"")</f>
        <v>Meat &amp; Fish</v>
      </c>
      <c r="F26" s="21" t="str">
        <f aca="false">IFERROR(IF(INDEX('Ingredient Catalog'!$D:$D,MATCH(9,'Ingredient Catalog'!$J:$J,0))="Yes","Check pantry",""),"")</f>
        <v/>
      </c>
      <c r="G26" s="21" t="str">
        <f aca="false">IFERROR(IF(INDEX('Ingredient Catalog'!$E:$E,MATCH(9,'Ingredient Catalog'!$J:$J,0))=0,"",INDEX('Ingredient Catalog'!$E:$E,MATCH(9,'Ingredient Catalog'!$J:$J,0))),"")</f>
        <v/>
      </c>
    </row>
    <row r="27" customFormat="false" ht="15" hidden="false" customHeight="false" outlineLevel="0" collapsed="false">
      <c r="B27" s="21" t="str">
        <f aca="false">IFERROR(INDEX('Ingredient Catalog'!$A:$A,MATCH(10,'Ingredient Catalog'!$J:$J,0)),"")</f>
        <v>Italian sausage</v>
      </c>
      <c r="C27" s="23" t="n">
        <f aca="false">IFERROR(IF(INDEX('Ingredient Catalog'!$H:$H,MATCH(10,'Ingredient Catalog'!$J:$J,0))=0,"",INDEX('Ingredient Catalog'!$H:$H,MATCH(10,'Ingredient Catalog'!$J:$J,0))),"")</f>
        <v>1.5</v>
      </c>
      <c r="D27" s="21" t="str">
        <f aca="false">IFERROR(INDEX('Ingredient Catalog'!$C:$C,MATCH(10,'Ingredient Catalog'!$J:$J,0)),"")</f>
        <v>lb</v>
      </c>
      <c r="E27" s="21" t="str">
        <f aca="false">IFERROR(INDEX('Ingredient Catalog'!$B:$B,MATCH(10,'Ingredient Catalog'!$J:$J,0)),"")</f>
        <v>Meat &amp; Fish</v>
      </c>
      <c r="F27" s="21" t="str">
        <f aca="false">IFERROR(IF(INDEX('Ingredient Catalog'!$D:$D,MATCH(10,'Ingredient Catalog'!$J:$J,0))="Yes","Check pantry",""),"")</f>
        <v/>
      </c>
      <c r="G27" s="21" t="str">
        <f aca="false">IFERROR(IF(INDEX('Ingredient Catalog'!$E:$E,MATCH(10,'Ingredient Catalog'!$J:$J,0))=0,"",INDEX('Ingredient Catalog'!$E:$E,MATCH(10,'Ingredient Catalog'!$J:$J,0))),"")</f>
        <v/>
      </c>
    </row>
    <row r="28" customFormat="false" ht="15" hidden="false" customHeight="false" outlineLevel="0" collapsed="false">
      <c r="B28" s="21" t="str">
        <f aca="false">IFERROR(INDEX('Ingredient Catalog'!$A:$A,MATCH(11,'Ingredient Catalog'!$J:$J,0)),"")</f>
        <v>Chicken thighs</v>
      </c>
      <c r="C28" s="23" t="n">
        <f aca="false">IFERROR(IF(INDEX('Ingredient Catalog'!$H:$H,MATCH(11,'Ingredient Catalog'!$J:$J,0))=0,"",INDEX('Ingredient Catalog'!$H:$H,MATCH(11,'Ingredient Catalog'!$J:$J,0))),"")</f>
        <v>2</v>
      </c>
      <c r="D28" s="21" t="str">
        <f aca="false">IFERROR(INDEX('Ingredient Catalog'!$C:$C,MATCH(11,'Ingredient Catalog'!$J:$J,0)),"")</f>
        <v>lb</v>
      </c>
      <c r="E28" s="21" t="str">
        <f aca="false">IFERROR(INDEX('Ingredient Catalog'!$B:$B,MATCH(11,'Ingredient Catalog'!$J:$J,0)),"")</f>
        <v>Meat &amp; Fish</v>
      </c>
      <c r="F28" s="21" t="str">
        <f aca="false">IFERROR(IF(INDEX('Ingredient Catalog'!$D:$D,MATCH(11,'Ingredient Catalog'!$J:$J,0))="Yes","Check pantry",""),"")</f>
        <v/>
      </c>
      <c r="G28" s="21" t="str">
        <f aca="false">IFERROR(IF(INDEX('Ingredient Catalog'!$E:$E,MATCH(11,'Ingredient Catalog'!$J:$J,0))=0,"",INDEX('Ingredient Catalog'!$E:$E,MATCH(11,'Ingredient Catalog'!$J:$J,0))),"")</f>
        <v/>
      </c>
    </row>
    <row r="29" customFormat="false" ht="15" hidden="false" customHeight="false" outlineLevel="0" collapsed="false">
      <c r="B29" s="21" t="str">
        <f aca="false">IFERROR(INDEX('Ingredient Catalog'!$A:$A,MATCH(12,'Ingredient Catalog'!$J:$J,0)),"")</f>
        <v>Egg</v>
      </c>
      <c r="C29" s="23" t="n">
        <f aca="false">IFERROR(IF(INDEX('Ingredient Catalog'!$H:$H,MATCH(12,'Ingredient Catalog'!$J:$J,0))=0,"",INDEX('Ingredient Catalog'!$H:$H,MATCH(12,'Ingredient Catalog'!$J:$J,0))),"")</f>
        <v>1</v>
      </c>
      <c r="D29" s="21" t="str">
        <f aca="false">IFERROR(INDEX('Ingredient Catalog'!$C:$C,MATCH(12,'Ingredient Catalog'!$J:$J,0)),"")</f>
        <v>each</v>
      </c>
      <c r="E29" s="21" t="str">
        <f aca="false">IFERROR(INDEX('Ingredient Catalog'!$B:$B,MATCH(12,'Ingredient Catalog'!$J:$J,0)),"")</f>
        <v>Dairy &amp; Eggs</v>
      </c>
      <c r="F29" s="21" t="str">
        <f aca="false">IFERROR(IF(INDEX('Ingredient Catalog'!$D:$D,MATCH(12,'Ingredient Catalog'!$J:$J,0))="Yes","Check pantry",""),"")</f>
        <v/>
      </c>
      <c r="G29" s="21" t="str">
        <f aca="false">IFERROR(IF(INDEX('Ingredient Catalog'!$E:$E,MATCH(12,'Ingredient Catalog'!$J:$J,0))=0,"",INDEX('Ingredient Catalog'!$E:$E,MATCH(12,'Ingredient Catalog'!$J:$J,0))),"")</f>
        <v/>
      </c>
    </row>
    <row r="30" customFormat="false" ht="15" hidden="false" customHeight="false" outlineLevel="0" collapsed="false">
      <c r="B30" s="21" t="str">
        <f aca="false">IFERROR(INDEX('Ingredient Catalog'!$A:$A,MATCH(13,'Ingredient Catalog'!$J:$J,0)),"")</f>
        <v>Sour cream</v>
      </c>
      <c r="C30" s="23" t="n">
        <f aca="false">IFERROR(IF(INDEX('Ingredient Catalog'!$H:$H,MATCH(13,'Ingredient Catalog'!$J:$J,0))=0,"",INDEX('Ingredient Catalog'!$H:$H,MATCH(13,'Ingredient Catalog'!$J:$J,0))),"")</f>
        <v>2</v>
      </c>
      <c r="D30" s="21" t="str">
        <f aca="false">IFERROR(INDEX('Ingredient Catalog'!$C:$C,MATCH(13,'Ingredient Catalog'!$J:$J,0)),"")</f>
        <v>cup</v>
      </c>
      <c r="E30" s="21" t="str">
        <f aca="false">IFERROR(INDEX('Ingredient Catalog'!$B:$B,MATCH(13,'Ingredient Catalog'!$J:$J,0)),"")</f>
        <v>Dairy &amp; Eggs</v>
      </c>
      <c r="F30" s="21" t="str">
        <f aca="false">IFERROR(IF(INDEX('Ingredient Catalog'!$D:$D,MATCH(13,'Ingredient Catalog'!$J:$J,0))="Yes","Check pantry",""),"")</f>
        <v/>
      </c>
      <c r="G30" s="21" t="str">
        <f aca="false">IFERROR(IF(INDEX('Ingredient Catalog'!$E:$E,MATCH(13,'Ingredient Catalog'!$J:$J,0))=0,"",INDEX('Ingredient Catalog'!$E:$E,MATCH(13,'Ingredient Catalog'!$J:$J,0))),"")</f>
        <v/>
      </c>
    </row>
    <row r="31" customFormat="false" ht="15" hidden="false" customHeight="false" outlineLevel="0" collapsed="false">
      <c r="B31" s="21" t="str">
        <f aca="false">IFERROR(INDEX('Ingredient Catalog'!$A:$A,MATCH(14,'Ingredient Catalog'!$J:$J,0)),"")</f>
        <v>Wheat noodles</v>
      </c>
      <c r="C31" s="23" t="n">
        <f aca="false">IFERROR(IF(INDEX('Ingredient Catalog'!$H:$H,MATCH(14,'Ingredient Catalog'!$J:$J,0))=0,"",INDEX('Ingredient Catalog'!$H:$H,MATCH(14,'Ingredient Catalog'!$J:$J,0))),"")</f>
        <v>1</v>
      </c>
      <c r="D31" s="21" t="str">
        <f aca="false">IFERROR(INDEX('Ingredient Catalog'!$C:$C,MATCH(14,'Ingredient Catalog'!$J:$J,0)),"")</f>
        <v>lb</v>
      </c>
      <c r="E31" s="21" t="str">
        <f aca="false">IFERROR(INDEX('Ingredient Catalog'!$B:$B,MATCH(14,'Ingredient Catalog'!$J:$J,0)),"")</f>
        <v>Grains &amp; Noodles</v>
      </c>
      <c r="F31" s="21" t="str">
        <f aca="false">IFERROR(IF(INDEX('Ingredient Catalog'!$D:$D,MATCH(14,'Ingredient Catalog'!$J:$J,0))="Yes","Check pantry",""),"")</f>
        <v/>
      </c>
      <c r="G31" s="21" t="str">
        <f aca="false">IFERROR(IF(INDEX('Ingredient Catalog'!$E:$E,MATCH(14,'Ingredient Catalog'!$J:$J,0))=0,"",INDEX('Ingredient Catalog'!$E:$E,MATCH(14,'Ingredient Catalog'!$J:$J,0))),"")</f>
        <v>H Mart</v>
      </c>
    </row>
    <row r="32" customFormat="false" ht="15" hidden="false" customHeight="false" outlineLevel="0" collapsed="false">
      <c r="B32" s="21" t="str">
        <f aca="false">IFERROR(INDEX('Ingredient Catalog'!$A:$A,MATCH(15,'Ingredient Catalog'!$J:$J,0)),"")</f>
        <v>Borș</v>
      </c>
      <c r="C32" s="23" t="n">
        <f aca="false">IFERROR(IF(INDEX('Ingredient Catalog'!$H:$H,MATCH(15,'Ingredient Catalog'!$J:$J,0))=0,"",INDEX('Ingredient Catalog'!$H:$H,MATCH(15,'Ingredient Catalog'!$J:$J,0))),"")</f>
        <v>2</v>
      </c>
      <c r="D32" s="21" t="str">
        <f aca="false">IFERROR(INDEX('Ingredient Catalog'!$C:$C,MATCH(15,'Ingredient Catalog'!$J:$J,0)),"")</f>
        <v>cup</v>
      </c>
      <c r="E32" s="21" t="str">
        <f aca="false">IFERROR(INDEX('Ingredient Catalog'!$B:$B,MATCH(15,'Ingredient Catalog'!$J:$J,0)),"")</f>
        <v>Eastern European</v>
      </c>
      <c r="F32" s="21" t="str">
        <f aca="false">IFERROR(IF(INDEX('Ingredient Catalog'!$D:$D,MATCH(15,'Ingredient Catalog'!$J:$J,0))="Yes","Check pantry",""),"")</f>
        <v/>
      </c>
      <c r="G32" s="21" t="str">
        <f aca="false">IFERROR(IF(INDEX('Ingredient Catalog'!$E:$E,MATCH(15,'Ingredient Catalog'!$J:$J,0))=0,"",INDEX('Ingredient Catalog'!$E:$E,MATCH(15,'Ingredient Catalog'!$J:$J,0))),"")</f>
        <v>Romanian/Polish deli</v>
      </c>
    </row>
    <row r="33" customFormat="false" ht="15" hidden="false" customHeight="false" outlineLevel="0" collapsed="false">
      <c r="B33" s="21" t="str">
        <f aca="false">IFERROR(INDEX('Ingredient Catalog'!$A:$A,MATCH(16,'Ingredient Catalog'!$J:$J,0)),"")</f>
        <v>Rice</v>
      </c>
      <c r="C33" s="23" t="n">
        <f aca="false">IFERROR(IF(INDEX('Ingredient Catalog'!$H:$H,MATCH(16,'Ingredient Catalog'!$J:$J,0))=0,"",INDEX('Ingredient Catalog'!$H:$H,MATCH(16,'Ingredient Catalog'!$J:$J,0))),"")</f>
        <v>0.33</v>
      </c>
      <c r="D33" s="21" t="str">
        <f aca="false">IFERROR(INDEX('Ingredient Catalog'!$C:$C,MATCH(16,'Ingredient Catalog'!$J:$J,0)),"")</f>
        <v>cup</v>
      </c>
      <c r="E33" s="21" t="str">
        <f aca="false">IFERROR(INDEX('Ingredient Catalog'!$B:$B,MATCH(16,'Ingredient Catalog'!$J:$J,0)),"")</f>
        <v>Grains &amp; Noodles</v>
      </c>
      <c r="F33" s="21" t="str">
        <f aca="false">IFERROR(IF(INDEX('Ingredient Catalog'!$D:$D,MATCH(16,'Ingredient Catalog'!$J:$J,0))="Yes","Check pantry",""),"")</f>
        <v>Check pantry</v>
      </c>
      <c r="G33" s="21" t="str">
        <f aca="false">IFERROR(IF(INDEX('Ingredient Catalog'!$E:$E,MATCH(16,'Ingredient Catalog'!$J:$J,0))=0,"",INDEX('Ingredient Catalog'!$E:$E,MATCH(16,'Ingredient Catalog'!$J:$J,0))),"")</f>
        <v/>
      </c>
    </row>
    <row r="34" customFormat="false" ht="15" hidden="false" customHeight="false" outlineLevel="0" collapsed="false">
      <c r="B34" s="21" t="str">
        <f aca="false">IFERROR(INDEX('Ingredient Catalog'!$A:$A,MATCH(17,'Ingredient Catalog'!$J:$J,0)),"")</f>
        <v>Cornmeal (mălai)</v>
      </c>
      <c r="C34" s="23" t="n">
        <f aca="false">IFERROR(IF(INDEX('Ingredient Catalog'!$H:$H,MATCH(17,'Ingredient Catalog'!$J:$J,0))=0,"",INDEX('Ingredient Catalog'!$H:$H,MATCH(17,'Ingredient Catalog'!$J:$J,0))),"")</f>
        <v>1.5</v>
      </c>
      <c r="D34" s="21" t="str">
        <f aca="false">IFERROR(INDEX('Ingredient Catalog'!$C:$C,MATCH(17,'Ingredient Catalog'!$J:$J,0)),"")</f>
        <v>cup</v>
      </c>
      <c r="E34" s="21" t="str">
        <f aca="false">IFERROR(INDEX('Ingredient Catalog'!$B:$B,MATCH(17,'Ingredient Catalog'!$J:$J,0)),"")</f>
        <v>Grains &amp; Noodles</v>
      </c>
      <c r="F34" s="21" t="str">
        <f aca="false">IFERROR(IF(INDEX('Ingredient Catalog'!$D:$D,MATCH(17,'Ingredient Catalog'!$J:$J,0))="Yes","Check pantry",""),"")</f>
        <v>Check pantry</v>
      </c>
      <c r="G34" s="21" t="str">
        <f aca="false">IFERROR(IF(INDEX('Ingredient Catalog'!$E:$E,MATCH(17,'Ingredient Catalog'!$J:$J,0))=0,"",INDEX('Ingredient Catalog'!$E:$E,MATCH(17,'Ingredient Catalog'!$J:$J,0))),"")</f>
        <v/>
      </c>
    </row>
    <row r="35" customFormat="false" ht="15" hidden="false" customHeight="false" outlineLevel="0" collapsed="false">
      <c r="B35" s="21" t="str">
        <f aca="false">IFERROR(INDEX('Ingredient Catalog'!$A:$A,MATCH(18,'Ingredient Catalog'!$J:$J,0)),"")</f>
        <v>Tomato paste</v>
      </c>
      <c r="C35" s="23" t="n">
        <f aca="false">IFERROR(IF(INDEX('Ingredient Catalog'!$H:$H,MATCH(18,'Ingredient Catalog'!$J:$J,0))=0,"",INDEX('Ingredient Catalog'!$H:$H,MATCH(18,'Ingredient Catalog'!$J:$J,0))),"")</f>
        <v>2</v>
      </c>
      <c r="D35" s="21" t="str">
        <f aca="false">IFERROR(INDEX('Ingredient Catalog'!$C:$C,MATCH(18,'Ingredient Catalog'!$J:$J,0)),"")</f>
        <v>tbsp</v>
      </c>
      <c r="E35" s="21" t="str">
        <f aca="false">IFERROR(INDEX('Ingredient Catalog'!$B:$B,MATCH(18,'Ingredient Catalog'!$J:$J,0)),"")</f>
        <v>Canned &amp; Jarred</v>
      </c>
      <c r="F35" s="21" t="str">
        <f aca="false">IFERROR(IF(INDEX('Ingredient Catalog'!$D:$D,MATCH(18,'Ingredient Catalog'!$J:$J,0))="Yes","Check pantry",""),"")</f>
        <v>Check pantry</v>
      </c>
      <c r="G35" s="21" t="str">
        <f aca="false">IFERROR(IF(INDEX('Ingredient Catalog'!$E:$E,MATCH(18,'Ingredient Catalog'!$J:$J,0))=0,"",INDEX('Ingredient Catalog'!$E:$E,MATCH(18,'Ingredient Catalog'!$J:$J,0))),"")</f>
        <v/>
      </c>
    </row>
    <row r="36" customFormat="false" ht="15" hidden="false" customHeight="false" outlineLevel="0" collapsed="false">
      <c r="B36" s="21" t="str">
        <f aca="false">IFERROR(INDEX('Ingredient Catalog'!$A:$A,MATCH(19,'Ingredient Catalog'!$J:$J,0)),"")</f>
        <v>Chinese sesame paste</v>
      </c>
      <c r="C36" s="23" t="n">
        <f aca="false">IFERROR(IF(INDEX('Ingredient Catalog'!$H:$H,MATCH(19,'Ingredient Catalog'!$J:$J,0))=0,"",INDEX('Ingredient Catalog'!$H:$H,MATCH(19,'Ingredient Catalog'!$J:$J,0))),"")</f>
        <v>3</v>
      </c>
      <c r="D36" s="21" t="str">
        <f aca="false">IFERROR(INDEX('Ingredient Catalog'!$C:$C,MATCH(19,'Ingredient Catalog'!$J:$J,0)),"")</f>
        <v>tbsp</v>
      </c>
      <c r="E36" s="21" t="str">
        <f aca="false">IFERROR(INDEX('Ingredient Catalog'!$B:$B,MATCH(19,'Ingredient Catalog'!$J:$J,0)),"")</f>
        <v>Asian Pantry</v>
      </c>
      <c r="F36" s="21" t="str">
        <f aca="false">IFERROR(IF(INDEX('Ingredient Catalog'!$D:$D,MATCH(19,'Ingredient Catalog'!$J:$J,0))="Yes","Check pantry",""),"")</f>
        <v>Check pantry</v>
      </c>
      <c r="G36" s="21" t="str">
        <f aca="false">IFERROR(IF(INDEX('Ingredient Catalog'!$E:$E,MATCH(19,'Ingredient Catalog'!$J:$J,0))=0,"",INDEX('Ingredient Catalog'!$E:$E,MATCH(19,'Ingredient Catalog'!$J:$J,0))),"")</f>
        <v>H Mart</v>
      </c>
    </row>
    <row r="37" customFormat="false" ht="15" hidden="false" customHeight="false" outlineLevel="0" collapsed="false">
      <c r="B37" s="21" t="str">
        <f aca="false">IFERROR(INDEX('Ingredient Catalog'!$A:$A,MATCH(20,'Ingredient Catalog'!$J:$J,0)),"")</f>
        <v>Soy sauce</v>
      </c>
      <c r="C37" s="23" t="n">
        <f aca="false">IFERROR(IF(INDEX('Ingredient Catalog'!$H:$H,MATCH(20,'Ingredient Catalog'!$J:$J,0))=0,"",INDEX('Ingredient Catalog'!$H:$H,MATCH(20,'Ingredient Catalog'!$J:$J,0))),"")</f>
        <v>3</v>
      </c>
      <c r="D37" s="21" t="str">
        <f aca="false">IFERROR(INDEX('Ingredient Catalog'!$C:$C,MATCH(20,'Ingredient Catalog'!$J:$J,0)),"")</f>
        <v>tbsp</v>
      </c>
      <c r="E37" s="21" t="str">
        <f aca="false">IFERROR(INDEX('Ingredient Catalog'!$B:$B,MATCH(20,'Ingredient Catalog'!$J:$J,0)),"")</f>
        <v>Asian Pantry</v>
      </c>
      <c r="F37" s="21" t="str">
        <f aca="false">IFERROR(IF(INDEX('Ingredient Catalog'!$D:$D,MATCH(20,'Ingredient Catalog'!$J:$J,0))="Yes","Check pantry",""),"")</f>
        <v>Check pantry</v>
      </c>
      <c r="G37" s="21" t="str">
        <f aca="false">IFERROR(IF(INDEX('Ingredient Catalog'!$E:$E,MATCH(20,'Ingredient Catalog'!$J:$J,0))=0,"",INDEX('Ingredient Catalog'!$E:$E,MATCH(20,'Ingredient Catalog'!$J:$J,0))),"")</f>
        <v/>
      </c>
    </row>
    <row r="38" customFormat="false" ht="15" hidden="false" customHeight="false" outlineLevel="0" collapsed="false">
      <c r="B38" s="21" t="str">
        <f aca="false">IFERROR(INDEX('Ingredient Catalog'!$A:$A,MATCH(21,'Ingredient Catalog'!$J:$J,0)),"")</f>
        <v>Chinkiang black vinegar</v>
      </c>
      <c r="C38" s="23" t="n">
        <f aca="false">IFERROR(IF(INDEX('Ingredient Catalog'!$H:$H,MATCH(21,'Ingredient Catalog'!$J:$J,0))=0,"",INDEX('Ingredient Catalog'!$H:$H,MATCH(21,'Ingredient Catalog'!$J:$J,0))),"")</f>
        <v>1</v>
      </c>
      <c r="D38" s="21" t="str">
        <f aca="false">IFERROR(INDEX('Ingredient Catalog'!$C:$C,MATCH(21,'Ingredient Catalog'!$J:$J,0)),"")</f>
        <v>tbsp</v>
      </c>
      <c r="E38" s="21" t="str">
        <f aca="false">IFERROR(INDEX('Ingredient Catalog'!$B:$B,MATCH(21,'Ingredient Catalog'!$J:$J,0)),"")</f>
        <v>Asian Pantry</v>
      </c>
      <c r="F38" s="21" t="str">
        <f aca="false">IFERROR(IF(INDEX('Ingredient Catalog'!$D:$D,MATCH(21,'Ingredient Catalog'!$J:$J,0))="Yes","Check pantry",""),"")</f>
        <v>Check pantry</v>
      </c>
      <c r="G38" s="21" t="str">
        <f aca="false">IFERROR(IF(INDEX('Ingredient Catalog'!$E:$E,MATCH(21,'Ingredient Catalog'!$J:$J,0))=0,"",INDEX('Ingredient Catalog'!$E:$E,MATCH(21,'Ingredient Catalog'!$J:$J,0))),"")</f>
        <v/>
      </c>
    </row>
    <row r="39" customFormat="false" ht="15" hidden="false" customHeight="false" outlineLevel="0" collapsed="false">
      <c r="B39" s="21" t="str">
        <f aca="false">IFERROR(INDEX('Ingredient Catalog'!$A:$A,MATCH(22,'Ingredient Catalog'!$J:$J,0)),"")</f>
        <v>Chili oil</v>
      </c>
      <c r="C39" s="23" t="n">
        <f aca="false">IFERROR(IF(INDEX('Ingredient Catalog'!$H:$H,MATCH(22,'Ingredient Catalog'!$J:$J,0))=0,"",INDEX('Ingredient Catalog'!$H:$H,MATCH(22,'Ingredient Catalog'!$J:$J,0))),"")</f>
        <v>1</v>
      </c>
      <c r="D39" s="21" t="str">
        <f aca="false">IFERROR(INDEX('Ingredient Catalog'!$C:$C,MATCH(22,'Ingredient Catalog'!$J:$J,0)),"")</f>
        <v>tbsp</v>
      </c>
      <c r="E39" s="21" t="str">
        <f aca="false">IFERROR(INDEX('Ingredient Catalog'!$B:$B,MATCH(22,'Ingredient Catalog'!$J:$J,0)),"")</f>
        <v>Asian Pantry</v>
      </c>
      <c r="F39" s="21" t="str">
        <f aca="false">IFERROR(IF(INDEX('Ingredient Catalog'!$D:$D,MATCH(22,'Ingredient Catalog'!$J:$J,0))="Yes","Check pantry",""),"")</f>
        <v>Check pantry</v>
      </c>
      <c r="G39" s="21" t="str">
        <f aca="false">IFERROR(IF(INDEX('Ingredient Catalog'!$E:$E,MATCH(22,'Ingredient Catalog'!$J:$J,0))=0,"",INDEX('Ingredient Catalog'!$E:$E,MATCH(22,'Ingredient Catalog'!$J:$J,0))),"")</f>
        <v/>
      </c>
    </row>
    <row r="40" customFormat="false" ht="15" hidden="false" customHeight="false" outlineLevel="0" collapsed="false">
      <c r="B40" s="21" t="str">
        <f aca="false">IFERROR(INDEX('Ingredient Catalog'!$A:$A,MATCH(23,'Ingredient Catalog'!$J:$J,0)),"")</f>
        <v>Sweet paprika</v>
      </c>
      <c r="C40" s="23" t="n">
        <f aca="false">IFERROR(IF(INDEX('Ingredient Catalog'!$H:$H,MATCH(23,'Ingredient Catalog'!$J:$J,0))=0,"",INDEX('Ingredient Catalog'!$H:$H,MATCH(23,'Ingredient Catalog'!$J:$J,0))),"")</f>
        <v>2</v>
      </c>
      <c r="D40" s="21" t="str">
        <f aca="false">IFERROR(INDEX('Ingredient Catalog'!$C:$C,MATCH(23,'Ingredient Catalog'!$J:$J,0)),"")</f>
        <v>tbsp</v>
      </c>
      <c r="E40" s="21" t="str">
        <f aca="false">IFERROR(INDEX('Ingredient Catalog'!$B:$B,MATCH(23,'Ingredient Catalog'!$J:$J,0)),"")</f>
        <v>Spices</v>
      </c>
      <c r="F40" s="21" t="str">
        <f aca="false">IFERROR(IF(INDEX('Ingredient Catalog'!$D:$D,MATCH(23,'Ingredient Catalog'!$J:$J,0))="Yes","Check pantry",""),"")</f>
        <v>Check pantry</v>
      </c>
      <c r="G40" s="21" t="str">
        <f aca="false">IFERROR(IF(INDEX('Ingredient Catalog'!$E:$E,MATCH(23,'Ingredient Catalog'!$J:$J,0))=0,"",INDEX('Ingredient Catalog'!$E:$E,MATCH(23,'Ingredient Catalog'!$J:$J,0))),"")</f>
        <v/>
      </c>
    </row>
    <row r="41" customFormat="false" ht="15" hidden="false" customHeight="false" outlineLevel="0" collapsed="false">
      <c r="B41" s="21" t="str">
        <f aca="false">IFERROR(INDEX('Ingredient Catalog'!$A:$A,MATCH(24,'Ingredient Catalog'!$J:$J,0)),"")</f>
        <v>Salt</v>
      </c>
      <c r="C41" s="23" t="str">
        <f aca="false">IFERROR(IF(INDEX('Ingredient Catalog'!$H:$H,MATCH(24,'Ingredient Catalog'!$J:$J,0))=0,"",INDEX('Ingredient Catalog'!$H:$H,MATCH(24,'Ingredient Catalog'!$J:$J,0))),"")</f>
        <v/>
      </c>
      <c r="D41" s="21" t="str">
        <f aca="false">IFERROR(INDEX('Ingredient Catalog'!$C:$C,MATCH(24,'Ingredient Catalog'!$J:$J,0)),"")</f>
        <v>to taste</v>
      </c>
      <c r="E41" s="21" t="str">
        <f aca="false">IFERROR(INDEX('Ingredient Catalog'!$B:$B,MATCH(24,'Ingredient Catalog'!$J:$J,0)),"")</f>
        <v>Spices</v>
      </c>
      <c r="F41" s="21" t="str">
        <f aca="false">IFERROR(IF(INDEX('Ingredient Catalog'!$D:$D,MATCH(24,'Ingredient Catalog'!$J:$J,0))="Yes","Check pantry",""),"")</f>
        <v>Check pantry</v>
      </c>
      <c r="G41" s="21" t="str">
        <f aca="false">IFERROR(IF(INDEX('Ingredient Catalog'!$E:$E,MATCH(24,'Ingredient Catalog'!$J:$J,0))=0,"",INDEX('Ingredient Catalog'!$E:$E,MATCH(24,'Ingredient Catalog'!$J:$J,0))),"")</f>
        <v/>
      </c>
    </row>
    <row r="42" customFormat="false" ht="15" hidden="false" customHeight="false" outlineLevel="0" collapsed="false">
      <c r="B42" s="21" t="str">
        <f aca="false">IFERROR(INDEX('Ingredient Catalog'!$A:$A,MATCH(25,'Ingredient Catalog'!$J:$J,0)),"")</f>
        <v>Olive oil</v>
      </c>
      <c r="C42" s="23" t="n">
        <f aca="false">IFERROR(IF(INDEX('Ingredient Catalog'!$H:$H,MATCH(25,'Ingredient Catalog'!$J:$J,0))=0,"",INDEX('Ingredient Catalog'!$H:$H,MATCH(25,'Ingredient Catalog'!$J:$J,0))),"")</f>
        <v>3</v>
      </c>
      <c r="D42" s="21" t="str">
        <f aca="false">IFERROR(INDEX('Ingredient Catalog'!$C:$C,MATCH(25,'Ingredient Catalog'!$J:$J,0)),"")</f>
        <v>tbsp</v>
      </c>
      <c r="E42" s="21" t="str">
        <f aca="false">IFERROR(INDEX('Ingredient Catalog'!$B:$B,MATCH(25,'Ingredient Catalog'!$J:$J,0)),"")</f>
        <v>Oils &amp; Vinegars</v>
      </c>
      <c r="F42" s="21" t="str">
        <f aca="false">IFERROR(IF(INDEX('Ingredient Catalog'!$D:$D,MATCH(25,'Ingredient Catalog'!$J:$J,0))="Yes","Check pantry",""),"")</f>
        <v>Check pantry</v>
      </c>
      <c r="G42" s="21" t="str">
        <f aca="false">IFERROR(IF(INDEX('Ingredient Catalog'!$E:$E,MATCH(25,'Ingredient Catalog'!$J:$J,0))=0,"",INDEX('Ingredient Catalog'!$E:$E,MATCH(25,'Ingredient Catalog'!$J:$J,0))),"")</f>
        <v/>
      </c>
    </row>
    <row r="43" customFormat="false" ht="15" hidden="false" customHeight="false" outlineLevel="0" collapsed="false">
      <c r="B43" s="21" t="str">
        <f aca="false">IFERROR(INDEX('Ingredient Catalog'!$A:$A,MATCH(26,'Ingredient Catalog'!$J:$J,0)),"")</f>
        <v>Flour</v>
      </c>
      <c r="C43" s="23" t="n">
        <f aca="false">IFERROR(IF(INDEX('Ingredient Catalog'!$H:$H,MATCH(26,'Ingredient Catalog'!$J:$J,0))=0,"",INDEX('Ingredient Catalog'!$H:$H,MATCH(26,'Ingredient Catalog'!$J:$J,0))),"")</f>
        <v>2</v>
      </c>
      <c r="D43" s="21" t="str">
        <f aca="false">IFERROR(INDEX('Ingredient Catalog'!$C:$C,MATCH(26,'Ingredient Catalog'!$J:$J,0)),"")</f>
        <v>tbsp</v>
      </c>
      <c r="E43" s="21" t="str">
        <f aca="false">IFERROR(INDEX('Ingredient Catalog'!$B:$B,MATCH(26,'Ingredient Catalog'!$J:$J,0)),"")</f>
        <v>Baking</v>
      </c>
      <c r="F43" s="21" t="str">
        <f aca="false">IFERROR(IF(INDEX('Ingredient Catalog'!$D:$D,MATCH(26,'Ingredient Catalog'!$J:$J,0))="Yes","Check pantry",""),"")</f>
        <v>Check pantry</v>
      </c>
      <c r="G43" s="21" t="str">
        <f aca="false">IFERROR(IF(INDEX('Ingredient Catalog'!$E:$E,MATCH(26,'Ingredient Catalog'!$J:$J,0))=0,"",INDEX('Ingredient Catalog'!$E:$E,MATCH(26,'Ingredient Catalog'!$J:$J,0))),"")</f>
        <v/>
      </c>
    </row>
    <row r="44" customFormat="false" ht="15" hidden="false" customHeight="false" outlineLevel="0" collapsed="false">
      <c r="B44" s="21" t="str">
        <f aca="false">IFERROR(INDEX('Ingredient Catalog'!$A:$A,MATCH(27,'Ingredient Catalog'!$J:$J,0)),"")</f>
        <v/>
      </c>
      <c r="C44" s="23" t="str">
        <f aca="false">IFERROR(IF(INDEX('Ingredient Catalog'!$H:$H,MATCH(27,'Ingredient Catalog'!$J:$J,0))=0,"",INDEX('Ingredient Catalog'!$H:$H,MATCH(27,'Ingredient Catalog'!$J:$J,0))),"")</f>
        <v/>
      </c>
      <c r="D44" s="21" t="str">
        <f aca="false">IFERROR(INDEX('Ingredient Catalog'!$C:$C,MATCH(27,'Ingredient Catalog'!$J:$J,0)),"")</f>
        <v/>
      </c>
      <c r="E44" s="21" t="str">
        <f aca="false">IFERROR(INDEX('Ingredient Catalog'!$B:$B,MATCH(27,'Ingredient Catalog'!$J:$J,0)),"")</f>
        <v/>
      </c>
      <c r="F44" s="21" t="str">
        <f aca="false">IFERROR(IF(INDEX('Ingredient Catalog'!$D:$D,MATCH(27,'Ingredient Catalog'!$J:$J,0))="Yes","Check pantry",""),"")</f>
        <v/>
      </c>
      <c r="G44" s="21" t="str">
        <f aca="false">IFERROR(IF(INDEX('Ingredient Catalog'!$E:$E,MATCH(27,'Ingredient Catalog'!$J:$J,0))=0,"",INDEX('Ingredient Catalog'!$E:$E,MATCH(27,'Ingredient Catalog'!$J:$J,0))),"")</f>
        <v/>
      </c>
    </row>
    <row r="45" customFormat="false" ht="15" hidden="false" customHeight="false" outlineLevel="0" collapsed="false">
      <c r="B45" s="21" t="str">
        <f aca="false">IFERROR(INDEX('Ingredient Catalog'!$A:$A,MATCH(28,'Ingredient Catalog'!$J:$J,0)),"")</f>
        <v/>
      </c>
      <c r="C45" s="23" t="str">
        <f aca="false">IFERROR(IF(INDEX('Ingredient Catalog'!$H:$H,MATCH(28,'Ingredient Catalog'!$J:$J,0))=0,"",INDEX('Ingredient Catalog'!$H:$H,MATCH(28,'Ingredient Catalog'!$J:$J,0))),"")</f>
        <v/>
      </c>
      <c r="D45" s="21" t="str">
        <f aca="false">IFERROR(INDEX('Ingredient Catalog'!$C:$C,MATCH(28,'Ingredient Catalog'!$J:$J,0)),"")</f>
        <v/>
      </c>
      <c r="E45" s="21" t="str">
        <f aca="false">IFERROR(INDEX('Ingredient Catalog'!$B:$B,MATCH(28,'Ingredient Catalog'!$J:$J,0)),"")</f>
        <v/>
      </c>
      <c r="F45" s="21" t="str">
        <f aca="false">IFERROR(IF(INDEX('Ingredient Catalog'!$D:$D,MATCH(28,'Ingredient Catalog'!$J:$J,0))="Yes","Check pantry",""),"")</f>
        <v/>
      </c>
      <c r="G45" s="21" t="str">
        <f aca="false">IFERROR(IF(INDEX('Ingredient Catalog'!$E:$E,MATCH(28,'Ingredient Catalog'!$J:$J,0))=0,"",INDEX('Ingredient Catalog'!$E:$E,MATCH(28,'Ingredient Catalog'!$J:$J,0))),"")</f>
        <v/>
      </c>
    </row>
    <row r="46" customFormat="false" ht="15" hidden="false" customHeight="false" outlineLevel="0" collapsed="false">
      <c r="B46" s="21" t="str">
        <f aca="false">IFERROR(INDEX('Ingredient Catalog'!$A:$A,MATCH(29,'Ingredient Catalog'!$J:$J,0)),"")</f>
        <v/>
      </c>
      <c r="C46" s="23" t="str">
        <f aca="false">IFERROR(IF(INDEX('Ingredient Catalog'!$H:$H,MATCH(29,'Ingredient Catalog'!$J:$J,0))=0,"",INDEX('Ingredient Catalog'!$H:$H,MATCH(29,'Ingredient Catalog'!$J:$J,0))),"")</f>
        <v/>
      </c>
      <c r="D46" s="21" t="str">
        <f aca="false">IFERROR(INDEX('Ingredient Catalog'!$C:$C,MATCH(29,'Ingredient Catalog'!$J:$J,0)),"")</f>
        <v/>
      </c>
      <c r="E46" s="21" t="str">
        <f aca="false">IFERROR(INDEX('Ingredient Catalog'!$B:$B,MATCH(29,'Ingredient Catalog'!$J:$J,0)),"")</f>
        <v/>
      </c>
      <c r="F46" s="21" t="str">
        <f aca="false">IFERROR(IF(INDEX('Ingredient Catalog'!$D:$D,MATCH(29,'Ingredient Catalog'!$J:$J,0))="Yes","Check pantry",""),"")</f>
        <v/>
      </c>
      <c r="G46" s="21" t="str">
        <f aca="false">IFERROR(IF(INDEX('Ingredient Catalog'!$E:$E,MATCH(29,'Ingredient Catalog'!$J:$J,0))=0,"",INDEX('Ingredient Catalog'!$E:$E,MATCH(29,'Ingredient Catalog'!$J:$J,0))),"")</f>
        <v/>
      </c>
    </row>
    <row r="47" customFormat="false" ht="15" hidden="false" customHeight="false" outlineLevel="0" collapsed="false">
      <c r="B47" s="21" t="str">
        <f aca="false">IFERROR(INDEX('Ingredient Catalog'!$A:$A,MATCH(30,'Ingredient Catalog'!$J:$J,0)),"")</f>
        <v/>
      </c>
      <c r="C47" s="23" t="str">
        <f aca="false">IFERROR(IF(INDEX('Ingredient Catalog'!$H:$H,MATCH(30,'Ingredient Catalog'!$J:$J,0))=0,"",INDEX('Ingredient Catalog'!$H:$H,MATCH(30,'Ingredient Catalog'!$J:$J,0))),"")</f>
        <v/>
      </c>
      <c r="D47" s="21" t="str">
        <f aca="false">IFERROR(INDEX('Ingredient Catalog'!$C:$C,MATCH(30,'Ingredient Catalog'!$J:$J,0)),"")</f>
        <v/>
      </c>
      <c r="E47" s="21" t="str">
        <f aca="false">IFERROR(INDEX('Ingredient Catalog'!$B:$B,MATCH(30,'Ingredient Catalog'!$J:$J,0)),"")</f>
        <v/>
      </c>
      <c r="F47" s="21" t="str">
        <f aca="false">IFERROR(IF(INDEX('Ingredient Catalog'!$D:$D,MATCH(30,'Ingredient Catalog'!$J:$J,0))="Yes","Check pantry",""),"")</f>
        <v/>
      </c>
      <c r="G47" s="21" t="str">
        <f aca="false">IFERROR(IF(INDEX('Ingredient Catalog'!$E:$E,MATCH(30,'Ingredient Catalog'!$J:$J,0))=0,"",INDEX('Ingredient Catalog'!$E:$E,MATCH(30,'Ingredient Catalog'!$J:$J,0))),"")</f>
        <v/>
      </c>
    </row>
    <row r="48" customFormat="false" ht="15" hidden="false" customHeight="false" outlineLevel="0" collapsed="false">
      <c r="B48" s="21" t="str">
        <f aca="false">IFERROR(INDEX('Ingredient Catalog'!$A:$A,MATCH(31,'Ingredient Catalog'!$J:$J,0)),"")</f>
        <v/>
      </c>
      <c r="C48" s="23" t="str">
        <f aca="false">IFERROR(IF(INDEX('Ingredient Catalog'!$H:$H,MATCH(31,'Ingredient Catalog'!$J:$J,0))=0,"",INDEX('Ingredient Catalog'!$H:$H,MATCH(31,'Ingredient Catalog'!$J:$J,0))),"")</f>
        <v/>
      </c>
      <c r="D48" s="21" t="str">
        <f aca="false">IFERROR(INDEX('Ingredient Catalog'!$C:$C,MATCH(31,'Ingredient Catalog'!$J:$J,0)),"")</f>
        <v/>
      </c>
      <c r="E48" s="21" t="str">
        <f aca="false">IFERROR(INDEX('Ingredient Catalog'!$B:$B,MATCH(31,'Ingredient Catalog'!$J:$J,0)),"")</f>
        <v/>
      </c>
      <c r="F48" s="21" t="str">
        <f aca="false">IFERROR(IF(INDEX('Ingredient Catalog'!$D:$D,MATCH(31,'Ingredient Catalog'!$J:$J,0))="Yes","Check pantry",""),"")</f>
        <v/>
      </c>
      <c r="G48" s="21" t="str">
        <f aca="false">IFERROR(IF(INDEX('Ingredient Catalog'!$E:$E,MATCH(31,'Ingredient Catalog'!$J:$J,0))=0,"",INDEX('Ingredient Catalog'!$E:$E,MATCH(31,'Ingredient Catalog'!$J:$J,0))),"")</f>
        <v/>
      </c>
    </row>
    <row r="49" customFormat="false" ht="15" hidden="false" customHeight="false" outlineLevel="0" collapsed="false">
      <c r="B49" s="21" t="str">
        <f aca="false">IFERROR(INDEX('Ingredient Catalog'!$A:$A,MATCH(32,'Ingredient Catalog'!$J:$J,0)),"")</f>
        <v/>
      </c>
      <c r="C49" s="23" t="str">
        <f aca="false">IFERROR(IF(INDEX('Ingredient Catalog'!$H:$H,MATCH(32,'Ingredient Catalog'!$J:$J,0))=0,"",INDEX('Ingredient Catalog'!$H:$H,MATCH(32,'Ingredient Catalog'!$J:$J,0))),"")</f>
        <v/>
      </c>
      <c r="D49" s="21" t="str">
        <f aca="false">IFERROR(INDEX('Ingredient Catalog'!$C:$C,MATCH(32,'Ingredient Catalog'!$J:$J,0)),"")</f>
        <v/>
      </c>
      <c r="E49" s="21" t="str">
        <f aca="false">IFERROR(INDEX('Ingredient Catalog'!$B:$B,MATCH(32,'Ingredient Catalog'!$J:$J,0)),"")</f>
        <v/>
      </c>
      <c r="F49" s="21" t="str">
        <f aca="false">IFERROR(IF(INDEX('Ingredient Catalog'!$D:$D,MATCH(32,'Ingredient Catalog'!$J:$J,0))="Yes","Check pantry",""),"")</f>
        <v/>
      </c>
      <c r="G49" s="21" t="str">
        <f aca="false">IFERROR(IF(INDEX('Ingredient Catalog'!$E:$E,MATCH(32,'Ingredient Catalog'!$J:$J,0))=0,"",INDEX('Ingredient Catalog'!$E:$E,MATCH(32,'Ingredient Catalog'!$J:$J,0))),"")</f>
        <v/>
      </c>
    </row>
    <row r="50" customFormat="false" ht="15" hidden="false" customHeight="false" outlineLevel="0" collapsed="false">
      <c r="B50" s="21" t="str">
        <f aca="false">IFERROR(INDEX('Ingredient Catalog'!$A:$A,MATCH(33,'Ingredient Catalog'!$J:$J,0)),"")</f>
        <v/>
      </c>
      <c r="C50" s="23" t="str">
        <f aca="false">IFERROR(IF(INDEX('Ingredient Catalog'!$H:$H,MATCH(33,'Ingredient Catalog'!$J:$J,0))=0,"",INDEX('Ingredient Catalog'!$H:$H,MATCH(33,'Ingredient Catalog'!$J:$J,0))),"")</f>
        <v/>
      </c>
      <c r="D50" s="21" t="str">
        <f aca="false">IFERROR(INDEX('Ingredient Catalog'!$C:$C,MATCH(33,'Ingredient Catalog'!$J:$J,0)),"")</f>
        <v/>
      </c>
      <c r="E50" s="21" t="str">
        <f aca="false">IFERROR(INDEX('Ingredient Catalog'!$B:$B,MATCH(33,'Ingredient Catalog'!$J:$J,0)),"")</f>
        <v/>
      </c>
      <c r="F50" s="21" t="str">
        <f aca="false">IFERROR(IF(INDEX('Ingredient Catalog'!$D:$D,MATCH(33,'Ingredient Catalog'!$J:$J,0))="Yes","Check pantry",""),"")</f>
        <v/>
      </c>
      <c r="G50" s="21" t="str">
        <f aca="false">IFERROR(IF(INDEX('Ingredient Catalog'!$E:$E,MATCH(33,'Ingredient Catalog'!$J:$J,0))=0,"",INDEX('Ingredient Catalog'!$E:$E,MATCH(33,'Ingredient Catalog'!$J:$J,0))),"")</f>
        <v/>
      </c>
    </row>
    <row r="51" customFormat="false" ht="15" hidden="false" customHeight="false" outlineLevel="0" collapsed="false">
      <c r="B51" s="21" t="str">
        <f aca="false">IFERROR(INDEX('Ingredient Catalog'!$A:$A,MATCH(34,'Ingredient Catalog'!$J:$J,0)),"")</f>
        <v/>
      </c>
      <c r="C51" s="23" t="str">
        <f aca="false">IFERROR(IF(INDEX('Ingredient Catalog'!$H:$H,MATCH(34,'Ingredient Catalog'!$J:$J,0))=0,"",INDEX('Ingredient Catalog'!$H:$H,MATCH(34,'Ingredient Catalog'!$J:$J,0))),"")</f>
        <v/>
      </c>
      <c r="D51" s="21" t="str">
        <f aca="false">IFERROR(INDEX('Ingredient Catalog'!$C:$C,MATCH(34,'Ingredient Catalog'!$J:$J,0)),"")</f>
        <v/>
      </c>
      <c r="E51" s="21" t="str">
        <f aca="false">IFERROR(INDEX('Ingredient Catalog'!$B:$B,MATCH(34,'Ingredient Catalog'!$J:$J,0)),"")</f>
        <v/>
      </c>
      <c r="F51" s="21" t="str">
        <f aca="false">IFERROR(IF(INDEX('Ingredient Catalog'!$D:$D,MATCH(34,'Ingredient Catalog'!$J:$J,0))="Yes","Check pantry",""),"")</f>
        <v/>
      </c>
      <c r="G51" s="21" t="str">
        <f aca="false">IFERROR(IF(INDEX('Ingredient Catalog'!$E:$E,MATCH(34,'Ingredient Catalog'!$J:$J,0))=0,"",INDEX('Ingredient Catalog'!$E:$E,MATCH(34,'Ingredient Catalog'!$J:$J,0))),"")</f>
        <v/>
      </c>
    </row>
    <row r="52" customFormat="false" ht="15" hidden="false" customHeight="false" outlineLevel="0" collapsed="false">
      <c r="B52" s="21" t="str">
        <f aca="false">IFERROR(INDEX('Ingredient Catalog'!$A:$A,MATCH(35,'Ingredient Catalog'!$J:$J,0)),"")</f>
        <v/>
      </c>
      <c r="C52" s="23" t="str">
        <f aca="false">IFERROR(IF(INDEX('Ingredient Catalog'!$H:$H,MATCH(35,'Ingredient Catalog'!$J:$J,0))=0,"",INDEX('Ingredient Catalog'!$H:$H,MATCH(35,'Ingredient Catalog'!$J:$J,0))),"")</f>
        <v/>
      </c>
      <c r="D52" s="21" t="str">
        <f aca="false">IFERROR(INDEX('Ingredient Catalog'!$C:$C,MATCH(35,'Ingredient Catalog'!$J:$J,0)),"")</f>
        <v/>
      </c>
      <c r="E52" s="21" t="str">
        <f aca="false">IFERROR(INDEX('Ingredient Catalog'!$B:$B,MATCH(35,'Ingredient Catalog'!$J:$J,0)),"")</f>
        <v/>
      </c>
      <c r="F52" s="21" t="str">
        <f aca="false">IFERROR(IF(INDEX('Ingredient Catalog'!$D:$D,MATCH(35,'Ingredient Catalog'!$J:$J,0))="Yes","Check pantry",""),"")</f>
        <v/>
      </c>
      <c r="G52" s="21" t="str">
        <f aca="false">IFERROR(IF(INDEX('Ingredient Catalog'!$E:$E,MATCH(35,'Ingredient Catalog'!$J:$J,0))=0,"",INDEX('Ingredient Catalog'!$E:$E,MATCH(35,'Ingredient Catalog'!$J:$J,0))),"")</f>
        <v/>
      </c>
    </row>
    <row r="53" customFormat="false" ht="15" hidden="false" customHeight="false" outlineLevel="0" collapsed="false">
      <c r="B53" s="21" t="str">
        <f aca="false">IFERROR(INDEX('Ingredient Catalog'!$A:$A,MATCH(36,'Ingredient Catalog'!$J:$J,0)),"")</f>
        <v/>
      </c>
      <c r="C53" s="23" t="str">
        <f aca="false">IFERROR(IF(INDEX('Ingredient Catalog'!$H:$H,MATCH(36,'Ingredient Catalog'!$J:$J,0))=0,"",INDEX('Ingredient Catalog'!$H:$H,MATCH(36,'Ingredient Catalog'!$J:$J,0))),"")</f>
        <v/>
      </c>
      <c r="D53" s="21" t="str">
        <f aca="false">IFERROR(INDEX('Ingredient Catalog'!$C:$C,MATCH(36,'Ingredient Catalog'!$J:$J,0)),"")</f>
        <v/>
      </c>
      <c r="E53" s="21" t="str">
        <f aca="false">IFERROR(INDEX('Ingredient Catalog'!$B:$B,MATCH(36,'Ingredient Catalog'!$J:$J,0)),"")</f>
        <v/>
      </c>
      <c r="F53" s="21" t="str">
        <f aca="false">IFERROR(IF(INDEX('Ingredient Catalog'!$D:$D,MATCH(36,'Ingredient Catalog'!$J:$J,0))="Yes","Check pantry",""),"")</f>
        <v/>
      </c>
      <c r="G53" s="21" t="str">
        <f aca="false">IFERROR(IF(INDEX('Ingredient Catalog'!$E:$E,MATCH(36,'Ingredient Catalog'!$J:$J,0))=0,"",INDEX('Ingredient Catalog'!$E:$E,MATCH(36,'Ingredient Catalog'!$J:$J,0))),"")</f>
        <v/>
      </c>
    </row>
    <row r="54" customFormat="false" ht="15" hidden="false" customHeight="false" outlineLevel="0" collapsed="false">
      <c r="B54" s="21" t="str">
        <f aca="false">IFERROR(INDEX('Ingredient Catalog'!$A:$A,MATCH(37,'Ingredient Catalog'!$J:$J,0)),"")</f>
        <v/>
      </c>
      <c r="C54" s="23" t="str">
        <f aca="false">IFERROR(IF(INDEX('Ingredient Catalog'!$H:$H,MATCH(37,'Ingredient Catalog'!$J:$J,0))=0,"",INDEX('Ingredient Catalog'!$H:$H,MATCH(37,'Ingredient Catalog'!$J:$J,0))),"")</f>
        <v/>
      </c>
      <c r="D54" s="21" t="str">
        <f aca="false">IFERROR(INDEX('Ingredient Catalog'!$C:$C,MATCH(37,'Ingredient Catalog'!$J:$J,0)),"")</f>
        <v/>
      </c>
      <c r="E54" s="21" t="str">
        <f aca="false">IFERROR(INDEX('Ingredient Catalog'!$B:$B,MATCH(37,'Ingredient Catalog'!$J:$J,0)),"")</f>
        <v/>
      </c>
      <c r="F54" s="21" t="str">
        <f aca="false">IFERROR(IF(INDEX('Ingredient Catalog'!$D:$D,MATCH(37,'Ingredient Catalog'!$J:$J,0))="Yes","Check pantry",""),"")</f>
        <v/>
      </c>
      <c r="G54" s="21" t="str">
        <f aca="false">IFERROR(IF(INDEX('Ingredient Catalog'!$E:$E,MATCH(37,'Ingredient Catalog'!$J:$J,0))=0,"",INDEX('Ingredient Catalog'!$E:$E,MATCH(37,'Ingredient Catalog'!$J:$J,0))),"")</f>
        <v/>
      </c>
    </row>
    <row r="55" customFormat="false" ht="15" hidden="false" customHeight="false" outlineLevel="0" collapsed="false">
      <c r="B55" s="21" t="str">
        <f aca="false">IFERROR(INDEX('Ingredient Catalog'!$A:$A,MATCH(38,'Ingredient Catalog'!$J:$J,0)),"")</f>
        <v/>
      </c>
      <c r="C55" s="23" t="str">
        <f aca="false">IFERROR(IF(INDEX('Ingredient Catalog'!$H:$H,MATCH(38,'Ingredient Catalog'!$J:$J,0))=0,"",INDEX('Ingredient Catalog'!$H:$H,MATCH(38,'Ingredient Catalog'!$J:$J,0))),"")</f>
        <v/>
      </c>
      <c r="D55" s="21" t="str">
        <f aca="false">IFERROR(INDEX('Ingredient Catalog'!$C:$C,MATCH(38,'Ingredient Catalog'!$J:$J,0)),"")</f>
        <v/>
      </c>
      <c r="E55" s="21" t="str">
        <f aca="false">IFERROR(INDEX('Ingredient Catalog'!$B:$B,MATCH(38,'Ingredient Catalog'!$J:$J,0)),"")</f>
        <v/>
      </c>
      <c r="F55" s="21" t="str">
        <f aca="false">IFERROR(IF(INDEX('Ingredient Catalog'!$D:$D,MATCH(38,'Ingredient Catalog'!$J:$J,0))="Yes","Check pantry",""),"")</f>
        <v/>
      </c>
      <c r="G55" s="21" t="str">
        <f aca="false">IFERROR(IF(INDEX('Ingredient Catalog'!$E:$E,MATCH(38,'Ingredient Catalog'!$J:$J,0))=0,"",INDEX('Ingredient Catalog'!$E:$E,MATCH(38,'Ingredient Catalog'!$J:$J,0))),"")</f>
        <v/>
      </c>
    </row>
    <row r="56" customFormat="false" ht="15" hidden="false" customHeight="false" outlineLevel="0" collapsed="false">
      <c r="B56" s="21" t="str">
        <f aca="false">IFERROR(INDEX('Ingredient Catalog'!$A:$A,MATCH(39,'Ingredient Catalog'!$J:$J,0)),"")</f>
        <v/>
      </c>
      <c r="C56" s="23" t="str">
        <f aca="false">IFERROR(IF(INDEX('Ingredient Catalog'!$H:$H,MATCH(39,'Ingredient Catalog'!$J:$J,0))=0,"",INDEX('Ingredient Catalog'!$H:$H,MATCH(39,'Ingredient Catalog'!$J:$J,0))),"")</f>
        <v/>
      </c>
      <c r="D56" s="21" t="str">
        <f aca="false">IFERROR(INDEX('Ingredient Catalog'!$C:$C,MATCH(39,'Ingredient Catalog'!$J:$J,0)),"")</f>
        <v/>
      </c>
      <c r="E56" s="21" t="str">
        <f aca="false">IFERROR(INDEX('Ingredient Catalog'!$B:$B,MATCH(39,'Ingredient Catalog'!$J:$J,0)),"")</f>
        <v/>
      </c>
      <c r="F56" s="21" t="str">
        <f aca="false">IFERROR(IF(INDEX('Ingredient Catalog'!$D:$D,MATCH(39,'Ingredient Catalog'!$J:$J,0))="Yes","Check pantry",""),"")</f>
        <v/>
      </c>
      <c r="G56" s="21" t="str">
        <f aca="false">IFERROR(IF(INDEX('Ingredient Catalog'!$E:$E,MATCH(39,'Ingredient Catalog'!$J:$J,0))=0,"",INDEX('Ingredient Catalog'!$E:$E,MATCH(39,'Ingredient Catalog'!$J:$J,0))),"")</f>
        <v/>
      </c>
    </row>
    <row r="57" customFormat="false" ht="15" hidden="false" customHeight="false" outlineLevel="0" collapsed="false">
      <c r="B57" s="21" t="str">
        <f aca="false">IFERROR(INDEX('Ingredient Catalog'!$A:$A,MATCH(40,'Ingredient Catalog'!$J:$J,0)),"")</f>
        <v/>
      </c>
      <c r="C57" s="23" t="str">
        <f aca="false">IFERROR(IF(INDEX('Ingredient Catalog'!$H:$H,MATCH(40,'Ingredient Catalog'!$J:$J,0))=0,"",INDEX('Ingredient Catalog'!$H:$H,MATCH(40,'Ingredient Catalog'!$J:$J,0))),"")</f>
        <v/>
      </c>
      <c r="D57" s="21" t="str">
        <f aca="false">IFERROR(INDEX('Ingredient Catalog'!$C:$C,MATCH(40,'Ingredient Catalog'!$J:$J,0)),"")</f>
        <v/>
      </c>
      <c r="E57" s="21" t="str">
        <f aca="false">IFERROR(INDEX('Ingredient Catalog'!$B:$B,MATCH(40,'Ingredient Catalog'!$J:$J,0)),"")</f>
        <v/>
      </c>
      <c r="F57" s="21" t="str">
        <f aca="false">IFERROR(IF(INDEX('Ingredient Catalog'!$D:$D,MATCH(40,'Ingredient Catalog'!$J:$J,0))="Yes","Check pantry",""),"")</f>
        <v/>
      </c>
      <c r="G57" s="21" t="str">
        <f aca="false">IFERROR(IF(INDEX('Ingredient Catalog'!$E:$E,MATCH(40,'Ingredient Catalog'!$J:$J,0))=0,"",INDEX('Ingredient Catalog'!$E:$E,MATCH(40,'Ingredient Catalog'!$J:$J,0))),"")</f>
        <v/>
      </c>
    </row>
    <row r="58" customFormat="false" ht="15" hidden="false" customHeight="false" outlineLevel="0" collapsed="false">
      <c r="B58" s="21" t="str">
        <f aca="false">IFERROR(INDEX('Ingredient Catalog'!$A:$A,MATCH(41,'Ingredient Catalog'!$J:$J,0)),"")</f>
        <v/>
      </c>
      <c r="C58" s="23" t="str">
        <f aca="false">IFERROR(IF(INDEX('Ingredient Catalog'!$H:$H,MATCH(41,'Ingredient Catalog'!$J:$J,0))=0,"",INDEX('Ingredient Catalog'!$H:$H,MATCH(41,'Ingredient Catalog'!$J:$J,0))),"")</f>
        <v/>
      </c>
      <c r="D58" s="21" t="str">
        <f aca="false">IFERROR(INDEX('Ingredient Catalog'!$C:$C,MATCH(41,'Ingredient Catalog'!$J:$J,0)),"")</f>
        <v/>
      </c>
      <c r="E58" s="21" t="str">
        <f aca="false">IFERROR(INDEX('Ingredient Catalog'!$B:$B,MATCH(41,'Ingredient Catalog'!$J:$J,0)),"")</f>
        <v/>
      </c>
      <c r="F58" s="21" t="str">
        <f aca="false">IFERROR(IF(INDEX('Ingredient Catalog'!$D:$D,MATCH(41,'Ingredient Catalog'!$J:$J,0))="Yes","Check pantry",""),"")</f>
        <v/>
      </c>
      <c r="G58" s="21" t="str">
        <f aca="false">IFERROR(IF(INDEX('Ingredient Catalog'!$E:$E,MATCH(41,'Ingredient Catalog'!$J:$J,0))=0,"",INDEX('Ingredient Catalog'!$E:$E,MATCH(41,'Ingredient Catalog'!$J:$J,0))),"")</f>
        <v/>
      </c>
    </row>
    <row r="59" customFormat="false" ht="15" hidden="false" customHeight="false" outlineLevel="0" collapsed="false">
      <c r="B59" s="21" t="str">
        <f aca="false">IFERROR(INDEX('Ingredient Catalog'!$A:$A,MATCH(42,'Ingredient Catalog'!$J:$J,0)),"")</f>
        <v/>
      </c>
      <c r="C59" s="23" t="str">
        <f aca="false">IFERROR(IF(INDEX('Ingredient Catalog'!$H:$H,MATCH(42,'Ingredient Catalog'!$J:$J,0))=0,"",INDEX('Ingredient Catalog'!$H:$H,MATCH(42,'Ingredient Catalog'!$J:$J,0))),"")</f>
        <v/>
      </c>
      <c r="D59" s="21" t="str">
        <f aca="false">IFERROR(INDEX('Ingredient Catalog'!$C:$C,MATCH(42,'Ingredient Catalog'!$J:$J,0)),"")</f>
        <v/>
      </c>
      <c r="E59" s="21" t="str">
        <f aca="false">IFERROR(INDEX('Ingredient Catalog'!$B:$B,MATCH(42,'Ingredient Catalog'!$J:$J,0)),"")</f>
        <v/>
      </c>
      <c r="F59" s="21" t="str">
        <f aca="false">IFERROR(IF(INDEX('Ingredient Catalog'!$D:$D,MATCH(42,'Ingredient Catalog'!$J:$J,0))="Yes","Check pantry",""),"")</f>
        <v/>
      </c>
      <c r="G59" s="21" t="str">
        <f aca="false">IFERROR(IF(INDEX('Ingredient Catalog'!$E:$E,MATCH(42,'Ingredient Catalog'!$J:$J,0))=0,"",INDEX('Ingredient Catalog'!$E:$E,MATCH(42,'Ingredient Catalog'!$J:$J,0))),"")</f>
        <v/>
      </c>
    </row>
    <row r="60" customFormat="false" ht="15" hidden="false" customHeight="false" outlineLevel="0" collapsed="false">
      <c r="B60" s="21" t="str">
        <f aca="false">IFERROR(INDEX('Ingredient Catalog'!$A:$A,MATCH(43,'Ingredient Catalog'!$J:$J,0)),"")</f>
        <v/>
      </c>
      <c r="C60" s="23" t="str">
        <f aca="false">IFERROR(IF(INDEX('Ingredient Catalog'!$H:$H,MATCH(43,'Ingredient Catalog'!$J:$J,0))=0,"",INDEX('Ingredient Catalog'!$H:$H,MATCH(43,'Ingredient Catalog'!$J:$J,0))),"")</f>
        <v/>
      </c>
      <c r="D60" s="21" t="str">
        <f aca="false">IFERROR(INDEX('Ingredient Catalog'!$C:$C,MATCH(43,'Ingredient Catalog'!$J:$J,0)),"")</f>
        <v/>
      </c>
      <c r="E60" s="21" t="str">
        <f aca="false">IFERROR(INDEX('Ingredient Catalog'!$B:$B,MATCH(43,'Ingredient Catalog'!$J:$J,0)),"")</f>
        <v/>
      </c>
      <c r="F60" s="21" t="str">
        <f aca="false">IFERROR(IF(INDEX('Ingredient Catalog'!$D:$D,MATCH(43,'Ingredient Catalog'!$J:$J,0))="Yes","Check pantry",""),"")</f>
        <v/>
      </c>
      <c r="G60" s="21" t="str">
        <f aca="false">IFERROR(IF(INDEX('Ingredient Catalog'!$E:$E,MATCH(43,'Ingredient Catalog'!$J:$J,0))=0,"",INDEX('Ingredient Catalog'!$E:$E,MATCH(43,'Ingredient Catalog'!$J:$J,0))),"")</f>
        <v/>
      </c>
    </row>
    <row r="61" customFormat="false" ht="15" hidden="false" customHeight="false" outlineLevel="0" collapsed="false">
      <c r="B61" s="21" t="str">
        <f aca="false">IFERROR(INDEX('Ingredient Catalog'!$A:$A,MATCH(44,'Ingredient Catalog'!$J:$J,0)),"")</f>
        <v/>
      </c>
      <c r="C61" s="23" t="str">
        <f aca="false">IFERROR(IF(INDEX('Ingredient Catalog'!$H:$H,MATCH(44,'Ingredient Catalog'!$J:$J,0))=0,"",INDEX('Ingredient Catalog'!$H:$H,MATCH(44,'Ingredient Catalog'!$J:$J,0))),"")</f>
        <v/>
      </c>
      <c r="D61" s="21" t="str">
        <f aca="false">IFERROR(INDEX('Ingredient Catalog'!$C:$C,MATCH(44,'Ingredient Catalog'!$J:$J,0)),"")</f>
        <v/>
      </c>
      <c r="E61" s="21" t="str">
        <f aca="false">IFERROR(INDEX('Ingredient Catalog'!$B:$B,MATCH(44,'Ingredient Catalog'!$J:$J,0)),"")</f>
        <v/>
      </c>
      <c r="F61" s="21" t="str">
        <f aca="false">IFERROR(IF(INDEX('Ingredient Catalog'!$D:$D,MATCH(44,'Ingredient Catalog'!$J:$J,0))="Yes","Check pantry",""),"")</f>
        <v/>
      </c>
      <c r="G61" s="21" t="str">
        <f aca="false">IFERROR(IF(INDEX('Ingredient Catalog'!$E:$E,MATCH(44,'Ingredient Catalog'!$J:$J,0))=0,"",INDEX('Ingredient Catalog'!$E:$E,MATCH(44,'Ingredient Catalog'!$J:$J,0))),"")</f>
        <v/>
      </c>
    </row>
    <row r="62" customFormat="false" ht="15" hidden="false" customHeight="false" outlineLevel="0" collapsed="false">
      <c r="B62" s="21" t="str">
        <f aca="false">IFERROR(INDEX('Ingredient Catalog'!$A:$A,MATCH(45,'Ingredient Catalog'!$J:$J,0)),"")</f>
        <v/>
      </c>
      <c r="C62" s="23" t="str">
        <f aca="false">IFERROR(IF(INDEX('Ingredient Catalog'!$H:$H,MATCH(45,'Ingredient Catalog'!$J:$J,0))=0,"",INDEX('Ingredient Catalog'!$H:$H,MATCH(45,'Ingredient Catalog'!$J:$J,0))),"")</f>
        <v/>
      </c>
      <c r="D62" s="21" t="str">
        <f aca="false">IFERROR(INDEX('Ingredient Catalog'!$C:$C,MATCH(45,'Ingredient Catalog'!$J:$J,0)),"")</f>
        <v/>
      </c>
      <c r="E62" s="21" t="str">
        <f aca="false">IFERROR(INDEX('Ingredient Catalog'!$B:$B,MATCH(45,'Ingredient Catalog'!$J:$J,0)),"")</f>
        <v/>
      </c>
      <c r="F62" s="21" t="str">
        <f aca="false">IFERROR(IF(INDEX('Ingredient Catalog'!$D:$D,MATCH(45,'Ingredient Catalog'!$J:$J,0))="Yes","Check pantry",""),"")</f>
        <v/>
      </c>
      <c r="G62" s="21" t="str">
        <f aca="false">IFERROR(IF(INDEX('Ingredient Catalog'!$E:$E,MATCH(45,'Ingredient Catalog'!$J:$J,0))=0,"",INDEX('Ingredient Catalog'!$E:$E,MATCH(45,'Ingredient Catalog'!$J:$J,0))),"")</f>
        <v/>
      </c>
    </row>
    <row r="63" customFormat="false" ht="15" hidden="false" customHeight="false" outlineLevel="0" collapsed="false">
      <c r="B63" s="21" t="str">
        <f aca="false">IFERROR(INDEX('Ingredient Catalog'!$A:$A,MATCH(46,'Ingredient Catalog'!$J:$J,0)),"")</f>
        <v/>
      </c>
      <c r="C63" s="23" t="str">
        <f aca="false">IFERROR(IF(INDEX('Ingredient Catalog'!$H:$H,MATCH(46,'Ingredient Catalog'!$J:$J,0))=0,"",INDEX('Ingredient Catalog'!$H:$H,MATCH(46,'Ingredient Catalog'!$J:$J,0))),"")</f>
        <v/>
      </c>
      <c r="D63" s="21" t="str">
        <f aca="false">IFERROR(INDEX('Ingredient Catalog'!$C:$C,MATCH(46,'Ingredient Catalog'!$J:$J,0)),"")</f>
        <v/>
      </c>
      <c r="E63" s="21" t="str">
        <f aca="false">IFERROR(INDEX('Ingredient Catalog'!$B:$B,MATCH(46,'Ingredient Catalog'!$J:$J,0)),"")</f>
        <v/>
      </c>
      <c r="F63" s="21" t="str">
        <f aca="false">IFERROR(IF(INDEX('Ingredient Catalog'!$D:$D,MATCH(46,'Ingredient Catalog'!$J:$J,0))="Yes","Check pantry",""),"")</f>
        <v/>
      </c>
      <c r="G63" s="21" t="str">
        <f aca="false">IFERROR(IF(INDEX('Ingredient Catalog'!$E:$E,MATCH(46,'Ingredient Catalog'!$J:$J,0))=0,"",INDEX('Ingredient Catalog'!$E:$E,MATCH(46,'Ingredient Catalog'!$J:$J,0))),"")</f>
        <v/>
      </c>
    </row>
    <row r="64" customFormat="false" ht="15" hidden="false" customHeight="false" outlineLevel="0" collapsed="false">
      <c r="B64" s="21" t="str">
        <f aca="false">IFERROR(INDEX('Ingredient Catalog'!$A:$A,MATCH(47,'Ingredient Catalog'!$J:$J,0)),"")</f>
        <v/>
      </c>
      <c r="C64" s="23" t="str">
        <f aca="false">IFERROR(IF(INDEX('Ingredient Catalog'!$H:$H,MATCH(47,'Ingredient Catalog'!$J:$J,0))=0,"",INDEX('Ingredient Catalog'!$H:$H,MATCH(47,'Ingredient Catalog'!$J:$J,0))),"")</f>
        <v/>
      </c>
      <c r="D64" s="21" t="str">
        <f aca="false">IFERROR(INDEX('Ingredient Catalog'!$C:$C,MATCH(47,'Ingredient Catalog'!$J:$J,0)),"")</f>
        <v/>
      </c>
      <c r="E64" s="21" t="str">
        <f aca="false">IFERROR(INDEX('Ingredient Catalog'!$B:$B,MATCH(47,'Ingredient Catalog'!$J:$J,0)),"")</f>
        <v/>
      </c>
      <c r="F64" s="21" t="str">
        <f aca="false">IFERROR(IF(INDEX('Ingredient Catalog'!$D:$D,MATCH(47,'Ingredient Catalog'!$J:$J,0))="Yes","Check pantry",""),"")</f>
        <v/>
      </c>
      <c r="G64" s="21" t="str">
        <f aca="false">IFERROR(IF(INDEX('Ingredient Catalog'!$E:$E,MATCH(47,'Ingredient Catalog'!$J:$J,0))=0,"",INDEX('Ingredient Catalog'!$E:$E,MATCH(47,'Ingredient Catalog'!$J:$J,0))),"")</f>
        <v/>
      </c>
    </row>
    <row r="65" customFormat="false" ht="15" hidden="false" customHeight="false" outlineLevel="0" collapsed="false">
      <c r="B65" s="21" t="str">
        <f aca="false">IFERROR(INDEX('Ingredient Catalog'!$A:$A,MATCH(48,'Ingredient Catalog'!$J:$J,0)),"")</f>
        <v/>
      </c>
      <c r="C65" s="23" t="str">
        <f aca="false">IFERROR(IF(INDEX('Ingredient Catalog'!$H:$H,MATCH(48,'Ingredient Catalog'!$J:$J,0))=0,"",INDEX('Ingredient Catalog'!$H:$H,MATCH(48,'Ingredient Catalog'!$J:$J,0))),"")</f>
        <v/>
      </c>
      <c r="D65" s="21" t="str">
        <f aca="false">IFERROR(INDEX('Ingredient Catalog'!$C:$C,MATCH(48,'Ingredient Catalog'!$J:$J,0)),"")</f>
        <v/>
      </c>
      <c r="E65" s="21" t="str">
        <f aca="false">IFERROR(INDEX('Ingredient Catalog'!$B:$B,MATCH(48,'Ingredient Catalog'!$J:$J,0)),"")</f>
        <v/>
      </c>
      <c r="F65" s="21" t="str">
        <f aca="false">IFERROR(IF(INDEX('Ingredient Catalog'!$D:$D,MATCH(48,'Ingredient Catalog'!$J:$J,0))="Yes","Check pantry",""),"")</f>
        <v/>
      </c>
      <c r="G65" s="21" t="str">
        <f aca="false">IFERROR(IF(INDEX('Ingredient Catalog'!$E:$E,MATCH(48,'Ingredient Catalog'!$J:$J,0))=0,"",INDEX('Ingredient Catalog'!$E:$E,MATCH(48,'Ingredient Catalog'!$J:$J,0))),"")</f>
        <v/>
      </c>
    </row>
    <row r="66" customFormat="false" ht="15" hidden="false" customHeight="false" outlineLevel="0" collapsed="false">
      <c r="B66" s="21" t="str">
        <f aca="false">IFERROR(INDEX('Ingredient Catalog'!$A:$A,MATCH(49,'Ingredient Catalog'!$J:$J,0)),"")</f>
        <v/>
      </c>
      <c r="C66" s="23" t="str">
        <f aca="false">IFERROR(IF(INDEX('Ingredient Catalog'!$H:$H,MATCH(49,'Ingredient Catalog'!$J:$J,0))=0,"",INDEX('Ingredient Catalog'!$H:$H,MATCH(49,'Ingredient Catalog'!$J:$J,0))),"")</f>
        <v/>
      </c>
      <c r="D66" s="21" t="str">
        <f aca="false">IFERROR(INDEX('Ingredient Catalog'!$C:$C,MATCH(49,'Ingredient Catalog'!$J:$J,0)),"")</f>
        <v/>
      </c>
      <c r="E66" s="21" t="str">
        <f aca="false">IFERROR(INDEX('Ingredient Catalog'!$B:$B,MATCH(49,'Ingredient Catalog'!$J:$J,0)),"")</f>
        <v/>
      </c>
      <c r="F66" s="21" t="str">
        <f aca="false">IFERROR(IF(INDEX('Ingredient Catalog'!$D:$D,MATCH(49,'Ingredient Catalog'!$J:$J,0))="Yes","Check pantry",""),"")</f>
        <v/>
      </c>
      <c r="G66" s="21" t="str">
        <f aca="false">IFERROR(IF(INDEX('Ingredient Catalog'!$E:$E,MATCH(49,'Ingredient Catalog'!$J:$J,0))=0,"",INDEX('Ingredient Catalog'!$E:$E,MATCH(49,'Ingredient Catalog'!$J:$J,0))),"")</f>
        <v/>
      </c>
    </row>
    <row r="67" customFormat="false" ht="15" hidden="false" customHeight="false" outlineLevel="0" collapsed="false">
      <c r="B67" s="21" t="str">
        <f aca="false">IFERROR(INDEX('Ingredient Catalog'!$A:$A,MATCH(50,'Ingredient Catalog'!$J:$J,0)),"")</f>
        <v/>
      </c>
      <c r="C67" s="23" t="str">
        <f aca="false">IFERROR(IF(INDEX('Ingredient Catalog'!$H:$H,MATCH(50,'Ingredient Catalog'!$J:$J,0))=0,"",INDEX('Ingredient Catalog'!$H:$H,MATCH(50,'Ingredient Catalog'!$J:$J,0))),"")</f>
        <v/>
      </c>
      <c r="D67" s="21" t="str">
        <f aca="false">IFERROR(INDEX('Ingredient Catalog'!$C:$C,MATCH(50,'Ingredient Catalog'!$J:$J,0)),"")</f>
        <v/>
      </c>
      <c r="E67" s="21" t="str">
        <f aca="false">IFERROR(INDEX('Ingredient Catalog'!$B:$B,MATCH(50,'Ingredient Catalog'!$J:$J,0)),"")</f>
        <v/>
      </c>
      <c r="F67" s="21" t="str">
        <f aca="false">IFERROR(IF(INDEX('Ingredient Catalog'!$D:$D,MATCH(50,'Ingredient Catalog'!$J:$J,0))="Yes","Check pantry",""),"")</f>
        <v/>
      </c>
      <c r="G67" s="21" t="str">
        <f aca="false">IFERROR(IF(INDEX('Ingredient Catalog'!$E:$E,MATCH(50,'Ingredient Catalog'!$J:$J,0))=0,"",INDEX('Ingredient Catalog'!$E:$E,MATCH(50,'Ingredient Catalog'!$J:$J,0))),"")</f>
        <v/>
      </c>
    </row>
    <row r="68" customFormat="false" ht="15" hidden="false" customHeight="false" outlineLevel="0" collapsed="false">
      <c r="B68" s="21" t="str">
        <f aca="false">IFERROR(INDEX('Ingredient Catalog'!$A:$A,MATCH(51,'Ingredient Catalog'!$J:$J,0)),"")</f>
        <v/>
      </c>
      <c r="C68" s="23" t="str">
        <f aca="false">IFERROR(IF(INDEX('Ingredient Catalog'!$H:$H,MATCH(51,'Ingredient Catalog'!$J:$J,0))=0,"",INDEX('Ingredient Catalog'!$H:$H,MATCH(51,'Ingredient Catalog'!$J:$J,0))),"")</f>
        <v/>
      </c>
      <c r="D68" s="21" t="str">
        <f aca="false">IFERROR(INDEX('Ingredient Catalog'!$C:$C,MATCH(51,'Ingredient Catalog'!$J:$J,0)),"")</f>
        <v/>
      </c>
      <c r="E68" s="21" t="str">
        <f aca="false">IFERROR(INDEX('Ingredient Catalog'!$B:$B,MATCH(51,'Ingredient Catalog'!$J:$J,0)),"")</f>
        <v/>
      </c>
      <c r="F68" s="21" t="str">
        <f aca="false">IFERROR(IF(INDEX('Ingredient Catalog'!$D:$D,MATCH(51,'Ingredient Catalog'!$J:$J,0))="Yes","Check pantry",""),"")</f>
        <v/>
      </c>
      <c r="G68" s="21" t="str">
        <f aca="false">IFERROR(IF(INDEX('Ingredient Catalog'!$E:$E,MATCH(51,'Ingredient Catalog'!$J:$J,0))=0,"",INDEX('Ingredient Catalog'!$E:$E,MATCH(51,'Ingredient Catalog'!$J:$J,0))),"")</f>
        <v/>
      </c>
    </row>
    <row r="69" customFormat="false" ht="15" hidden="false" customHeight="false" outlineLevel="0" collapsed="false">
      <c r="B69" s="21" t="str">
        <f aca="false">IFERROR(INDEX('Ingredient Catalog'!$A:$A,MATCH(52,'Ingredient Catalog'!$J:$J,0)),"")</f>
        <v/>
      </c>
      <c r="C69" s="23" t="str">
        <f aca="false">IFERROR(IF(INDEX('Ingredient Catalog'!$H:$H,MATCH(52,'Ingredient Catalog'!$J:$J,0))=0,"",INDEX('Ingredient Catalog'!$H:$H,MATCH(52,'Ingredient Catalog'!$J:$J,0))),"")</f>
        <v/>
      </c>
      <c r="D69" s="21" t="str">
        <f aca="false">IFERROR(INDEX('Ingredient Catalog'!$C:$C,MATCH(52,'Ingredient Catalog'!$J:$J,0)),"")</f>
        <v/>
      </c>
      <c r="E69" s="21" t="str">
        <f aca="false">IFERROR(INDEX('Ingredient Catalog'!$B:$B,MATCH(52,'Ingredient Catalog'!$J:$J,0)),"")</f>
        <v/>
      </c>
      <c r="F69" s="21" t="str">
        <f aca="false">IFERROR(IF(INDEX('Ingredient Catalog'!$D:$D,MATCH(52,'Ingredient Catalog'!$J:$J,0))="Yes","Check pantry",""),"")</f>
        <v/>
      </c>
      <c r="G69" s="21" t="str">
        <f aca="false">IFERROR(IF(INDEX('Ingredient Catalog'!$E:$E,MATCH(52,'Ingredient Catalog'!$J:$J,0))=0,"",INDEX('Ingredient Catalog'!$E:$E,MATCH(52,'Ingredient Catalog'!$J:$J,0))),"")</f>
        <v/>
      </c>
    </row>
    <row r="70" customFormat="false" ht="15" hidden="false" customHeight="false" outlineLevel="0" collapsed="false">
      <c r="B70" s="21" t="str">
        <f aca="false">IFERROR(INDEX('Ingredient Catalog'!$A:$A,MATCH(53,'Ingredient Catalog'!$J:$J,0)),"")</f>
        <v/>
      </c>
      <c r="C70" s="23" t="str">
        <f aca="false">IFERROR(IF(INDEX('Ingredient Catalog'!$H:$H,MATCH(53,'Ingredient Catalog'!$J:$J,0))=0,"",INDEX('Ingredient Catalog'!$H:$H,MATCH(53,'Ingredient Catalog'!$J:$J,0))),"")</f>
        <v/>
      </c>
      <c r="D70" s="21" t="str">
        <f aca="false">IFERROR(INDEX('Ingredient Catalog'!$C:$C,MATCH(53,'Ingredient Catalog'!$J:$J,0)),"")</f>
        <v/>
      </c>
      <c r="E70" s="21" t="str">
        <f aca="false">IFERROR(INDEX('Ingredient Catalog'!$B:$B,MATCH(53,'Ingredient Catalog'!$J:$J,0)),"")</f>
        <v/>
      </c>
      <c r="F70" s="21" t="str">
        <f aca="false">IFERROR(IF(INDEX('Ingredient Catalog'!$D:$D,MATCH(53,'Ingredient Catalog'!$J:$J,0))="Yes","Check pantry",""),"")</f>
        <v/>
      </c>
      <c r="G70" s="21" t="str">
        <f aca="false">IFERROR(IF(INDEX('Ingredient Catalog'!$E:$E,MATCH(53,'Ingredient Catalog'!$J:$J,0))=0,"",INDEX('Ingredient Catalog'!$E:$E,MATCH(53,'Ingredient Catalog'!$J:$J,0))),"")</f>
        <v/>
      </c>
    </row>
    <row r="71" customFormat="false" ht="15" hidden="false" customHeight="false" outlineLevel="0" collapsed="false">
      <c r="B71" s="21" t="str">
        <f aca="false">IFERROR(INDEX('Ingredient Catalog'!$A:$A,MATCH(54,'Ingredient Catalog'!$J:$J,0)),"")</f>
        <v/>
      </c>
      <c r="C71" s="23" t="str">
        <f aca="false">IFERROR(IF(INDEX('Ingredient Catalog'!$H:$H,MATCH(54,'Ingredient Catalog'!$J:$J,0))=0,"",INDEX('Ingredient Catalog'!$H:$H,MATCH(54,'Ingredient Catalog'!$J:$J,0))),"")</f>
        <v/>
      </c>
      <c r="D71" s="21" t="str">
        <f aca="false">IFERROR(INDEX('Ingredient Catalog'!$C:$C,MATCH(54,'Ingredient Catalog'!$J:$J,0)),"")</f>
        <v/>
      </c>
      <c r="E71" s="21" t="str">
        <f aca="false">IFERROR(INDEX('Ingredient Catalog'!$B:$B,MATCH(54,'Ingredient Catalog'!$J:$J,0)),"")</f>
        <v/>
      </c>
      <c r="F71" s="21" t="str">
        <f aca="false">IFERROR(IF(INDEX('Ingredient Catalog'!$D:$D,MATCH(54,'Ingredient Catalog'!$J:$J,0))="Yes","Check pantry",""),"")</f>
        <v/>
      </c>
      <c r="G71" s="21" t="str">
        <f aca="false">IFERROR(IF(INDEX('Ingredient Catalog'!$E:$E,MATCH(54,'Ingredient Catalog'!$J:$J,0))=0,"",INDEX('Ingredient Catalog'!$E:$E,MATCH(54,'Ingredient Catalog'!$J:$J,0))),"")</f>
        <v/>
      </c>
    </row>
    <row r="72" customFormat="false" ht="15" hidden="false" customHeight="false" outlineLevel="0" collapsed="false">
      <c r="B72" s="21" t="str">
        <f aca="false">IFERROR(INDEX('Ingredient Catalog'!$A:$A,MATCH(55,'Ingredient Catalog'!$J:$J,0)),"")</f>
        <v/>
      </c>
      <c r="C72" s="23" t="str">
        <f aca="false">IFERROR(IF(INDEX('Ingredient Catalog'!$H:$H,MATCH(55,'Ingredient Catalog'!$J:$J,0))=0,"",INDEX('Ingredient Catalog'!$H:$H,MATCH(55,'Ingredient Catalog'!$J:$J,0))),"")</f>
        <v/>
      </c>
      <c r="D72" s="21" t="str">
        <f aca="false">IFERROR(INDEX('Ingredient Catalog'!$C:$C,MATCH(55,'Ingredient Catalog'!$J:$J,0)),"")</f>
        <v/>
      </c>
      <c r="E72" s="21" t="str">
        <f aca="false">IFERROR(INDEX('Ingredient Catalog'!$B:$B,MATCH(55,'Ingredient Catalog'!$J:$J,0)),"")</f>
        <v/>
      </c>
      <c r="F72" s="21" t="str">
        <f aca="false">IFERROR(IF(INDEX('Ingredient Catalog'!$D:$D,MATCH(55,'Ingredient Catalog'!$J:$J,0))="Yes","Check pantry",""),"")</f>
        <v/>
      </c>
      <c r="G72" s="21" t="str">
        <f aca="false">IFERROR(IF(INDEX('Ingredient Catalog'!$E:$E,MATCH(55,'Ingredient Catalog'!$J:$J,0))=0,"",INDEX('Ingredient Catalog'!$E:$E,MATCH(55,'Ingredient Catalog'!$J:$J,0))),"")</f>
        <v/>
      </c>
    </row>
    <row r="73" customFormat="false" ht="15" hidden="false" customHeight="false" outlineLevel="0" collapsed="false">
      <c r="B73" s="21" t="str">
        <f aca="false">IFERROR(INDEX('Ingredient Catalog'!$A:$A,MATCH(56,'Ingredient Catalog'!$J:$J,0)),"")</f>
        <v/>
      </c>
      <c r="C73" s="23" t="str">
        <f aca="false">IFERROR(IF(INDEX('Ingredient Catalog'!$H:$H,MATCH(56,'Ingredient Catalog'!$J:$J,0))=0,"",INDEX('Ingredient Catalog'!$H:$H,MATCH(56,'Ingredient Catalog'!$J:$J,0))),"")</f>
        <v/>
      </c>
      <c r="D73" s="21" t="str">
        <f aca="false">IFERROR(INDEX('Ingredient Catalog'!$C:$C,MATCH(56,'Ingredient Catalog'!$J:$J,0)),"")</f>
        <v/>
      </c>
      <c r="E73" s="21" t="str">
        <f aca="false">IFERROR(INDEX('Ingredient Catalog'!$B:$B,MATCH(56,'Ingredient Catalog'!$J:$J,0)),"")</f>
        <v/>
      </c>
      <c r="F73" s="21" t="str">
        <f aca="false">IFERROR(IF(INDEX('Ingredient Catalog'!$D:$D,MATCH(56,'Ingredient Catalog'!$J:$J,0))="Yes","Check pantry",""),"")</f>
        <v/>
      </c>
      <c r="G73" s="21" t="str">
        <f aca="false">IFERROR(IF(INDEX('Ingredient Catalog'!$E:$E,MATCH(56,'Ingredient Catalog'!$J:$J,0))=0,"",INDEX('Ingredient Catalog'!$E:$E,MATCH(56,'Ingredient Catalog'!$J:$J,0))),"")</f>
        <v/>
      </c>
    </row>
    <row r="74" customFormat="false" ht="15" hidden="false" customHeight="false" outlineLevel="0" collapsed="false">
      <c r="B74" s="21" t="str">
        <f aca="false">IFERROR(INDEX('Ingredient Catalog'!$A:$A,MATCH(57,'Ingredient Catalog'!$J:$J,0)),"")</f>
        <v/>
      </c>
      <c r="C74" s="23" t="str">
        <f aca="false">IFERROR(IF(INDEX('Ingredient Catalog'!$H:$H,MATCH(57,'Ingredient Catalog'!$J:$J,0))=0,"",INDEX('Ingredient Catalog'!$H:$H,MATCH(57,'Ingredient Catalog'!$J:$J,0))),"")</f>
        <v/>
      </c>
      <c r="D74" s="21" t="str">
        <f aca="false">IFERROR(INDEX('Ingredient Catalog'!$C:$C,MATCH(57,'Ingredient Catalog'!$J:$J,0)),"")</f>
        <v/>
      </c>
      <c r="E74" s="21" t="str">
        <f aca="false">IFERROR(INDEX('Ingredient Catalog'!$B:$B,MATCH(57,'Ingredient Catalog'!$J:$J,0)),"")</f>
        <v/>
      </c>
      <c r="F74" s="21" t="str">
        <f aca="false">IFERROR(IF(INDEX('Ingredient Catalog'!$D:$D,MATCH(57,'Ingredient Catalog'!$J:$J,0))="Yes","Check pantry",""),"")</f>
        <v/>
      </c>
      <c r="G74" s="21" t="str">
        <f aca="false">IFERROR(IF(INDEX('Ingredient Catalog'!$E:$E,MATCH(57,'Ingredient Catalog'!$J:$J,0))=0,"",INDEX('Ingredient Catalog'!$E:$E,MATCH(57,'Ingredient Catalog'!$J:$J,0))),"")</f>
        <v/>
      </c>
    </row>
    <row r="75" customFormat="false" ht="15" hidden="false" customHeight="false" outlineLevel="0" collapsed="false">
      <c r="B75" s="21" t="str">
        <f aca="false">IFERROR(INDEX('Ingredient Catalog'!$A:$A,MATCH(58,'Ingredient Catalog'!$J:$J,0)),"")</f>
        <v/>
      </c>
      <c r="C75" s="23" t="str">
        <f aca="false">IFERROR(IF(INDEX('Ingredient Catalog'!$H:$H,MATCH(58,'Ingredient Catalog'!$J:$J,0))=0,"",INDEX('Ingredient Catalog'!$H:$H,MATCH(58,'Ingredient Catalog'!$J:$J,0))),"")</f>
        <v/>
      </c>
      <c r="D75" s="21" t="str">
        <f aca="false">IFERROR(INDEX('Ingredient Catalog'!$C:$C,MATCH(58,'Ingredient Catalog'!$J:$J,0)),"")</f>
        <v/>
      </c>
      <c r="E75" s="21" t="str">
        <f aca="false">IFERROR(INDEX('Ingredient Catalog'!$B:$B,MATCH(58,'Ingredient Catalog'!$J:$J,0)),"")</f>
        <v/>
      </c>
      <c r="F75" s="21" t="str">
        <f aca="false">IFERROR(IF(INDEX('Ingredient Catalog'!$D:$D,MATCH(58,'Ingredient Catalog'!$J:$J,0))="Yes","Check pantry",""),"")</f>
        <v/>
      </c>
      <c r="G75" s="21" t="str">
        <f aca="false">IFERROR(IF(INDEX('Ingredient Catalog'!$E:$E,MATCH(58,'Ingredient Catalog'!$J:$J,0))=0,"",INDEX('Ingredient Catalog'!$E:$E,MATCH(58,'Ingredient Catalog'!$J:$J,0))),"")</f>
        <v/>
      </c>
    </row>
    <row r="76" customFormat="false" ht="15" hidden="false" customHeight="false" outlineLevel="0" collapsed="false">
      <c r="B76" s="21" t="str">
        <f aca="false">IFERROR(INDEX('Ingredient Catalog'!$A:$A,MATCH(59,'Ingredient Catalog'!$J:$J,0)),"")</f>
        <v/>
      </c>
      <c r="C76" s="23" t="str">
        <f aca="false">IFERROR(IF(INDEX('Ingredient Catalog'!$H:$H,MATCH(59,'Ingredient Catalog'!$J:$J,0))=0,"",INDEX('Ingredient Catalog'!$H:$H,MATCH(59,'Ingredient Catalog'!$J:$J,0))),"")</f>
        <v/>
      </c>
      <c r="D76" s="21" t="str">
        <f aca="false">IFERROR(INDEX('Ingredient Catalog'!$C:$C,MATCH(59,'Ingredient Catalog'!$J:$J,0)),"")</f>
        <v/>
      </c>
      <c r="E76" s="21" t="str">
        <f aca="false">IFERROR(INDEX('Ingredient Catalog'!$B:$B,MATCH(59,'Ingredient Catalog'!$J:$J,0)),"")</f>
        <v/>
      </c>
      <c r="F76" s="21" t="str">
        <f aca="false">IFERROR(IF(INDEX('Ingredient Catalog'!$D:$D,MATCH(59,'Ingredient Catalog'!$J:$J,0))="Yes","Check pantry",""),"")</f>
        <v/>
      </c>
      <c r="G76" s="21" t="str">
        <f aca="false">IFERROR(IF(INDEX('Ingredient Catalog'!$E:$E,MATCH(59,'Ingredient Catalog'!$J:$J,0))=0,"",INDEX('Ingredient Catalog'!$E:$E,MATCH(59,'Ingredient Catalog'!$J:$J,0))),"")</f>
        <v/>
      </c>
    </row>
    <row r="77" customFormat="false" ht="15" hidden="false" customHeight="false" outlineLevel="0" collapsed="false">
      <c r="B77" s="21" t="str">
        <f aca="false">IFERROR(INDEX('Ingredient Catalog'!$A:$A,MATCH(60,'Ingredient Catalog'!$J:$J,0)),"")</f>
        <v/>
      </c>
      <c r="C77" s="23" t="str">
        <f aca="false">IFERROR(IF(INDEX('Ingredient Catalog'!$H:$H,MATCH(60,'Ingredient Catalog'!$J:$J,0))=0,"",INDEX('Ingredient Catalog'!$H:$H,MATCH(60,'Ingredient Catalog'!$J:$J,0))),"")</f>
        <v/>
      </c>
      <c r="D77" s="21" t="str">
        <f aca="false">IFERROR(INDEX('Ingredient Catalog'!$C:$C,MATCH(60,'Ingredient Catalog'!$J:$J,0)),"")</f>
        <v/>
      </c>
      <c r="E77" s="21" t="str">
        <f aca="false">IFERROR(INDEX('Ingredient Catalog'!$B:$B,MATCH(60,'Ingredient Catalog'!$J:$J,0)),"")</f>
        <v/>
      </c>
      <c r="F77" s="21" t="str">
        <f aca="false">IFERROR(IF(INDEX('Ingredient Catalog'!$D:$D,MATCH(60,'Ingredient Catalog'!$J:$J,0))="Yes","Check pantry",""),"")</f>
        <v/>
      </c>
      <c r="G77" s="21" t="str">
        <f aca="false">IFERROR(IF(INDEX('Ingredient Catalog'!$E:$E,MATCH(60,'Ingredient Catalog'!$J:$J,0))=0,"",INDEX('Ingredient Catalog'!$E:$E,MATCH(60,'Ingredient Catalog'!$J:$J,0))),"")</f>
        <v/>
      </c>
    </row>
    <row r="78" customFormat="false" ht="15" hidden="false" customHeight="false" outlineLevel="0" collapsed="false">
      <c r="B78" s="21" t="str">
        <f aca="false">IFERROR(INDEX('Ingredient Catalog'!$A:$A,MATCH(61,'Ingredient Catalog'!$J:$J,0)),"")</f>
        <v/>
      </c>
      <c r="C78" s="23" t="str">
        <f aca="false">IFERROR(IF(INDEX('Ingredient Catalog'!$H:$H,MATCH(61,'Ingredient Catalog'!$J:$J,0))=0,"",INDEX('Ingredient Catalog'!$H:$H,MATCH(61,'Ingredient Catalog'!$J:$J,0))),"")</f>
        <v/>
      </c>
      <c r="D78" s="21" t="str">
        <f aca="false">IFERROR(INDEX('Ingredient Catalog'!$C:$C,MATCH(61,'Ingredient Catalog'!$J:$J,0)),"")</f>
        <v/>
      </c>
      <c r="E78" s="21" t="str">
        <f aca="false">IFERROR(INDEX('Ingredient Catalog'!$B:$B,MATCH(61,'Ingredient Catalog'!$J:$J,0)),"")</f>
        <v/>
      </c>
      <c r="F78" s="21" t="str">
        <f aca="false">IFERROR(IF(INDEX('Ingredient Catalog'!$D:$D,MATCH(61,'Ingredient Catalog'!$J:$J,0))="Yes","Check pantry",""),"")</f>
        <v/>
      </c>
      <c r="G78" s="21" t="str">
        <f aca="false">IFERROR(IF(INDEX('Ingredient Catalog'!$E:$E,MATCH(61,'Ingredient Catalog'!$J:$J,0))=0,"",INDEX('Ingredient Catalog'!$E:$E,MATCH(61,'Ingredient Catalog'!$J:$J,0))),"")</f>
        <v/>
      </c>
    </row>
    <row r="79" customFormat="false" ht="15" hidden="false" customHeight="false" outlineLevel="0" collapsed="false">
      <c r="B79" s="21" t="str">
        <f aca="false">IFERROR(INDEX('Ingredient Catalog'!$A:$A,MATCH(62,'Ingredient Catalog'!$J:$J,0)),"")</f>
        <v/>
      </c>
      <c r="C79" s="23" t="str">
        <f aca="false">IFERROR(IF(INDEX('Ingredient Catalog'!$H:$H,MATCH(62,'Ingredient Catalog'!$J:$J,0))=0,"",INDEX('Ingredient Catalog'!$H:$H,MATCH(62,'Ingredient Catalog'!$J:$J,0))),"")</f>
        <v/>
      </c>
      <c r="D79" s="21" t="str">
        <f aca="false">IFERROR(INDEX('Ingredient Catalog'!$C:$C,MATCH(62,'Ingredient Catalog'!$J:$J,0)),"")</f>
        <v/>
      </c>
      <c r="E79" s="21" t="str">
        <f aca="false">IFERROR(INDEX('Ingredient Catalog'!$B:$B,MATCH(62,'Ingredient Catalog'!$J:$J,0)),"")</f>
        <v/>
      </c>
      <c r="F79" s="21" t="str">
        <f aca="false">IFERROR(IF(INDEX('Ingredient Catalog'!$D:$D,MATCH(62,'Ingredient Catalog'!$J:$J,0))="Yes","Check pantry",""),"")</f>
        <v/>
      </c>
      <c r="G79" s="21" t="str">
        <f aca="false">IFERROR(IF(INDEX('Ingredient Catalog'!$E:$E,MATCH(62,'Ingredient Catalog'!$J:$J,0))=0,"",INDEX('Ingredient Catalog'!$E:$E,MATCH(62,'Ingredient Catalog'!$J:$J,0))),"")</f>
        <v/>
      </c>
    </row>
    <row r="80" customFormat="false" ht="15" hidden="false" customHeight="false" outlineLevel="0" collapsed="false">
      <c r="B80" s="21" t="str">
        <f aca="false">IFERROR(INDEX('Ingredient Catalog'!$A:$A,MATCH(63,'Ingredient Catalog'!$J:$J,0)),"")</f>
        <v/>
      </c>
      <c r="C80" s="23" t="str">
        <f aca="false">IFERROR(IF(INDEX('Ingredient Catalog'!$H:$H,MATCH(63,'Ingredient Catalog'!$J:$J,0))=0,"",INDEX('Ingredient Catalog'!$H:$H,MATCH(63,'Ingredient Catalog'!$J:$J,0))),"")</f>
        <v/>
      </c>
      <c r="D80" s="21" t="str">
        <f aca="false">IFERROR(INDEX('Ingredient Catalog'!$C:$C,MATCH(63,'Ingredient Catalog'!$J:$J,0)),"")</f>
        <v/>
      </c>
      <c r="E80" s="21" t="str">
        <f aca="false">IFERROR(INDEX('Ingredient Catalog'!$B:$B,MATCH(63,'Ingredient Catalog'!$J:$J,0)),"")</f>
        <v/>
      </c>
      <c r="F80" s="21" t="str">
        <f aca="false">IFERROR(IF(INDEX('Ingredient Catalog'!$D:$D,MATCH(63,'Ingredient Catalog'!$J:$J,0))="Yes","Check pantry",""),"")</f>
        <v/>
      </c>
      <c r="G80" s="21" t="str">
        <f aca="false">IFERROR(IF(INDEX('Ingredient Catalog'!$E:$E,MATCH(63,'Ingredient Catalog'!$J:$J,0))=0,"",INDEX('Ingredient Catalog'!$E:$E,MATCH(63,'Ingredient Catalog'!$J:$J,0))),"")</f>
        <v/>
      </c>
    </row>
    <row r="81" customFormat="false" ht="15" hidden="false" customHeight="false" outlineLevel="0" collapsed="false">
      <c r="B81" s="21" t="str">
        <f aca="false">IFERROR(INDEX('Ingredient Catalog'!$A:$A,MATCH(64,'Ingredient Catalog'!$J:$J,0)),"")</f>
        <v/>
      </c>
      <c r="C81" s="23" t="str">
        <f aca="false">IFERROR(IF(INDEX('Ingredient Catalog'!$H:$H,MATCH(64,'Ingredient Catalog'!$J:$J,0))=0,"",INDEX('Ingredient Catalog'!$H:$H,MATCH(64,'Ingredient Catalog'!$J:$J,0))),"")</f>
        <v/>
      </c>
      <c r="D81" s="21" t="str">
        <f aca="false">IFERROR(INDEX('Ingredient Catalog'!$C:$C,MATCH(64,'Ingredient Catalog'!$J:$J,0)),"")</f>
        <v/>
      </c>
      <c r="E81" s="21" t="str">
        <f aca="false">IFERROR(INDEX('Ingredient Catalog'!$B:$B,MATCH(64,'Ingredient Catalog'!$J:$J,0)),"")</f>
        <v/>
      </c>
      <c r="F81" s="21" t="str">
        <f aca="false">IFERROR(IF(INDEX('Ingredient Catalog'!$D:$D,MATCH(64,'Ingredient Catalog'!$J:$J,0))="Yes","Check pantry",""),"")</f>
        <v/>
      </c>
      <c r="G81" s="21" t="str">
        <f aca="false">IFERROR(IF(INDEX('Ingredient Catalog'!$E:$E,MATCH(64,'Ingredient Catalog'!$J:$J,0))=0,"",INDEX('Ingredient Catalog'!$E:$E,MATCH(64,'Ingredient Catalog'!$J:$J,0))),"")</f>
        <v/>
      </c>
    </row>
    <row r="82" customFormat="false" ht="15" hidden="false" customHeight="false" outlineLevel="0" collapsed="false">
      <c r="B82" s="21" t="str">
        <f aca="false">IFERROR(INDEX('Ingredient Catalog'!$A:$A,MATCH(65,'Ingredient Catalog'!$J:$J,0)),"")</f>
        <v/>
      </c>
      <c r="C82" s="23" t="str">
        <f aca="false">IFERROR(IF(INDEX('Ingredient Catalog'!$H:$H,MATCH(65,'Ingredient Catalog'!$J:$J,0))=0,"",INDEX('Ingredient Catalog'!$H:$H,MATCH(65,'Ingredient Catalog'!$J:$J,0))),"")</f>
        <v/>
      </c>
      <c r="D82" s="21" t="str">
        <f aca="false">IFERROR(INDEX('Ingredient Catalog'!$C:$C,MATCH(65,'Ingredient Catalog'!$J:$J,0)),"")</f>
        <v/>
      </c>
      <c r="E82" s="21" t="str">
        <f aca="false">IFERROR(INDEX('Ingredient Catalog'!$B:$B,MATCH(65,'Ingredient Catalog'!$J:$J,0)),"")</f>
        <v/>
      </c>
      <c r="F82" s="21" t="str">
        <f aca="false">IFERROR(IF(INDEX('Ingredient Catalog'!$D:$D,MATCH(65,'Ingredient Catalog'!$J:$J,0))="Yes","Check pantry",""),"")</f>
        <v/>
      </c>
      <c r="G82" s="21" t="str">
        <f aca="false">IFERROR(IF(INDEX('Ingredient Catalog'!$E:$E,MATCH(65,'Ingredient Catalog'!$J:$J,0))=0,"",INDEX('Ingredient Catalog'!$E:$E,MATCH(65,'Ingredient Catalog'!$J:$J,0))),"")</f>
        <v/>
      </c>
    </row>
    <row r="83" customFormat="false" ht="15" hidden="false" customHeight="false" outlineLevel="0" collapsed="false">
      <c r="B83" s="21" t="str">
        <f aca="false">IFERROR(INDEX('Ingredient Catalog'!$A:$A,MATCH(66,'Ingredient Catalog'!$J:$J,0)),"")</f>
        <v/>
      </c>
      <c r="C83" s="23" t="str">
        <f aca="false">IFERROR(IF(INDEX('Ingredient Catalog'!$H:$H,MATCH(66,'Ingredient Catalog'!$J:$J,0))=0,"",INDEX('Ingredient Catalog'!$H:$H,MATCH(66,'Ingredient Catalog'!$J:$J,0))),"")</f>
        <v/>
      </c>
      <c r="D83" s="21" t="str">
        <f aca="false">IFERROR(INDEX('Ingredient Catalog'!$C:$C,MATCH(66,'Ingredient Catalog'!$J:$J,0)),"")</f>
        <v/>
      </c>
      <c r="E83" s="21" t="str">
        <f aca="false">IFERROR(INDEX('Ingredient Catalog'!$B:$B,MATCH(66,'Ingredient Catalog'!$J:$J,0)),"")</f>
        <v/>
      </c>
      <c r="F83" s="21" t="str">
        <f aca="false">IFERROR(IF(INDEX('Ingredient Catalog'!$D:$D,MATCH(66,'Ingredient Catalog'!$J:$J,0))="Yes","Check pantry",""),"")</f>
        <v/>
      </c>
      <c r="G83" s="21" t="str">
        <f aca="false">IFERROR(IF(INDEX('Ingredient Catalog'!$E:$E,MATCH(66,'Ingredient Catalog'!$J:$J,0))=0,"",INDEX('Ingredient Catalog'!$E:$E,MATCH(66,'Ingredient Catalog'!$J:$J,0))),"")</f>
        <v/>
      </c>
    </row>
    <row r="84" customFormat="false" ht="15" hidden="false" customHeight="false" outlineLevel="0" collapsed="false">
      <c r="B84" s="21" t="str">
        <f aca="false">IFERROR(INDEX('Ingredient Catalog'!$A:$A,MATCH(67,'Ingredient Catalog'!$J:$J,0)),"")</f>
        <v/>
      </c>
      <c r="C84" s="23" t="str">
        <f aca="false">IFERROR(IF(INDEX('Ingredient Catalog'!$H:$H,MATCH(67,'Ingredient Catalog'!$J:$J,0))=0,"",INDEX('Ingredient Catalog'!$H:$H,MATCH(67,'Ingredient Catalog'!$J:$J,0))),"")</f>
        <v/>
      </c>
      <c r="D84" s="21" t="str">
        <f aca="false">IFERROR(INDEX('Ingredient Catalog'!$C:$C,MATCH(67,'Ingredient Catalog'!$J:$J,0)),"")</f>
        <v/>
      </c>
      <c r="E84" s="21" t="str">
        <f aca="false">IFERROR(INDEX('Ingredient Catalog'!$B:$B,MATCH(67,'Ingredient Catalog'!$J:$J,0)),"")</f>
        <v/>
      </c>
      <c r="F84" s="21" t="str">
        <f aca="false">IFERROR(IF(INDEX('Ingredient Catalog'!$D:$D,MATCH(67,'Ingredient Catalog'!$J:$J,0))="Yes","Check pantry",""),"")</f>
        <v/>
      </c>
      <c r="G84" s="21" t="str">
        <f aca="false">IFERROR(IF(INDEX('Ingredient Catalog'!$E:$E,MATCH(67,'Ingredient Catalog'!$J:$J,0))=0,"",INDEX('Ingredient Catalog'!$E:$E,MATCH(67,'Ingredient Catalog'!$J:$J,0))),"")</f>
        <v/>
      </c>
    </row>
    <row r="85" customFormat="false" ht="15" hidden="false" customHeight="false" outlineLevel="0" collapsed="false">
      <c r="B85" s="21" t="str">
        <f aca="false">IFERROR(INDEX('Ingredient Catalog'!$A:$A,MATCH(68,'Ingredient Catalog'!$J:$J,0)),"")</f>
        <v/>
      </c>
      <c r="C85" s="23" t="str">
        <f aca="false">IFERROR(IF(INDEX('Ingredient Catalog'!$H:$H,MATCH(68,'Ingredient Catalog'!$J:$J,0))=0,"",INDEX('Ingredient Catalog'!$H:$H,MATCH(68,'Ingredient Catalog'!$J:$J,0))),"")</f>
        <v/>
      </c>
      <c r="D85" s="21" t="str">
        <f aca="false">IFERROR(INDEX('Ingredient Catalog'!$C:$C,MATCH(68,'Ingredient Catalog'!$J:$J,0)),"")</f>
        <v/>
      </c>
      <c r="E85" s="21" t="str">
        <f aca="false">IFERROR(INDEX('Ingredient Catalog'!$B:$B,MATCH(68,'Ingredient Catalog'!$J:$J,0)),"")</f>
        <v/>
      </c>
      <c r="F85" s="21" t="str">
        <f aca="false">IFERROR(IF(INDEX('Ingredient Catalog'!$D:$D,MATCH(68,'Ingredient Catalog'!$J:$J,0))="Yes","Check pantry",""),"")</f>
        <v/>
      </c>
      <c r="G85" s="21" t="str">
        <f aca="false">IFERROR(IF(INDEX('Ingredient Catalog'!$E:$E,MATCH(68,'Ingredient Catalog'!$J:$J,0))=0,"",INDEX('Ingredient Catalog'!$E:$E,MATCH(68,'Ingredient Catalog'!$J:$J,0))),"")</f>
        <v/>
      </c>
    </row>
    <row r="86" customFormat="false" ht="15" hidden="false" customHeight="false" outlineLevel="0" collapsed="false">
      <c r="B86" s="21" t="str">
        <f aca="false">IFERROR(INDEX('Ingredient Catalog'!$A:$A,MATCH(69,'Ingredient Catalog'!$J:$J,0)),"")</f>
        <v/>
      </c>
      <c r="C86" s="23" t="str">
        <f aca="false">IFERROR(IF(INDEX('Ingredient Catalog'!$H:$H,MATCH(69,'Ingredient Catalog'!$J:$J,0))=0,"",INDEX('Ingredient Catalog'!$H:$H,MATCH(69,'Ingredient Catalog'!$J:$J,0))),"")</f>
        <v/>
      </c>
      <c r="D86" s="21" t="str">
        <f aca="false">IFERROR(INDEX('Ingredient Catalog'!$C:$C,MATCH(69,'Ingredient Catalog'!$J:$J,0)),"")</f>
        <v/>
      </c>
      <c r="E86" s="21" t="str">
        <f aca="false">IFERROR(INDEX('Ingredient Catalog'!$B:$B,MATCH(69,'Ingredient Catalog'!$J:$J,0)),"")</f>
        <v/>
      </c>
      <c r="F86" s="21" t="str">
        <f aca="false">IFERROR(IF(INDEX('Ingredient Catalog'!$D:$D,MATCH(69,'Ingredient Catalog'!$J:$J,0))="Yes","Check pantry",""),"")</f>
        <v/>
      </c>
      <c r="G86" s="21" t="str">
        <f aca="false">IFERROR(IF(INDEX('Ingredient Catalog'!$E:$E,MATCH(69,'Ingredient Catalog'!$J:$J,0))=0,"",INDEX('Ingredient Catalog'!$E:$E,MATCH(69,'Ingredient Catalog'!$J:$J,0))),"")</f>
        <v/>
      </c>
    </row>
    <row r="87" customFormat="false" ht="15" hidden="false" customHeight="false" outlineLevel="0" collapsed="false">
      <c r="B87" s="21" t="str">
        <f aca="false">IFERROR(INDEX('Ingredient Catalog'!$A:$A,MATCH(70,'Ingredient Catalog'!$J:$J,0)),"")</f>
        <v/>
      </c>
      <c r="C87" s="23" t="str">
        <f aca="false">IFERROR(IF(INDEX('Ingredient Catalog'!$H:$H,MATCH(70,'Ingredient Catalog'!$J:$J,0))=0,"",INDEX('Ingredient Catalog'!$H:$H,MATCH(70,'Ingredient Catalog'!$J:$J,0))),"")</f>
        <v/>
      </c>
      <c r="D87" s="21" t="str">
        <f aca="false">IFERROR(INDEX('Ingredient Catalog'!$C:$C,MATCH(70,'Ingredient Catalog'!$J:$J,0)),"")</f>
        <v/>
      </c>
      <c r="E87" s="21" t="str">
        <f aca="false">IFERROR(INDEX('Ingredient Catalog'!$B:$B,MATCH(70,'Ingredient Catalog'!$J:$J,0)),"")</f>
        <v/>
      </c>
      <c r="F87" s="21" t="str">
        <f aca="false">IFERROR(IF(INDEX('Ingredient Catalog'!$D:$D,MATCH(70,'Ingredient Catalog'!$J:$J,0))="Yes","Check pantry",""),"")</f>
        <v/>
      </c>
      <c r="G87" s="21" t="str">
        <f aca="false">IFERROR(IF(INDEX('Ingredient Catalog'!$E:$E,MATCH(70,'Ingredient Catalog'!$J:$J,0))=0,"",INDEX('Ingredient Catalog'!$E:$E,MATCH(70,'Ingredient Catalog'!$J:$J,0))),"")</f>
        <v/>
      </c>
    </row>
    <row r="88" customFormat="false" ht="15" hidden="false" customHeight="false" outlineLevel="0" collapsed="false">
      <c r="B88" s="21" t="str">
        <f aca="false">IFERROR(INDEX('Ingredient Catalog'!$A:$A,MATCH(71,'Ingredient Catalog'!$J:$J,0)),"")</f>
        <v/>
      </c>
      <c r="C88" s="23" t="str">
        <f aca="false">IFERROR(IF(INDEX('Ingredient Catalog'!$H:$H,MATCH(71,'Ingredient Catalog'!$J:$J,0))=0,"",INDEX('Ingredient Catalog'!$H:$H,MATCH(71,'Ingredient Catalog'!$J:$J,0))),"")</f>
        <v/>
      </c>
      <c r="D88" s="21" t="str">
        <f aca="false">IFERROR(INDEX('Ingredient Catalog'!$C:$C,MATCH(71,'Ingredient Catalog'!$J:$J,0)),"")</f>
        <v/>
      </c>
      <c r="E88" s="21" t="str">
        <f aca="false">IFERROR(INDEX('Ingredient Catalog'!$B:$B,MATCH(71,'Ingredient Catalog'!$J:$J,0)),"")</f>
        <v/>
      </c>
      <c r="F88" s="21" t="str">
        <f aca="false">IFERROR(IF(INDEX('Ingredient Catalog'!$D:$D,MATCH(71,'Ingredient Catalog'!$J:$J,0))="Yes","Check pantry",""),"")</f>
        <v/>
      </c>
      <c r="G88" s="21" t="str">
        <f aca="false">IFERROR(IF(INDEX('Ingredient Catalog'!$E:$E,MATCH(71,'Ingredient Catalog'!$J:$J,0))=0,"",INDEX('Ingredient Catalog'!$E:$E,MATCH(71,'Ingredient Catalog'!$J:$J,0))),"")</f>
        <v/>
      </c>
    </row>
    <row r="89" customFormat="false" ht="15" hidden="false" customHeight="false" outlineLevel="0" collapsed="false">
      <c r="B89" s="21" t="str">
        <f aca="false">IFERROR(INDEX('Ingredient Catalog'!$A:$A,MATCH(72,'Ingredient Catalog'!$J:$J,0)),"")</f>
        <v/>
      </c>
      <c r="C89" s="23" t="str">
        <f aca="false">IFERROR(IF(INDEX('Ingredient Catalog'!$H:$H,MATCH(72,'Ingredient Catalog'!$J:$J,0))=0,"",INDEX('Ingredient Catalog'!$H:$H,MATCH(72,'Ingredient Catalog'!$J:$J,0))),"")</f>
        <v/>
      </c>
      <c r="D89" s="21" t="str">
        <f aca="false">IFERROR(INDEX('Ingredient Catalog'!$C:$C,MATCH(72,'Ingredient Catalog'!$J:$J,0)),"")</f>
        <v/>
      </c>
      <c r="E89" s="21" t="str">
        <f aca="false">IFERROR(INDEX('Ingredient Catalog'!$B:$B,MATCH(72,'Ingredient Catalog'!$J:$J,0)),"")</f>
        <v/>
      </c>
      <c r="F89" s="21" t="str">
        <f aca="false">IFERROR(IF(INDEX('Ingredient Catalog'!$D:$D,MATCH(72,'Ingredient Catalog'!$J:$J,0))="Yes","Check pantry",""),"")</f>
        <v/>
      </c>
      <c r="G89" s="21" t="str">
        <f aca="false">IFERROR(IF(INDEX('Ingredient Catalog'!$E:$E,MATCH(72,'Ingredient Catalog'!$J:$J,0))=0,"",INDEX('Ingredient Catalog'!$E:$E,MATCH(72,'Ingredient Catalog'!$J:$J,0))),"")</f>
        <v/>
      </c>
    </row>
    <row r="90" customFormat="false" ht="15" hidden="false" customHeight="false" outlineLevel="0" collapsed="false">
      <c r="B90" s="21" t="str">
        <f aca="false">IFERROR(INDEX('Ingredient Catalog'!$A:$A,MATCH(73,'Ingredient Catalog'!$J:$J,0)),"")</f>
        <v/>
      </c>
      <c r="C90" s="23" t="str">
        <f aca="false">IFERROR(IF(INDEX('Ingredient Catalog'!$H:$H,MATCH(73,'Ingredient Catalog'!$J:$J,0))=0,"",INDEX('Ingredient Catalog'!$H:$H,MATCH(73,'Ingredient Catalog'!$J:$J,0))),"")</f>
        <v/>
      </c>
      <c r="D90" s="21" t="str">
        <f aca="false">IFERROR(INDEX('Ingredient Catalog'!$C:$C,MATCH(73,'Ingredient Catalog'!$J:$J,0)),"")</f>
        <v/>
      </c>
      <c r="E90" s="21" t="str">
        <f aca="false">IFERROR(INDEX('Ingredient Catalog'!$B:$B,MATCH(73,'Ingredient Catalog'!$J:$J,0)),"")</f>
        <v/>
      </c>
      <c r="F90" s="21" t="str">
        <f aca="false">IFERROR(IF(INDEX('Ingredient Catalog'!$D:$D,MATCH(73,'Ingredient Catalog'!$J:$J,0))="Yes","Check pantry",""),"")</f>
        <v/>
      </c>
      <c r="G90" s="21" t="str">
        <f aca="false">IFERROR(IF(INDEX('Ingredient Catalog'!$E:$E,MATCH(73,'Ingredient Catalog'!$J:$J,0))=0,"",INDEX('Ingredient Catalog'!$E:$E,MATCH(73,'Ingredient Catalog'!$J:$J,0))),"")</f>
        <v/>
      </c>
    </row>
    <row r="91" customFormat="false" ht="15" hidden="false" customHeight="false" outlineLevel="0" collapsed="false">
      <c r="B91" s="21" t="str">
        <f aca="false">IFERROR(INDEX('Ingredient Catalog'!$A:$A,MATCH(74,'Ingredient Catalog'!$J:$J,0)),"")</f>
        <v/>
      </c>
      <c r="C91" s="23" t="str">
        <f aca="false">IFERROR(IF(INDEX('Ingredient Catalog'!$H:$H,MATCH(74,'Ingredient Catalog'!$J:$J,0))=0,"",INDEX('Ingredient Catalog'!$H:$H,MATCH(74,'Ingredient Catalog'!$J:$J,0))),"")</f>
        <v/>
      </c>
      <c r="D91" s="21" t="str">
        <f aca="false">IFERROR(INDEX('Ingredient Catalog'!$C:$C,MATCH(74,'Ingredient Catalog'!$J:$J,0)),"")</f>
        <v/>
      </c>
      <c r="E91" s="21" t="str">
        <f aca="false">IFERROR(INDEX('Ingredient Catalog'!$B:$B,MATCH(74,'Ingredient Catalog'!$J:$J,0)),"")</f>
        <v/>
      </c>
      <c r="F91" s="21" t="str">
        <f aca="false">IFERROR(IF(INDEX('Ingredient Catalog'!$D:$D,MATCH(74,'Ingredient Catalog'!$J:$J,0))="Yes","Check pantry",""),"")</f>
        <v/>
      </c>
      <c r="G91" s="21" t="str">
        <f aca="false">IFERROR(IF(INDEX('Ingredient Catalog'!$E:$E,MATCH(74,'Ingredient Catalog'!$J:$J,0))=0,"",INDEX('Ingredient Catalog'!$E:$E,MATCH(74,'Ingredient Catalog'!$J:$J,0))),"")</f>
        <v/>
      </c>
    </row>
    <row r="92" customFormat="false" ht="15" hidden="false" customHeight="false" outlineLevel="0" collapsed="false">
      <c r="B92" s="21" t="str">
        <f aca="false">IFERROR(INDEX('Ingredient Catalog'!$A:$A,MATCH(75,'Ingredient Catalog'!$J:$J,0)),"")</f>
        <v/>
      </c>
      <c r="C92" s="23" t="str">
        <f aca="false">IFERROR(IF(INDEX('Ingredient Catalog'!$H:$H,MATCH(75,'Ingredient Catalog'!$J:$J,0))=0,"",INDEX('Ingredient Catalog'!$H:$H,MATCH(75,'Ingredient Catalog'!$J:$J,0))),"")</f>
        <v/>
      </c>
      <c r="D92" s="21" t="str">
        <f aca="false">IFERROR(INDEX('Ingredient Catalog'!$C:$C,MATCH(75,'Ingredient Catalog'!$J:$J,0)),"")</f>
        <v/>
      </c>
      <c r="E92" s="21" t="str">
        <f aca="false">IFERROR(INDEX('Ingredient Catalog'!$B:$B,MATCH(75,'Ingredient Catalog'!$J:$J,0)),"")</f>
        <v/>
      </c>
      <c r="F92" s="21" t="str">
        <f aca="false">IFERROR(IF(INDEX('Ingredient Catalog'!$D:$D,MATCH(75,'Ingredient Catalog'!$J:$J,0))="Yes","Check pantry",""),"")</f>
        <v/>
      </c>
      <c r="G92" s="21" t="str">
        <f aca="false">IFERROR(IF(INDEX('Ingredient Catalog'!$E:$E,MATCH(75,'Ingredient Catalog'!$J:$J,0))=0,"",INDEX('Ingredient Catalog'!$E:$E,MATCH(75,'Ingredient Catalog'!$J:$J,0))),"")</f>
        <v/>
      </c>
    </row>
    <row r="93" customFormat="false" ht="15" hidden="false" customHeight="false" outlineLevel="0" collapsed="false">
      <c r="B93" s="21" t="str">
        <f aca="false">IFERROR(INDEX('Ingredient Catalog'!$A:$A,MATCH(76,'Ingredient Catalog'!$J:$J,0)),"")</f>
        <v/>
      </c>
      <c r="C93" s="23" t="str">
        <f aca="false">IFERROR(IF(INDEX('Ingredient Catalog'!$H:$H,MATCH(76,'Ingredient Catalog'!$J:$J,0))=0,"",INDEX('Ingredient Catalog'!$H:$H,MATCH(76,'Ingredient Catalog'!$J:$J,0))),"")</f>
        <v/>
      </c>
      <c r="D93" s="21" t="str">
        <f aca="false">IFERROR(INDEX('Ingredient Catalog'!$C:$C,MATCH(76,'Ingredient Catalog'!$J:$J,0)),"")</f>
        <v/>
      </c>
      <c r="E93" s="21" t="str">
        <f aca="false">IFERROR(INDEX('Ingredient Catalog'!$B:$B,MATCH(76,'Ingredient Catalog'!$J:$J,0)),"")</f>
        <v/>
      </c>
      <c r="F93" s="21" t="str">
        <f aca="false">IFERROR(IF(INDEX('Ingredient Catalog'!$D:$D,MATCH(76,'Ingredient Catalog'!$J:$J,0))="Yes","Check pantry",""),"")</f>
        <v/>
      </c>
      <c r="G93" s="21" t="str">
        <f aca="false">IFERROR(IF(INDEX('Ingredient Catalog'!$E:$E,MATCH(76,'Ingredient Catalog'!$J:$J,0))=0,"",INDEX('Ingredient Catalog'!$E:$E,MATCH(76,'Ingredient Catalog'!$J:$J,0))),"")</f>
        <v/>
      </c>
    </row>
    <row r="94" customFormat="false" ht="15" hidden="false" customHeight="false" outlineLevel="0" collapsed="false">
      <c r="B94" s="21" t="str">
        <f aca="false">IFERROR(INDEX('Ingredient Catalog'!$A:$A,MATCH(77,'Ingredient Catalog'!$J:$J,0)),"")</f>
        <v/>
      </c>
      <c r="C94" s="23" t="str">
        <f aca="false">IFERROR(IF(INDEX('Ingredient Catalog'!$H:$H,MATCH(77,'Ingredient Catalog'!$J:$J,0))=0,"",INDEX('Ingredient Catalog'!$H:$H,MATCH(77,'Ingredient Catalog'!$J:$J,0))),"")</f>
        <v/>
      </c>
      <c r="D94" s="21" t="str">
        <f aca="false">IFERROR(INDEX('Ingredient Catalog'!$C:$C,MATCH(77,'Ingredient Catalog'!$J:$J,0)),"")</f>
        <v/>
      </c>
      <c r="E94" s="21" t="str">
        <f aca="false">IFERROR(INDEX('Ingredient Catalog'!$B:$B,MATCH(77,'Ingredient Catalog'!$J:$J,0)),"")</f>
        <v/>
      </c>
      <c r="F94" s="21" t="str">
        <f aca="false">IFERROR(IF(INDEX('Ingredient Catalog'!$D:$D,MATCH(77,'Ingredient Catalog'!$J:$J,0))="Yes","Check pantry",""),"")</f>
        <v/>
      </c>
      <c r="G94" s="21" t="str">
        <f aca="false">IFERROR(IF(INDEX('Ingredient Catalog'!$E:$E,MATCH(77,'Ingredient Catalog'!$J:$J,0))=0,"",INDEX('Ingredient Catalog'!$E:$E,MATCH(77,'Ingredient Catalog'!$J:$J,0))),"")</f>
        <v/>
      </c>
    </row>
    <row r="95" customFormat="false" ht="15" hidden="false" customHeight="false" outlineLevel="0" collapsed="false">
      <c r="B95" s="21" t="str">
        <f aca="false">IFERROR(INDEX('Ingredient Catalog'!$A:$A,MATCH(78,'Ingredient Catalog'!$J:$J,0)),"")</f>
        <v/>
      </c>
      <c r="C95" s="23" t="str">
        <f aca="false">IFERROR(IF(INDEX('Ingredient Catalog'!$H:$H,MATCH(78,'Ingredient Catalog'!$J:$J,0))=0,"",INDEX('Ingredient Catalog'!$H:$H,MATCH(78,'Ingredient Catalog'!$J:$J,0))),"")</f>
        <v/>
      </c>
      <c r="D95" s="21" t="str">
        <f aca="false">IFERROR(INDEX('Ingredient Catalog'!$C:$C,MATCH(78,'Ingredient Catalog'!$J:$J,0)),"")</f>
        <v/>
      </c>
      <c r="E95" s="21" t="str">
        <f aca="false">IFERROR(INDEX('Ingredient Catalog'!$B:$B,MATCH(78,'Ingredient Catalog'!$J:$J,0)),"")</f>
        <v/>
      </c>
      <c r="F95" s="21" t="str">
        <f aca="false">IFERROR(IF(INDEX('Ingredient Catalog'!$D:$D,MATCH(78,'Ingredient Catalog'!$J:$J,0))="Yes","Check pantry",""),"")</f>
        <v/>
      </c>
      <c r="G95" s="21" t="str">
        <f aca="false">IFERROR(IF(INDEX('Ingredient Catalog'!$E:$E,MATCH(78,'Ingredient Catalog'!$J:$J,0))=0,"",INDEX('Ingredient Catalog'!$E:$E,MATCH(78,'Ingredient Catalog'!$J:$J,0))),"")</f>
        <v/>
      </c>
    </row>
    <row r="96" customFormat="false" ht="15" hidden="false" customHeight="false" outlineLevel="0" collapsed="false">
      <c r="B96" s="21" t="str">
        <f aca="false">IFERROR(INDEX('Ingredient Catalog'!$A:$A,MATCH(79,'Ingredient Catalog'!$J:$J,0)),"")</f>
        <v/>
      </c>
      <c r="C96" s="23" t="str">
        <f aca="false">IFERROR(IF(INDEX('Ingredient Catalog'!$H:$H,MATCH(79,'Ingredient Catalog'!$J:$J,0))=0,"",INDEX('Ingredient Catalog'!$H:$H,MATCH(79,'Ingredient Catalog'!$J:$J,0))),"")</f>
        <v/>
      </c>
      <c r="D96" s="21" t="str">
        <f aca="false">IFERROR(INDEX('Ingredient Catalog'!$C:$C,MATCH(79,'Ingredient Catalog'!$J:$J,0)),"")</f>
        <v/>
      </c>
      <c r="E96" s="21" t="str">
        <f aca="false">IFERROR(INDEX('Ingredient Catalog'!$B:$B,MATCH(79,'Ingredient Catalog'!$J:$J,0)),"")</f>
        <v/>
      </c>
      <c r="F96" s="21" t="str">
        <f aca="false">IFERROR(IF(INDEX('Ingredient Catalog'!$D:$D,MATCH(79,'Ingredient Catalog'!$J:$J,0))="Yes","Check pantry",""),"")</f>
        <v/>
      </c>
      <c r="G96" s="21" t="str">
        <f aca="false">IFERROR(IF(INDEX('Ingredient Catalog'!$E:$E,MATCH(79,'Ingredient Catalog'!$J:$J,0))=0,"",INDEX('Ingredient Catalog'!$E:$E,MATCH(79,'Ingredient Catalog'!$J:$J,0))),"")</f>
        <v/>
      </c>
    </row>
    <row r="97" customFormat="false" ht="15" hidden="false" customHeight="false" outlineLevel="0" collapsed="false">
      <c r="B97" s="21" t="str">
        <f aca="false">IFERROR(INDEX('Ingredient Catalog'!$A:$A,MATCH(80,'Ingredient Catalog'!$J:$J,0)),"")</f>
        <v/>
      </c>
      <c r="C97" s="23" t="str">
        <f aca="false">IFERROR(IF(INDEX('Ingredient Catalog'!$H:$H,MATCH(80,'Ingredient Catalog'!$J:$J,0))=0,"",INDEX('Ingredient Catalog'!$H:$H,MATCH(80,'Ingredient Catalog'!$J:$J,0))),"")</f>
        <v/>
      </c>
      <c r="D97" s="21" t="str">
        <f aca="false">IFERROR(INDEX('Ingredient Catalog'!$C:$C,MATCH(80,'Ingredient Catalog'!$J:$J,0)),"")</f>
        <v/>
      </c>
      <c r="E97" s="21" t="str">
        <f aca="false">IFERROR(INDEX('Ingredient Catalog'!$B:$B,MATCH(80,'Ingredient Catalog'!$J:$J,0)),"")</f>
        <v/>
      </c>
      <c r="F97" s="21" t="str">
        <f aca="false">IFERROR(IF(INDEX('Ingredient Catalog'!$D:$D,MATCH(80,'Ingredient Catalog'!$J:$J,0))="Yes","Check pantry",""),"")</f>
        <v/>
      </c>
      <c r="G97" s="21" t="str">
        <f aca="false">IFERROR(IF(INDEX('Ingredient Catalog'!$E:$E,MATCH(80,'Ingredient Catalog'!$J:$J,0))=0,"",INDEX('Ingredient Catalog'!$E:$E,MATCH(80,'Ingredient Catalog'!$J:$J,0))),"")</f>
        <v/>
      </c>
    </row>
    <row r="98" customFormat="false" ht="15" hidden="false" customHeight="false" outlineLevel="0" collapsed="false">
      <c r="B98" s="21" t="str">
        <f aca="false">IFERROR(INDEX('Ingredient Catalog'!$A:$A,MATCH(81,'Ingredient Catalog'!$J:$J,0)),"")</f>
        <v/>
      </c>
      <c r="C98" s="23" t="str">
        <f aca="false">IFERROR(IF(INDEX('Ingredient Catalog'!$H:$H,MATCH(81,'Ingredient Catalog'!$J:$J,0))=0,"",INDEX('Ingredient Catalog'!$H:$H,MATCH(81,'Ingredient Catalog'!$J:$J,0))),"")</f>
        <v/>
      </c>
      <c r="D98" s="21" t="str">
        <f aca="false">IFERROR(INDEX('Ingredient Catalog'!$C:$C,MATCH(81,'Ingredient Catalog'!$J:$J,0)),"")</f>
        <v/>
      </c>
      <c r="E98" s="21" t="str">
        <f aca="false">IFERROR(INDEX('Ingredient Catalog'!$B:$B,MATCH(81,'Ingredient Catalog'!$J:$J,0)),"")</f>
        <v/>
      </c>
      <c r="F98" s="21" t="str">
        <f aca="false">IFERROR(IF(INDEX('Ingredient Catalog'!$D:$D,MATCH(81,'Ingredient Catalog'!$J:$J,0))="Yes","Check pantry",""),"")</f>
        <v/>
      </c>
      <c r="G98" s="21" t="str">
        <f aca="false">IFERROR(IF(INDEX('Ingredient Catalog'!$E:$E,MATCH(81,'Ingredient Catalog'!$J:$J,0))=0,"",INDEX('Ingredient Catalog'!$E:$E,MATCH(81,'Ingredient Catalog'!$J:$J,0))),"")</f>
        <v/>
      </c>
    </row>
    <row r="99" customFormat="false" ht="15" hidden="false" customHeight="false" outlineLevel="0" collapsed="false">
      <c r="B99" s="21" t="str">
        <f aca="false">IFERROR(INDEX('Ingredient Catalog'!$A:$A,MATCH(82,'Ingredient Catalog'!$J:$J,0)),"")</f>
        <v/>
      </c>
      <c r="C99" s="23" t="str">
        <f aca="false">IFERROR(IF(INDEX('Ingredient Catalog'!$H:$H,MATCH(82,'Ingredient Catalog'!$J:$J,0))=0,"",INDEX('Ingredient Catalog'!$H:$H,MATCH(82,'Ingredient Catalog'!$J:$J,0))),"")</f>
        <v/>
      </c>
      <c r="D99" s="21" t="str">
        <f aca="false">IFERROR(INDEX('Ingredient Catalog'!$C:$C,MATCH(82,'Ingredient Catalog'!$J:$J,0)),"")</f>
        <v/>
      </c>
      <c r="E99" s="21" t="str">
        <f aca="false">IFERROR(INDEX('Ingredient Catalog'!$B:$B,MATCH(82,'Ingredient Catalog'!$J:$J,0)),"")</f>
        <v/>
      </c>
      <c r="F99" s="21" t="str">
        <f aca="false">IFERROR(IF(INDEX('Ingredient Catalog'!$D:$D,MATCH(82,'Ingredient Catalog'!$J:$J,0))="Yes","Check pantry",""),"")</f>
        <v/>
      </c>
      <c r="G99" s="21" t="str">
        <f aca="false">IFERROR(IF(INDEX('Ingredient Catalog'!$E:$E,MATCH(82,'Ingredient Catalog'!$J:$J,0))=0,"",INDEX('Ingredient Catalog'!$E:$E,MATCH(82,'Ingredient Catalog'!$J:$J,0))),"")</f>
        <v/>
      </c>
    </row>
    <row r="100" customFormat="false" ht="15" hidden="false" customHeight="false" outlineLevel="0" collapsed="false">
      <c r="B100" s="21" t="str">
        <f aca="false">IFERROR(INDEX('Ingredient Catalog'!$A:$A,MATCH(83,'Ingredient Catalog'!$J:$J,0)),"")</f>
        <v/>
      </c>
      <c r="C100" s="23" t="str">
        <f aca="false">IFERROR(IF(INDEX('Ingredient Catalog'!$H:$H,MATCH(83,'Ingredient Catalog'!$J:$J,0))=0,"",INDEX('Ingredient Catalog'!$H:$H,MATCH(83,'Ingredient Catalog'!$J:$J,0))),"")</f>
        <v/>
      </c>
      <c r="D100" s="21" t="str">
        <f aca="false">IFERROR(INDEX('Ingredient Catalog'!$C:$C,MATCH(83,'Ingredient Catalog'!$J:$J,0)),"")</f>
        <v/>
      </c>
      <c r="E100" s="21" t="str">
        <f aca="false">IFERROR(INDEX('Ingredient Catalog'!$B:$B,MATCH(83,'Ingredient Catalog'!$J:$J,0)),"")</f>
        <v/>
      </c>
      <c r="F100" s="21" t="str">
        <f aca="false">IFERROR(IF(INDEX('Ingredient Catalog'!$D:$D,MATCH(83,'Ingredient Catalog'!$J:$J,0))="Yes","Check pantry",""),"")</f>
        <v/>
      </c>
      <c r="G100" s="21" t="str">
        <f aca="false">IFERROR(IF(INDEX('Ingredient Catalog'!$E:$E,MATCH(83,'Ingredient Catalog'!$J:$J,0))=0,"",INDEX('Ingredient Catalog'!$E:$E,MATCH(83,'Ingredient Catalog'!$J:$J,0))),"")</f>
        <v/>
      </c>
    </row>
    <row r="101" customFormat="false" ht="15" hidden="false" customHeight="false" outlineLevel="0" collapsed="false">
      <c r="B101" s="21" t="str">
        <f aca="false">IFERROR(INDEX('Ingredient Catalog'!$A:$A,MATCH(84,'Ingredient Catalog'!$J:$J,0)),"")</f>
        <v/>
      </c>
      <c r="C101" s="23" t="str">
        <f aca="false">IFERROR(IF(INDEX('Ingredient Catalog'!$H:$H,MATCH(84,'Ingredient Catalog'!$J:$J,0))=0,"",INDEX('Ingredient Catalog'!$H:$H,MATCH(84,'Ingredient Catalog'!$J:$J,0))),"")</f>
        <v/>
      </c>
      <c r="D101" s="21" t="str">
        <f aca="false">IFERROR(INDEX('Ingredient Catalog'!$C:$C,MATCH(84,'Ingredient Catalog'!$J:$J,0)),"")</f>
        <v/>
      </c>
      <c r="E101" s="21" t="str">
        <f aca="false">IFERROR(INDEX('Ingredient Catalog'!$B:$B,MATCH(84,'Ingredient Catalog'!$J:$J,0)),"")</f>
        <v/>
      </c>
      <c r="F101" s="21" t="str">
        <f aca="false">IFERROR(IF(INDEX('Ingredient Catalog'!$D:$D,MATCH(84,'Ingredient Catalog'!$J:$J,0))="Yes","Check pantry",""),"")</f>
        <v/>
      </c>
      <c r="G101" s="21" t="str">
        <f aca="false">IFERROR(IF(INDEX('Ingredient Catalog'!$E:$E,MATCH(84,'Ingredient Catalog'!$J:$J,0))=0,"",INDEX('Ingredient Catalog'!$E:$E,MATCH(84,'Ingredient Catalog'!$J:$J,0))),"")</f>
        <v/>
      </c>
    </row>
    <row r="102" customFormat="false" ht="15" hidden="false" customHeight="false" outlineLevel="0" collapsed="false">
      <c r="B102" s="21" t="str">
        <f aca="false">IFERROR(INDEX('Ingredient Catalog'!$A:$A,MATCH(85,'Ingredient Catalog'!$J:$J,0)),"")</f>
        <v/>
      </c>
      <c r="C102" s="23" t="str">
        <f aca="false">IFERROR(IF(INDEX('Ingredient Catalog'!$H:$H,MATCH(85,'Ingredient Catalog'!$J:$J,0))=0,"",INDEX('Ingredient Catalog'!$H:$H,MATCH(85,'Ingredient Catalog'!$J:$J,0))),"")</f>
        <v/>
      </c>
      <c r="D102" s="21" t="str">
        <f aca="false">IFERROR(INDEX('Ingredient Catalog'!$C:$C,MATCH(85,'Ingredient Catalog'!$J:$J,0)),"")</f>
        <v/>
      </c>
      <c r="E102" s="21" t="str">
        <f aca="false">IFERROR(INDEX('Ingredient Catalog'!$B:$B,MATCH(85,'Ingredient Catalog'!$J:$J,0)),"")</f>
        <v/>
      </c>
      <c r="F102" s="21" t="str">
        <f aca="false">IFERROR(IF(INDEX('Ingredient Catalog'!$D:$D,MATCH(85,'Ingredient Catalog'!$J:$J,0))="Yes","Check pantry",""),"")</f>
        <v/>
      </c>
      <c r="G102" s="21" t="str">
        <f aca="false">IFERROR(IF(INDEX('Ingredient Catalog'!$E:$E,MATCH(85,'Ingredient Catalog'!$J:$J,0))=0,"",INDEX('Ingredient Catalog'!$E:$E,MATCH(85,'Ingredient Catalog'!$J:$J,0))),"")</f>
        <v/>
      </c>
    </row>
    <row r="103" customFormat="false" ht="15" hidden="false" customHeight="false" outlineLevel="0" collapsed="false">
      <c r="B103" s="21" t="str">
        <f aca="false">IFERROR(INDEX('Ingredient Catalog'!$A:$A,MATCH(86,'Ingredient Catalog'!$J:$J,0)),"")</f>
        <v/>
      </c>
      <c r="C103" s="23" t="str">
        <f aca="false">IFERROR(IF(INDEX('Ingredient Catalog'!$H:$H,MATCH(86,'Ingredient Catalog'!$J:$J,0))=0,"",INDEX('Ingredient Catalog'!$H:$H,MATCH(86,'Ingredient Catalog'!$J:$J,0))),"")</f>
        <v/>
      </c>
      <c r="D103" s="21" t="str">
        <f aca="false">IFERROR(INDEX('Ingredient Catalog'!$C:$C,MATCH(86,'Ingredient Catalog'!$J:$J,0)),"")</f>
        <v/>
      </c>
      <c r="E103" s="21" t="str">
        <f aca="false">IFERROR(INDEX('Ingredient Catalog'!$B:$B,MATCH(86,'Ingredient Catalog'!$J:$J,0)),"")</f>
        <v/>
      </c>
      <c r="F103" s="21" t="str">
        <f aca="false">IFERROR(IF(INDEX('Ingredient Catalog'!$D:$D,MATCH(86,'Ingredient Catalog'!$J:$J,0))="Yes","Check pantry",""),"")</f>
        <v/>
      </c>
      <c r="G103" s="21" t="str">
        <f aca="false">IFERROR(IF(INDEX('Ingredient Catalog'!$E:$E,MATCH(86,'Ingredient Catalog'!$J:$J,0))=0,"",INDEX('Ingredient Catalog'!$E:$E,MATCH(86,'Ingredient Catalog'!$J:$J,0))),"")</f>
        <v/>
      </c>
    </row>
    <row r="104" customFormat="false" ht="15" hidden="false" customHeight="false" outlineLevel="0" collapsed="false">
      <c r="B104" s="21" t="str">
        <f aca="false">IFERROR(INDEX('Ingredient Catalog'!$A:$A,MATCH(87,'Ingredient Catalog'!$J:$J,0)),"")</f>
        <v/>
      </c>
      <c r="C104" s="23" t="str">
        <f aca="false">IFERROR(IF(INDEX('Ingredient Catalog'!$H:$H,MATCH(87,'Ingredient Catalog'!$J:$J,0))=0,"",INDEX('Ingredient Catalog'!$H:$H,MATCH(87,'Ingredient Catalog'!$J:$J,0))),"")</f>
        <v/>
      </c>
      <c r="D104" s="21" t="str">
        <f aca="false">IFERROR(INDEX('Ingredient Catalog'!$C:$C,MATCH(87,'Ingredient Catalog'!$J:$J,0)),"")</f>
        <v/>
      </c>
      <c r="E104" s="21" t="str">
        <f aca="false">IFERROR(INDEX('Ingredient Catalog'!$B:$B,MATCH(87,'Ingredient Catalog'!$J:$J,0)),"")</f>
        <v/>
      </c>
      <c r="F104" s="21" t="str">
        <f aca="false">IFERROR(IF(INDEX('Ingredient Catalog'!$D:$D,MATCH(87,'Ingredient Catalog'!$J:$J,0))="Yes","Check pantry",""),"")</f>
        <v/>
      </c>
      <c r="G104" s="21" t="str">
        <f aca="false">IFERROR(IF(INDEX('Ingredient Catalog'!$E:$E,MATCH(87,'Ingredient Catalog'!$J:$J,0))=0,"",INDEX('Ingredient Catalog'!$E:$E,MATCH(87,'Ingredient Catalog'!$J:$J,0))),"")</f>
        <v/>
      </c>
    </row>
    <row r="105" customFormat="false" ht="15" hidden="false" customHeight="false" outlineLevel="0" collapsed="false">
      <c r="B105" s="21" t="str">
        <f aca="false">IFERROR(INDEX('Ingredient Catalog'!$A:$A,MATCH(88,'Ingredient Catalog'!$J:$J,0)),"")</f>
        <v/>
      </c>
      <c r="C105" s="23" t="str">
        <f aca="false">IFERROR(IF(INDEX('Ingredient Catalog'!$H:$H,MATCH(88,'Ingredient Catalog'!$J:$J,0))=0,"",INDEX('Ingredient Catalog'!$H:$H,MATCH(88,'Ingredient Catalog'!$J:$J,0))),"")</f>
        <v/>
      </c>
      <c r="D105" s="21" t="str">
        <f aca="false">IFERROR(INDEX('Ingredient Catalog'!$C:$C,MATCH(88,'Ingredient Catalog'!$J:$J,0)),"")</f>
        <v/>
      </c>
      <c r="E105" s="21" t="str">
        <f aca="false">IFERROR(INDEX('Ingredient Catalog'!$B:$B,MATCH(88,'Ingredient Catalog'!$J:$J,0)),"")</f>
        <v/>
      </c>
      <c r="F105" s="21" t="str">
        <f aca="false">IFERROR(IF(INDEX('Ingredient Catalog'!$D:$D,MATCH(88,'Ingredient Catalog'!$J:$J,0))="Yes","Check pantry",""),"")</f>
        <v/>
      </c>
      <c r="G105" s="21" t="str">
        <f aca="false">IFERROR(IF(INDEX('Ingredient Catalog'!$E:$E,MATCH(88,'Ingredient Catalog'!$J:$J,0))=0,"",INDEX('Ingredient Catalog'!$E:$E,MATCH(88,'Ingredient Catalog'!$J:$J,0))),"")</f>
        <v/>
      </c>
    </row>
    <row r="106" customFormat="false" ht="15" hidden="false" customHeight="false" outlineLevel="0" collapsed="false">
      <c r="B106" s="21" t="str">
        <f aca="false">IFERROR(INDEX('Ingredient Catalog'!$A:$A,MATCH(89,'Ingredient Catalog'!$J:$J,0)),"")</f>
        <v/>
      </c>
      <c r="C106" s="23" t="str">
        <f aca="false">IFERROR(IF(INDEX('Ingredient Catalog'!$H:$H,MATCH(89,'Ingredient Catalog'!$J:$J,0))=0,"",INDEX('Ingredient Catalog'!$H:$H,MATCH(89,'Ingredient Catalog'!$J:$J,0))),"")</f>
        <v/>
      </c>
      <c r="D106" s="21" t="str">
        <f aca="false">IFERROR(INDEX('Ingredient Catalog'!$C:$C,MATCH(89,'Ingredient Catalog'!$J:$J,0)),"")</f>
        <v/>
      </c>
      <c r="E106" s="21" t="str">
        <f aca="false">IFERROR(INDEX('Ingredient Catalog'!$B:$B,MATCH(89,'Ingredient Catalog'!$J:$J,0)),"")</f>
        <v/>
      </c>
      <c r="F106" s="21" t="str">
        <f aca="false">IFERROR(IF(INDEX('Ingredient Catalog'!$D:$D,MATCH(89,'Ingredient Catalog'!$J:$J,0))="Yes","Check pantry",""),"")</f>
        <v/>
      </c>
      <c r="G106" s="21" t="str">
        <f aca="false">IFERROR(IF(INDEX('Ingredient Catalog'!$E:$E,MATCH(89,'Ingredient Catalog'!$J:$J,0))=0,"",INDEX('Ingredient Catalog'!$E:$E,MATCH(89,'Ingredient Catalog'!$J:$J,0))),"")</f>
        <v/>
      </c>
    </row>
    <row r="107" customFormat="false" ht="15" hidden="false" customHeight="false" outlineLevel="0" collapsed="false">
      <c r="B107" s="21" t="str">
        <f aca="false">IFERROR(INDEX('Ingredient Catalog'!$A:$A,MATCH(90,'Ingredient Catalog'!$J:$J,0)),"")</f>
        <v/>
      </c>
      <c r="C107" s="23" t="str">
        <f aca="false">IFERROR(IF(INDEX('Ingredient Catalog'!$H:$H,MATCH(90,'Ingredient Catalog'!$J:$J,0))=0,"",INDEX('Ingredient Catalog'!$H:$H,MATCH(90,'Ingredient Catalog'!$J:$J,0))),"")</f>
        <v/>
      </c>
      <c r="D107" s="21" t="str">
        <f aca="false">IFERROR(INDEX('Ingredient Catalog'!$C:$C,MATCH(90,'Ingredient Catalog'!$J:$J,0)),"")</f>
        <v/>
      </c>
      <c r="E107" s="21" t="str">
        <f aca="false">IFERROR(INDEX('Ingredient Catalog'!$B:$B,MATCH(90,'Ingredient Catalog'!$J:$J,0)),"")</f>
        <v/>
      </c>
      <c r="F107" s="21" t="str">
        <f aca="false">IFERROR(IF(INDEX('Ingredient Catalog'!$D:$D,MATCH(90,'Ingredient Catalog'!$J:$J,0))="Yes","Check pantry",""),"")</f>
        <v/>
      </c>
      <c r="G107" s="21" t="str">
        <f aca="false">IFERROR(IF(INDEX('Ingredient Catalog'!$E:$E,MATCH(90,'Ingredient Catalog'!$J:$J,0))=0,"",INDEX('Ingredient Catalog'!$E:$E,MATCH(90,'Ingredient Catalog'!$J:$J,0))),"")</f>
        <v/>
      </c>
    </row>
    <row r="108" customFormat="false" ht="15" hidden="false" customHeight="false" outlineLevel="0" collapsed="false">
      <c r="B108" s="21" t="str">
        <f aca="false">IFERROR(INDEX('Ingredient Catalog'!$A:$A,MATCH(91,'Ingredient Catalog'!$J:$J,0)),"")</f>
        <v/>
      </c>
      <c r="C108" s="23" t="str">
        <f aca="false">IFERROR(IF(INDEX('Ingredient Catalog'!$H:$H,MATCH(91,'Ingredient Catalog'!$J:$J,0))=0,"",INDEX('Ingredient Catalog'!$H:$H,MATCH(91,'Ingredient Catalog'!$J:$J,0))),"")</f>
        <v/>
      </c>
      <c r="D108" s="21" t="str">
        <f aca="false">IFERROR(INDEX('Ingredient Catalog'!$C:$C,MATCH(91,'Ingredient Catalog'!$J:$J,0)),"")</f>
        <v/>
      </c>
      <c r="E108" s="21" t="str">
        <f aca="false">IFERROR(INDEX('Ingredient Catalog'!$B:$B,MATCH(91,'Ingredient Catalog'!$J:$J,0)),"")</f>
        <v/>
      </c>
      <c r="F108" s="21" t="str">
        <f aca="false">IFERROR(IF(INDEX('Ingredient Catalog'!$D:$D,MATCH(91,'Ingredient Catalog'!$J:$J,0))="Yes","Check pantry",""),"")</f>
        <v/>
      </c>
      <c r="G108" s="21" t="str">
        <f aca="false">IFERROR(IF(INDEX('Ingredient Catalog'!$E:$E,MATCH(91,'Ingredient Catalog'!$J:$J,0))=0,"",INDEX('Ingredient Catalog'!$E:$E,MATCH(91,'Ingredient Catalog'!$J:$J,0))),"")</f>
        <v/>
      </c>
    </row>
    <row r="109" customFormat="false" ht="15" hidden="false" customHeight="false" outlineLevel="0" collapsed="false">
      <c r="B109" s="21" t="str">
        <f aca="false">IFERROR(INDEX('Ingredient Catalog'!$A:$A,MATCH(92,'Ingredient Catalog'!$J:$J,0)),"")</f>
        <v/>
      </c>
      <c r="C109" s="23" t="str">
        <f aca="false">IFERROR(IF(INDEX('Ingredient Catalog'!$H:$H,MATCH(92,'Ingredient Catalog'!$J:$J,0))=0,"",INDEX('Ingredient Catalog'!$H:$H,MATCH(92,'Ingredient Catalog'!$J:$J,0))),"")</f>
        <v/>
      </c>
      <c r="D109" s="21" t="str">
        <f aca="false">IFERROR(INDEX('Ingredient Catalog'!$C:$C,MATCH(92,'Ingredient Catalog'!$J:$J,0)),"")</f>
        <v/>
      </c>
      <c r="E109" s="21" t="str">
        <f aca="false">IFERROR(INDEX('Ingredient Catalog'!$B:$B,MATCH(92,'Ingredient Catalog'!$J:$J,0)),"")</f>
        <v/>
      </c>
      <c r="F109" s="21" t="str">
        <f aca="false">IFERROR(IF(INDEX('Ingredient Catalog'!$D:$D,MATCH(92,'Ingredient Catalog'!$J:$J,0))="Yes","Check pantry",""),"")</f>
        <v/>
      </c>
      <c r="G109" s="21" t="str">
        <f aca="false">IFERROR(IF(INDEX('Ingredient Catalog'!$E:$E,MATCH(92,'Ingredient Catalog'!$J:$J,0))=0,"",INDEX('Ingredient Catalog'!$E:$E,MATCH(92,'Ingredient Catalog'!$J:$J,0))),"")</f>
        <v/>
      </c>
    </row>
    <row r="110" customFormat="false" ht="15" hidden="false" customHeight="false" outlineLevel="0" collapsed="false">
      <c r="B110" s="21" t="str">
        <f aca="false">IFERROR(INDEX('Ingredient Catalog'!$A:$A,MATCH(93,'Ingredient Catalog'!$J:$J,0)),"")</f>
        <v/>
      </c>
      <c r="C110" s="23" t="str">
        <f aca="false">IFERROR(IF(INDEX('Ingredient Catalog'!$H:$H,MATCH(93,'Ingredient Catalog'!$J:$J,0))=0,"",INDEX('Ingredient Catalog'!$H:$H,MATCH(93,'Ingredient Catalog'!$J:$J,0))),"")</f>
        <v/>
      </c>
      <c r="D110" s="21" t="str">
        <f aca="false">IFERROR(INDEX('Ingredient Catalog'!$C:$C,MATCH(93,'Ingredient Catalog'!$J:$J,0)),"")</f>
        <v/>
      </c>
      <c r="E110" s="21" t="str">
        <f aca="false">IFERROR(INDEX('Ingredient Catalog'!$B:$B,MATCH(93,'Ingredient Catalog'!$J:$J,0)),"")</f>
        <v/>
      </c>
      <c r="F110" s="21" t="str">
        <f aca="false">IFERROR(IF(INDEX('Ingredient Catalog'!$D:$D,MATCH(93,'Ingredient Catalog'!$J:$J,0))="Yes","Check pantry",""),"")</f>
        <v/>
      </c>
      <c r="G110" s="21" t="str">
        <f aca="false">IFERROR(IF(INDEX('Ingredient Catalog'!$E:$E,MATCH(93,'Ingredient Catalog'!$J:$J,0))=0,"",INDEX('Ingredient Catalog'!$E:$E,MATCH(93,'Ingredient Catalog'!$J:$J,0))),"")</f>
        <v/>
      </c>
    </row>
    <row r="111" customFormat="false" ht="15" hidden="false" customHeight="false" outlineLevel="0" collapsed="false">
      <c r="B111" s="21" t="str">
        <f aca="false">IFERROR(INDEX('Ingredient Catalog'!$A:$A,MATCH(94,'Ingredient Catalog'!$J:$J,0)),"")</f>
        <v/>
      </c>
      <c r="C111" s="23" t="str">
        <f aca="false">IFERROR(IF(INDEX('Ingredient Catalog'!$H:$H,MATCH(94,'Ingredient Catalog'!$J:$J,0))=0,"",INDEX('Ingredient Catalog'!$H:$H,MATCH(94,'Ingredient Catalog'!$J:$J,0))),"")</f>
        <v/>
      </c>
      <c r="D111" s="21" t="str">
        <f aca="false">IFERROR(INDEX('Ingredient Catalog'!$C:$C,MATCH(94,'Ingredient Catalog'!$J:$J,0)),"")</f>
        <v/>
      </c>
      <c r="E111" s="21" t="str">
        <f aca="false">IFERROR(INDEX('Ingredient Catalog'!$B:$B,MATCH(94,'Ingredient Catalog'!$J:$J,0)),"")</f>
        <v/>
      </c>
      <c r="F111" s="21" t="str">
        <f aca="false">IFERROR(IF(INDEX('Ingredient Catalog'!$D:$D,MATCH(94,'Ingredient Catalog'!$J:$J,0))="Yes","Check pantry",""),"")</f>
        <v/>
      </c>
      <c r="G111" s="21" t="str">
        <f aca="false">IFERROR(IF(INDEX('Ingredient Catalog'!$E:$E,MATCH(94,'Ingredient Catalog'!$J:$J,0))=0,"",INDEX('Ingredient Catalog'!$E:$E,MATCH(94,'Ingredient Catalog'!$J:$J,0))),"")</f>
        <v/>
      </c>
    </row>
    <row r="112" customFormat="false" ht="15" hidden="false" customHeight="false" outlineLevel="0" collapsed="false">
      <c r="B112" s="21" t="str">
        <f aca="false">IFERROR(INDEX('Ingredient Catalog'!$A:$A,MATCH(95,'Ingredient Catalog'!$J:$J,0)),"")</f>
        <v/>
      </c>
      <c r="C112" s="23" t="str">
        <f aca="false">IFERROR(IF(INDEX('Ingredient Catalog'!$H:$H,MATCH(95,'Ingredient Catalog'!$J:$J,0))=0,"",INDEX('Ingredient Catalog'!$H:$H,MATCH(95,'Ingredient Catalog'!$J:$J,0))),"")</f>
        <v/>
      </c>
      <c r="D112" s="21" t="str">
        <f aca="false">IFERROR(INDEX('Ingredient Catalog'!$C:$C,MATCH(95,'Ingredient Catalog'!$J:$J,0)),"")</f>
        <v/>
      </c>
      <c r="E112" s="21" t="str">
        <f aca="false">IFERROR(INDEX('Ingredient Catalog'!$B:$B,MATCH(95,'Ingredient Catalog'!$J:$J,0)),"")</f>
        <v/>
      </c>
      <c r="F112" s="21" t="str">
        <f aca="false">IFERROR(IF(INDEX('Ingredient Catalog'!$D:$D,MATCH(95,'Ingredient Catalog'!$J:$J,0))="Yes","Check pantry",""),"")</f>
        <v/>
      </c>
      <c r="G112" s="21" t="str">
        <f aca="false">IFERROR(IF(INDEX('Ingredient Catalog'!$E:$E,MATCH(95,'Ingredient Catalog'!$J:$J,0))=0,"",INDEX('Ingredient Catalog'!$E:$E,MATCH(95,'Ingredient Catalog'!$J:$J,0))),"")</f>
        <v/>
      </c>
    </row>
    <row r="113" customFormat="false" ht="15" hidden="false" customHeight="false" outlineLevel="0" collapsed="false">
      <c r="B113" s="21" t="str">
        <f aca="false">IFERROR(INDEX('Ingredient Catalog'!$A:$A,MATCH(96,'Ingredient Catalog'!$J:$J,0)),"")</f>
        <v/>
      </c>
      <c r="C113" s="23" t="str">
        <f aca="false">IFERROR(IF(INDEX('Ingredient Catalog'!$H:$H,MATCH(96,'Ingredient Catalog'!$J:$J,0))=0,"",INDEX('Ingredient Catalog'!$H:$H,MATCH(96,'Ingredient Catalog'!$J:$J,0))),"")</f>
        <v/>
      </c>
      <c r="D113" s="21" t="str">
        <f aca="false">IFERROR(INDEX('Ingredient Catalog'!$C:$C,MATCH(96,'Ingredient Catalog'!$J:$J,0)),"")</f>
        <v/>
      </c>
      <c r="E113" s="21" t="str">
        <f aca="false">IFERROR(INDEX('Ingredient Catalog'!$B:$B,MATCH(96,'Ingredient Catalog'!$J:$J,0)),"")</f>
        <v/>
      </c>
      <c r="F113" s="21" t="str">
        <f aca="false">IFERROR(IF(INDEX('Ingredient Catalog'!$D:$D,MATCH(96,'Ingredient Catalog'!$J:$J,0))="Yes","Check pantry",""),"")</f>
        <v/>
      </c>
      <c r="G113" s="21" t="str">
        <f aca="false">IFERROR(IF(INDEX('Ingredient Catalog'!$E:$E,MATCH(96,'Ingredient Catalog'!$J:$J,0))=0,"",INDEX('Ingredient Catalog'!$E:$E,MATCH(96,'Ingredient Catalog'!$J:$J,0))),"")</f>
        <v/>
      </c>
    </row>
    <row r="114" customFormat="false" ht="15" hidden="false" customHeight="false" outlineLevel="0" collapsed="false">
      <c r="B114" s="21" t="str">
        <f aca="false">IFERROR(INDEX('Ingredient Catalog'!$A:$A,MATCH(97,'Ingredient Catalog'!$J:$J,0)),"")</f>
        <v/>
      </c>
      <c r="C114" s="23" t="str">
        <f aca="false">IFERROR(IF(INDEX('Ingredient Catalog'!$H:$H,MATCH(97,'Ingredient Catalog'!$J:$J,0))=0,"",INDEX('Ingredient Catalog'!$H:$H,MATCH(97,'Ingredient Catalog'!$J:$J,0))),"")</f>
        <v/>
      </c>
      <c r="D114" s="21" t="str">
        <f aca="false">IFERROR(INDEX('Ingredient Catalog'!$C:$C,MATCH(97,'Ingredient Catalog'!$J:$J,0)),"")</f>
        <v/>
      </c>
      <c r="E114" s="21" t="str">
        <f aca="false">IFERROR(INDEX('Ingredient Catalog'!$B:$B,MATCH(97,'Ingredient Catalog'!$J:$J,0)),"")</f>
        <v/>
      </c>
      <c r="F114" s="21" t="str">
        <f aca="false">IFERROR(IF(INDEX('Ingredient Catalog'!$D:$D,MATCH(97,'Ingredient Catalog'!$J:$J,0))="Yes","Check pantry",""),"")</f>
        <v/>
      </c>
      <c r="G114" s="21" t="str">
        <f aca="false">IFERROR(IF(INDEX('Ingredient Catalog'!$E:$E,MATCH(97,'Ingredient Catalog'!$J:$J,0))=0,"",INDEX('Ingredient Catalog'!$E:$E,MATCH(97,'Ingredient Catalog'!$J:$J,0))),"")</f>
        <v/>
      </c>
    </row>
    <row r="115" customFormat="false" ht="15" hidden="false" customHeight="false" outlineLevel="0" collapsed="false">
      <c r="B115" s="21" t="str">
        <f aca="false">IFERROR(INDEX('Ingredient Catalog'!$A:$A,MATCH(98,'Ingredient Catalog'!$J:$J,0)),"")</f>
        <v/>
      </c>
      <c r="C115" s="23" t="str">
        <f aca="false">IFERROR(IF(INDEX('Ingredient Catalog'!$H:$H,MATCH(98,'Ingredient Catalog'!$J:$J,0))=0,"",INDEX('Ingredient Catalog'!$H:$H,MATCH(98,'Ingredient Catalog'!$J:$J,0))),"")</f>
        <v/>
      </c>
      <c r="D115" s="21" t="str">
        <f aca="false">IFERROR(INDEX('Ingredient Catalog'!$C:$C,MATCH(98,'Ingredient Catalog'!$J:$J,0)),"")</f>
        <v/>
      </c>
      <c r="E115" s="21" t="str">
        <f aca="false">IFERROR(INDEX('Ingredient Catalog'!$B:$B,MATCH(98,'Ingredient Catalog'!$J:$J,0)),"")</f>
        <v/>
      </c>
      <c r="F115" s="21" t="str">
        <f aca="false">IFERROR(IF(INDEX('Ingredient Catalog'!$D:$D,MATCH(98,'Ingredient Catalog'!$J:$J,0))="Yes","Check pantry",""),"")</f>
        <v/>
      </c>
      <c r="G115" s="21" t="str">
        <f aca="false">IFERROR(IF(INDEX('Ingredient Catalog'!$E:$E,MATCH(98,'Ingredient Catalog'!$J:$J,0))=0,"",INDEX('Ingredient Catalog'!$E:$E,MATCH(98,'Ingredient Catalog'!$J:$J,0))),"")</f>
        <v/>
      </c>
    </row>
    <row r="116" customFormat="false" ht="15" hidden="false" customHeight="false" outlineLevel="0" collapsed="false">
      <c r="B116" s="21" t="str">
        <f aca="false">IFERROR(INDEX('Ingredient Catalog'!$A:$A,MATCH(99,'Ingredient Catalog'!$J:$J,0)),"")</f>
        <v/>
      </c>
      <c r="C116" s="23" t="str">
        <f aca="false">IFERROR(IF(INDEX('Ingredient Catalog'!$H:$H,MATCH(99,'Ingredient Catalog'!$J:$J,0))=0,"",INDEX('Ingredient Catalog'!$H:$H,MATCH(99,'Ingredient Catalog'!$J:$J,0))),"")</f>
        <v/>
      </c>
      <c r="D116" s="21" t="str">
        <f aca="false">IFERROR(INDEX('Ingredient Catalog'!$C:$C,MATCH(99,'Ingredient Catalog'!$J:$J,0)),"")</f>
        <v/>
      </c>
      <c r="E116" s="21" t="str">
        <f aca="false">IFERROR(INDEX('Ingredient Catalog'!$B:$B,MATCH(99,'Ingredient Catalog'!$J:$J,0)),"")</f>
        <v/>
      </c>
      <c r="F116" s="21" t="str">
        <f aca="false">IFERROR(IF(INDEX('Ingredient Catalog'!$D:$D,MATCH(99,'Ingredient Catalog'!$J:$J,0))="Yes","Check pantry",""),"")</f>
        <v/>
      </c>
      <c r="G116" s="21" t="str">
        <f aca="false">IFERROR(IF(INDEX('Ingredient Catalog'!$E:$E,MATCH(99,'Ingredient Catalog'!$J:$J,0))=0,"",INDEX('Ingredient Catalog'!$E:$E,MATCH(99,'Ingredient Catalog'!$J:$J,0))),"")</f>
        <v/>
      </c>
    </row>
    <row r="117" customFormat="false" ht="15" hidden="false" customHeight="false" outlineLevel="0" collapsed="false">
      <c r="B117" s="21" t="str">
        <f aca="false">IFERROR(INDEX('Ingredient Catalog'!$A:$A,MATCH(100,'Ingredient Catalog'!$J:$J,0)),"")</f>
        <v/>
      </c>
      <c r="C117" s="23" t="str">
        <f aca="false">IFERROR(IF(INDEX('Ingredient Catalog'!$H:$H,MATCH(100,'Ingredient Catalog'!$J:$J,0))=0,"",INDEX('Ingredient Catalog'!$H:$H,MATCH(100,'Ingredient Catalog'!$J:$J,0))),"")</f>
        <v/>
      </c>
      <c r="D117" s="21" t="str">
        <f aca="false">IFERROR(INDEX('Ingredient Catalog'!$C:$C,MATCH(100,'Ingredient Catalog'!$J:$J,0)),"")</f>
        <v/>
      </c>
      <c r="E117" s="21" t="str">
        <f aca="false">IFERROR(INDEX('Ingredient Catalog'!$B:$B,MATCH(100,'Ingredient Catalog'!$J:$J,0)),"")</f>
        <v/>
      </c>
      <c r="F117" s="21" t="str">
        <f aca="false">IFERROR(IF(INDEX('Ingredient Catalog'!$D:$D,MATCH(100,'Ingredient Catalog'!$J:$J,0))="Yes","Check pantry",""),"")</f>
        <v/>
      </c>
      <c r="G117" s="21" t="str">
        <f aca="false">IFERROR(IF(INDEX('Ingredient Catalog'!$E:$E,MATCH(100,'Ingredient Catalog'!$J:$J,0))=0,"",INDEX('Ingredient Catalog'!$E:$E,MATCH(100,'Ingredient Catalog'!$J:$J,0))),"")</f>
        <v/>
      </c>
    </row>
    <row r="118" customFormat="false" ht="15" hidden="false" customHeight="false" outlineLevel="0" collapsed="false">
      <c r="B118" s="21" t="str">
        <f aca="false">IFERROR(INDEX('Ingredient Catalog'!$A:$A,MATCH(101,'Ingredient Catalog'!$J:$J,0)),"")</f>
        <v/>
      </c>
      <c r="C118" s="23" t="str">
        <f aca="false">IFERROR(IF(INDEX('Ingredient Catalog'!$H:$H,MATCH(101,'Ingredient Catalog'!$J:$J,0))=0,"",INDEX('Ingredient Catalog'!$H:$H,MATCH(101,'Ingredient Catalog'!$J:$J,0))),"")</f>
        <v/>
      </c>
      <c r="D118" s="21" t="str">
        <f aca="false">IFERROR(INDEX('Ingredient Catalog'!$C:$C,MATCH(101,'Ingredient Catalog'!$J:$J,0)),"")</f>
        <v/>
      </c>
      <c r="E118" s="21" t="str">
        <f aca="false">IFERROR(INDEX('Ingredient Catalog'!$B:$B,MATCH(101,'Ingredient Catalog'!$J:$J,0)),"")</f>
        <v/>
      </c>
      <c r="F118" s="21" t="str">
        <f aca="false">IFERROR(IF(INDEX('Ingredient Catalog'!$D:$D,MATCH(101,'Ingredient Catalog'!$J:$J,0))="Yes","Check pantry",""),"")</f>
        <v/>
      </c>
      <c r="G118" s="21" t="str">
        <f aca="false">IFERROR(IF(INDEX('Ingredient Catalog'!$E:$E,MATCH(101,'Ingredient Catalog'!$J:$J,0))=0,"",INDEX('Ingredient Catalog'!$E:$E,MATCH(101,'Ingredient Catalog'!$J:$J,0))),"")</f>
        <v/>
      </c>
    </row>
    <row r="119" customFormat="false" ht="15" hidden="false" customHeight="false" outlineLevel="0" collapsed="false">
      <c r="B119" s="21" t="str">
        <f aca="false">IFERROR(INDEX('Ingredient Catalog'!$A:$A,MATCH(102,'Ingredient Catalog'!$J:$J,0)),"")</f>
        <v/>
      </c>
      <c r="C119" s="23" t="str">
        <f aca="false">IFERROR(IF(INDEX('Ingredient Catalog'!$H:$H,MATCH(102,'Ingredient Catalog'!$J:$J,0))=0,"",INDEX('Ingredient Catalog'!$H:$H,MATCH(102,'Ingredient Catalog'!$J:$J,0))),"")</f>
        <v/>
      </c>
      <c r="D119" s="21" t="str">
        <f aca="false">IFERROR(INDEX('Ingredient Catalog'!$C:$C,MATCH(102,'Ingredient Catalog'!$J:$J,0)),"")</f>
        <v/>
      </c>
      <c r="E119" s="21" t="str">
        <f aca="false">IFERROR(INDEX('Ingredient Catalog'!$B:$B,MATCH(102,'Ingredient Catalog'!$J:$J,0)),"")</f>
        <v/>
      </c>
      <c r="F119" s="21" t="str">
        <f aca="false">IFERROR(IF(INDEX('Ingredient Catalog'!$D:$D,MATCH(102,'Ingredient Catalog'!$J:$J,0))="Yes","Check pantry",""),"")</f>
        <v/>
      </c>
      <c r="G119" s="21" t="str">
        <f aca="false">IFERROR(IF(INDEX('Ingredient Catalog'!$E:$E,MATCH(102,'Ingredient Catalog'!$J:$J,0))=0,"",INDEX('Ingredient Catalog'!$E:$E,MATCH(102,'Ingredient Catalog'!$J:$J,0))),"")</f>
        <v/>
      </c>
    </row>
    <row r="120" customFormat="false" ht="15" hidden="false" customHeight="false" outlineLevel="0" collapsed="false">
      <c r="B120" s="21" t="str">
        <f aca="false">IFERROR(INDEX('Ingredient Catalog'!$A:$A,MATCH(103,'Ingredient Catalog'!$J:$J,0)),"")</f>
        <v/>
      </c>
      <c r="C120" s="23" t="str">
        <f aca="false">IFERROR(IF(INDEX('Ingredient Catalog'!$H:$H,MATCH(103,'Ingredient Catalog'!$J:$J,0))=0,"",INDEX('Ingredient Catalog'!$H:$H,MATCH(103,'Ingredient Catalog'!$J:$J,0))),"")</f>
        <v/>
      </c>
      <c r="D120" s="21" t="str">
        <f aca="false">IFERROR(INDEX('Ingredient Catalog'!$C:$C,MATCH(103,'Ingredient Catalog'!$J:$J,0)),"")</f>
        <v/>
      </c>
      <c r="E120" s="21" t="str">
        <f aca="false">IFERROR(INDEX('Ingredient Catalog'!$B:$B,MATCH(103,'Ingredient Catalog'!$J:$J,0)),"")</f>
        <v/>
      </c>
      <c r="F120" s="21" t="str">
        <f aca="false">IFERROR(IF(INDEX('Ingredient Catalog'!$D:$D,MATCH(103,'Ingredient Catalog'!$J:$J,0))="Yes","Check pantry",""),"")</f>
        <v/>
      </c>
      <c r="G120" s="21" t="str">
        <f aca="false">IFERROR(IF(INDEX('Ingredient Catalog'!$E:$E,MATCH(103,'Ingredient Catalog'!$J:$J,0))=0,"",INDEX('Ingredient Catalog'!$E:$E,MATCH(103,'Ingredient Catalog'!$J:$J,0))),"")</f>
        <v/>
      </c>
    </row>
    <row r="121" customFormat="false" ht="15" hidden="false" customHeight="false" outlineLevel="0" collapsed="false">
      <c r="B121" s="21" t="str">
        <f aca="false">IFERROR(INDEX('Ingredient Catalog'!$A:$A,MATCH(104,'Ingredient Catalog'!$J:$J,0)),"")</f>
        <v/>
      </c>
      <c r="C121" s="23" t="str">
        <f aca="false">IFERROR(IF(INDEX('Ingredient Catalog'!$H:$H,MATCH(104,'Ingredient Catalog'!$J:$J,0))=0,"",INDEX('Ingredient Catalog'!$H:$H,MATCH(104,'Ingredient Catalog'!$J:$J,0))),"")</f>
        <v/>
      </c>
      <c r="D121" s="21" t="str">
        <f aca="false">IFERROR(INDEX('Ingredient Catalog'!$C:$C,MATCH(104,'Ingredient Catalog'!$J:$J,0)),"")</f>
        <v/>
      </c>
      <c r="E121" s="21" t="str">
        <f aca="false">IFERROR(INDEX('Ingredient Catalog'!$B:$B,MATCH(104,'Ingredient Catalog'!$J:$J,0)),"")</f>
        <v/>
      </c>
      <c r="F121" s="21" t="str">
        <f aca="false">IFERROR(IF(INDEX('Ingredient Catalog'!$D:$D,MATCH(104,'Ingredient Catalog'!$J:$J,0))="Yes","Check pantry",""),"")</f>
        <v/>
      </c>
      <c r="G121" s="21" t="str">
        <f aca="false">IFERROR(IF(INDEX('Ingredient Catalog'!$E:$E,MATCH(104,'Ingredient Catalog'!$J:$J,0))=0,"",INDEX('Ingredient Catalog'!$E:$E,MATCH(104,'Ingredient Catalog'!$J:$J,0))),"")</f>
        <v/>
      </c>
    </row>
    <row r="122" customFormat="false" ht="15" hidden="false" customHeight="false" outlineLevel="0" collapsed="false">
      <c r="B122" s="21" t="str">
        <f aca="false">IFERROR(INDEX('Ingredient Catalog'!$A:$A,MATCH(105,'Ingredient Catalog'!$J:$J,0)),"")</f>
        <v/>
      </c>
      <c r="C122" s="23" t="str">
        <f aca="false">IFERROR(IF(INDEX('Ingredient Catalog'!$H:$H,MATCH(105,'Ingredient Catalog'!$J:$J,0))=0,"",INDEX('Ingredient Catalog'!$H:$H,MATCH(105,'Ingredient Catalog'!$J:$J,0))),"")</f>
        <v/>
      </c>
      <c r="D122" s="21" t="str">
        <f aca="false">IFERROR(INDEX('Ingredient Catalog'!$C:$C,MATCH(105,'Ingredient Catalog'!$J:$J,0)),"")</f>
        <v/>
      </c>
      <c r="E122" s="21" t="str">
        <f aca="false">IFERROR(INDEX('Ingredient Catalog'!$B:$B,MATCH(105,'Ingredient Catalog'!$J:$J,0)),"")</f>
        <v/>
      </c>
      <c r="F122" s="21" t="str">
        <f aca="false">IFERROR(IF(INDEX('Ingredient Catalog'!$D:$D,MATCH(105,'Ingredient Catalog'!$J:$J,0))="Yes","Check pantry",""),"")</f>
        <v/>
      </c>
      <c r="G122" s="21" t="str">
        <f aca="false">IFERROR(IF(INDEX('Ingredient Catalog'!$E:$E,MATCH(105,'Ingredient Catalog'!$J:$J,0))=0,"",INDEX('Ingredient Catalog'!$E:$E,MATCH(105,'Ingredient Catalog'!$J:$J,0))),"")</f>
        <v/>
      </c>
    </row>
    <row r="123" customFormat="false" ht="15" hidden="false" customHeight="false" outlineLevel="0" collapsed="false">
      <c r="B123" s="21" t="str">
        <f aca="false">IFERROR(INDEX('Ingredient Catalog'!$A:$A,MATCH(106,'Ingredient Catalog'!$J:$J,0)),"")</f>
        <v/>
      </c>
      <c r="C123" s="23" t="str">
        <f aca="false">IFERROR(IF(INDEX('Ingredient Catalog'!$H:$H,MATCH(106,'Ingredient Catalog'!$J:$J,0))=0,"",INDEX('Ingredient Catalog'!$H:$H,MATCH(106,'Ingredient Catalog'!$J:$J,0))),"")</f>
        <v/>
      </c>
      <c r="D123" s="21" t="str">
        <f aca="false">IFERROR(INDEX('Ingredient Catalog'!$C:$C,MATCH(106,'Ingredient Catalog'!$J:$J,0)),"")</f>
        <v/>
      </c>
      <c r="E123" s="21" t="str">
        <f aca="false">IFERROR(INDEX('Ingredient Catalog'!$B:$B,MATCH(106,'Ingredient Catalog'!$J:$J,0)),"")</f>
        <v/>
      </c>
      <c r="F123" s="21" t="str">
        <f aca="false">IFERROR(IF(INDEX('Ingredient Catalog'!$D:$D,MATCH(106,'Ingredient Catalog'!$J:$J,0))="Yes","Check pantry",""),"")</f>
        <v/>
      </c>
      <c r="G123" s="21" t="str">
        <f aca="false">IFERROR(IF(INDEX('Ingredient Catalog'!$E:$E,MATCH(106,'Ingredient Catalog'!$J:$J,0))=0,"",INDEX('Ingredient Catalog'!$E:$E,MATCH(106,'Ingredient Catalog'!$J:$J,0))),"")</f>
        <v/>
      </c>
    </row>
    <row r="124" customFormat="false" ht="15" hidden="false" customHeight="false" outlineLevel="0" collapsed="false">
      <c r="B124" s="21" t="str">
        <f aca="false">IFERROR(INDEX('Ingredient Catalog'!$A:$A,MATCH(107,'Ingredient Catalog'!$J:$J,0)),"")</f>
        <v/>
      </c>
      <c r="C124" s="23" t="str">
        <f aca="false">IFERROR(IF(INDEX('Ingredient Catalog'!$H:$H,MATCH(107,'Ingredient Catalog'!$J:$J,0))=0,"",INDEX('Ingredient Catalog'!$H:$H,MATCH(107,'Ingredient Catalog'!$J:$J,0))),"")</f>
        <v/>
      </c>
      <c r="D124" s="21" t="str">
        <f aca="false">IFERROR(INDEX('Ingredient Catalog'!$C:$C,MATCH(107,'Ingredient Catalog'!$J:$J,0)),"")</f>
        <v/>
      </c>
      <c r="E124" s="21" t="str">
        <f aca="false">IFERROR(INDEX('Ingredient Catalog'!$B:$B,MATCH(107,'Ingredient Catalog'!$J:$J,0)),"")</f>
        <v/>
      </c>
      <c r="F124" s="21" t="str">
        <f aca="false">IFERROR(IF(INDEX('Ingredient Catalog'!$D:$D,MATCH(107,'Ingredient Catalog'!$J:$J,0))="Yes","Check pantry",""),"")</f>
        <v/>
      </c>
      <c r="G124" s="21" t="str">
        <f aca="false">IFERROR(IF(INDEX('Ingredient Catalog'!$E:$E,MATCH(107,'Ingredient Catalog'!$J:$J,0))=0,"",INDEX('Ingredient Catalog'!$E:$E,MATCH(107,'Ingredient Catalog'!$J:$J,0))),"")</f>
        <v/>
      </c>
    </row>
    <row r="125" customFormat="false" ht="15" hidden="false" customHeight="false" outlineLevel="0" collapsed="false">
      <c r="B125" s="21" t="str">
        <f aca="false">IFERROR(INDEX('Ingredient Catalog'!$A:$A,MATCH(108,'Ingredient Catalog'!$J:$J,0)),"")</f>
        <v/>
      </c>
      <c r="C125" s="23" t="str">
        <f aca="false">IFERROR(IF(INDEX('Ingredient Catalog'!$H:$H,MATCH(108,'Ingredient Catalog'!$J:$J,0))=0,"",INDEX('Ingredient Catalog'!$H:$H,MATCH(108,'Ingredient Catalog'!$J:$J,0))),"")</f>
        <v/>
      </c>
      <c r="D125" s="21" t="str">
        <f aca="false">IFERROR(INDEX('Ingredient Catalog'!$C:$C,MATCH(108,'Ingredient Catalog'!$J:$J,0)),"")</f>
        <v/>
      </c>
      <c r="E125" s="21" t="str">
        <f aca="false">IFERROR(INDEX('Ingredient Catalog'!$B:$B,MATCH(108,'Ingredient Catalog'!$J:$J,0)),"")</f>
        <v/>
      </c>
      <c r="F125" s="21" t="str">
        <f aca="false">IFERROR(IF(INDEX('Ingredient Catalog'!$D:$D,MATCH(108,'Ingredient Catalog'!$J:$J,0))="Yes","Check pantry",""),"")</f>
        <v/>
      </c>
      <c r="G125" s="21" t="str">
        <f aca="false">IFERROR(IF(INDEX('Ingredient Catalog'!$E:$E,MATCH(108,'Ingredient Catalog'!$J:$J,0))=0,"",INDEX('Ingredient Catalog'!$E:$E,MATCH(108,'Ingredient Catalog'!$J:$J,0))),"")</f>
        <v/>
      </c>
    </row>
    <row r="126" customFormat="false" ht="15" hidden="false" customHeight="false" outlineLevel="0" collapsed="false">
      <c r="B126" s="21" t="str">
        <f aca="false">IFERROR(INDEX('Ingredient Catalog'!$A:$A,MATCH(109,'Ingredient Catalog'!$J:$J,0)),"")</f>
        <v/>
      </c>
      <c r="C126" s="23" t="str">
        <f aca="false">IFERROR(IF(INDEX('Ingredient Catalog'!$H:$H,MATCH(109,'Ingredient Catalog'!$J:$J,0))=0,"",INDEX('Ingredient Catalog'!$H:$H,MATCH(109,'Ingredient Catalog'!$J:$J,0))),"")</f>
        <v/>
      </c>
      <c r="D126" s="21" t="str">
        <f aca="false">IFERROR(INDEX('Ingredient Catalog'!$C:$C,MATCH(109,'Ingredient Catalog'!$J:$J,0)),"")</f>
        <v/>
      </c>
      <c r="E126" s="21" t="str">
        <f aca="false">IFERROR(INDEX('Ingredient Catalog'!$B:$B,MATCH(109,'Ingredient Catalog'!$J:$J,0)),"")</f>
        <v/>
      </c>
      <c r="F126" s="21" t="str">
        <f aca="false">IFERROR(IF(INDEX('Ingredient Catalog'!$D:$D,MATCH(109,'Ingredient Catalog'!$J:$J,0))="Yes","Check pantry",""),"")</f>
        <v/>
      </c>
      <c r="G126" s="21" t="str">
        <f aca="false">IFERROR(IF(INDEX('Ingredient Catalog'!$E:$E,MATCH(109,'Ingredient Catalog'!$J:$J,0))=0,"",INDEX('Ingredient Catalog'!$E:$E,MATCH(109,'Ingredient Catalog'!$J:$J,0))),"")</f>
        <v/>
      </c>
    </row>
    <row r="127" customFormat="false" ht="15" hidden="false" customHeight="false" outlineLevel="0" collapsed="false">
      <c r="B127" s="21" t="str">
        <f aca="false">IFERROR(INDEX('Ingredient Catalog'!$A:$A,MATCH(110,'Ingredient Catalog'!$J:$J,0)),"")</f>
        <v/>
      </c>
      <c r="C127" s="23" t="str">
        <f aca="false">IFERROR(IF(INDEX('Ingredient Catalog'!$H:$H,MATCH(110,'Ingredient Catalog'!$J:$J,0))=0,"",INDEX('Ingredient Catalog'!$H:$H,MATCH(110,'Ingredient Catalog'!$J:$J,0))),"")</f>
        <v/>
      </c>
      <c r="D127" s="21" t="str">
        <f aca="false">IFERROR(INDEX('Ingredient Catalog'!$C:$C,MATCH(110,'Ingredient Catalog'!$J:$J,0)),"")</f>
        <v/>
      </c>
      <c r="E127" s="21" t="str">
        <f aca="false">IFERROR(INDEX('Ingredient Catalog'!$B:$B,MATCH(110,'Ingredient Catalog'!$J:$J,0)),"")</f>
        <v/>
      </c>
      <c r="F127" s="21" t="str">
        <f aca="false">IFERROR(IF(INDEX('Ingredient Catalog'!$D:$D,MATCH(110,'Ingredient Catalog'!$J:$J,0))="Yes","Check pantry",""),"")</f>
        <v/>
      </c>
      <c r="G127" s="21" t="str">
        <f aca="false">IFERROR(IF(INDEX('Ingredient Catalog'!$E:$E,MATCH(110,'Ingredient Catalog'!$J:$J,0))=0,"",INDEX('Ingredient Catalog'!$E:$E,MATCH(110,'Ingredient Catalog'!$J:$J,0))),"")</f>
        <v/>
      </c>
    </row>
    <row r="128" customFormat="false" ht="15" hidden="false" customHeight="false" outlineLevel="0" collapsed="false">
      <c r="B128" s="21" t="str">
        <f aca="false">IFERROR(INDEX('Ingredient Catalog'!$A:$A,MATCH(111,'Ingredient Catalog'!$J:$J,0)),"")</f>
        <v/>
      </c>
      <c r="C128" s="23" t="str">
        <f aca="false">IFERROR(IF(INDEX('Ingredient Catalog'!$H:$H,MATCH(111,'Ingredient Catalog'!$J:$J,0))=0,"",INDEX('Ingredient Catalog'!$H:$H,MATCH(111,'Ingredient Catalog'!$J:$J,0))),"")</f>
        <v/>
      </c>
      <c r="D128" s="21" t="str">
        <f aca="false">IFERROR(INDEX('Ingredient Catalog'!$C:$C,MATCH(111,'Ingredient Catalog'!$J:$J,0)),"")</f>
        <v/>
      </c>
      <c r="E128" s="21" t="str">
        <f aca="false">IFERROR(INDEX('Ingredient Catalog'!$B:$B,MATCH(111,'Ingredient Catalog'!$J:$J,0)),"")</f>
        <v/>
      </c>
      <c r="F128" s="21" t="str">
        <f aca="false">IFERROR(IF(INDEX('Ingredient Catalog'!$D:$D,MATCH(111,'Ingredient Catalog'!$J:$J,0))="Yes","Check pantry",""),"")</f>
        <v/>
      </c>
      <c r="G128" s="21" t="str">
        <f aca="false">IFERROR(IF(INDEX('Ingredient Catalog'!$E:$E,MATCH(111,'Ingredient Catalog'!$J:$J,0))=0,"",INDEX('Ingredient Catalog'!$E:$E,MATCH(111,'Ingredient Catalog'!$J:$J,0))),"")</f>
        <v/>
      </c>
    </row>
    <row r="129" customFormat="false" ht="15" hidden="false" customHeight="false" outlineLevel="0" collapsed="false">
      <c r="B129" s="21" t="str">
        <f aca="false">IFERROR(INDEX('Ingredient Catalog'!$A:$A,MATCH(112,'Ingredient Catalog'!$J:$J,0)),"")</f>
        <v/>
      </c>
      <c r="C129" s="23" t="str">
        <f aca="false">IFERROR(IF(INDEX('Ingredient Catalog'!$H:$H,MATCH(112,'Ingredient Catalog'!$J:$J,0))=0,"",INDEX('Ingredient Catalog'!$H:$H,MATCH(112,'Ingredient Catalog'!$J:$J,0))),"")</f>
        <v/>
      </c>
      <c r="D129" s="21" t="str">
        <f aca="false">IFERROR(INDEX('Ingredient Catalog'!$C:$C,MATCH(112,'Ingredient Catalog'!$J:$J,0)),"")</f>
        <v/>
      </c>
      <c r="E129" s="21" t="str">
        <f aca="false">IFERROR(INDEX('Ingredient Catalog'!$B:$B,MATCH(112,'Ingredient Catalog'!$J:$J,0)),"")</f>
        <v/>
      </c>
      <c r="F129" s="21" t="str">
        <f aca="false">IFERROR(IF(INDEX('Ingredient Catalog'!$D:$D,MATCH(112,'Ingredient Catalog'!$J:$J,0))="Yes","Check pantry",""),"")</f>
        <v/>
      </c>
      <c r="G129" s="21" t="str">
        <f aca="false">IFERROR(IF(INDEX('Ingredient Catalog'!$E:$E,MATCH(112,'Ingredient Catalog'!$J:$J,0))=0,"",INDEX('Ingredient Catalog'!$E:$E,MATCH(112,'Ingredient Catalog'!$J:$J,0))),"")</f>
        <v/>
      </c>
    </row>
    <row r="130" customFormat="false" ht="15" hidden="false" customHeight="false" outlineLevel="0" collapsed="false">
      <c r="B130" s="21" t="str">
        <f aca="false">IFERROR(INDEX('Ingredient Catalog'!$A:$A,MATCH(113,'Ingredient Catalog'!$J:$J,0)),"")</f>
        <v/>
      </c>
      <c r="C130" s="23" t="str">
        <f aca="false">IFERROR(IF(INDEX('Ingredient Catalog'!$H:$H,MATCH(113,'Ingredient Catalog'!$J:$J,0))=0,"",INDEX('Ingredient Catalog'!$H:$H,MATCH(113,'Ingredient Catalog'!$J:$J,0))),"")</f>
        <v/>
      </c>
      <c r="D130" s="21" t="str">
        <f aca="false">IFERROR(INDEX('Ingredient Catalog'!$C:$C,MATCH(113,'Ingredient Catalog'!$J:$J,0)),"")</f>
        <v/>
      </c>
      <c r="E130" s="21" t="str">
        <f aca="false">IFERROR(INDEX('Ingredient Catalog'!$B:$B,MATCH(113,'Ingredient Catalog'!$J:$J,0)),"")</f>
        <v/>
      </c>
      <c r="F130" s="21" t="str">
        <f aca="false">IFERROR(IF(INDEX('Ingredient Catalog'!$D:$D,MATCH(113,'Ingredient Catalog'!$J:$J,0))="Yes","Check pantry",""),"")</f>
        <v/>
      </c>
      <c r="G130" s="21" t="str">
        <f aca="false">IFERROR(IF(INDEX('Ingredient Catalog'!$E:$E,MATCH(113,'Ingredient Catalog'!$J:$J,0))=0,"",INDEX('Ingredient Catalog'!$E:$E,MATCH(113,'Ingredient Catalog'!$J:$J,0))),"")</f>
        <v/>
      </c>
    </row>
    <row r="131" customFormat="false" ht="15" hidden="false" customHeight="false" outlineLevel="0" collapsed="false">
      <c r="B131" s="21" t="str">
        <f aca="false">IFERROR(INDEX('Ingredient Catalog'!$A:$A,MATCH(114,'Ingredient Catalog'!$J:$J,0)),"")</f>
        <v/>
      </c>
      <c r="C131" s="23" t="str">
        <f aca="false">IFERROR(IF(INDEX('Ingredient Catalog'!$H:$H,MATCH(114,'Ingredient Catalog'!$J:$J,0))=0,"",INDEX('Ingredient Catalog'!$H:$H,MATCH(114,'Ingredient Catalog'!$J:$J,0))),"")</f>
        <v/>
      </c>
      <c r="D131" s="21" t="str">
        <f aca="false">IFERROR(INDEX('Ingredient Catalog'!$C:$C,MATCH(114,'Ingredient Catalog'!$J:$J,0)),"")</f>
        <v/>
      </c>
      <c r="E131" s="21" t="str">
        <f aca="false">IFERROR(INDEX('Ingredient Catalog'!$B:$B,MATCH(114,'Ingredient Catalog'!$J:$J,0)),"")</f>
        <v/>
      </c>
      <c r="F131" s="21" t="str">
        <f aca="false">IFERROR(IF(INDEX('Ingredient Catalog'!$D:$D,MATCH(114,'Ingredient Catalog'!$J:$J,0))="Yes","Check pantry",""),"")</f>
        <v/>
      </c>
      <c r="G131" s="21" t="str">
        <f aca="false">IFERROR(IF(INDEX('Ingredient Catalog'!$E:$E,MATCH(114,'Ingredient Catalog'!$J:$J,0))=0,"",INDEX('Ingredient Catalog'!$E:$E,MATCH(114,'Ingredient Catalog'!$J:$J,0))),"")</f>
        <v/>
      </c>
    </row>
    <row r="132" customFormat="false" ht="15" hidden="false" customHeight="false" outlineLevel="0" collapsed="false">
      <c r="B132" s="21" t="str">
        <f aca="false">IFERROR(INDEX('Ingredient Catalog'!$A:$A,MATCH(115,'Ingredient Catalog'!$J:$J,0)),"")</f>
        <v/>
      </c>
      <c r="C132" s="23" t="str">
        <f aca="false">IFERROR(IF(INDEX('Ingredient Catalog'!$H:$H,MATCH(115,'Ingredient Catalog'!$J:$J,0))=0,"",INDEX('Ingredient Catalog'!$H:$H,MATCH(115,'Ingredient Catalog'!$J:$J,0))),"")</f>
        <v/>
      </c>
      <c r="D132" s="21" t="str">
        <f aca="false">IFERROR(INDEX('Ingredient Catalog'!$C:$C,MATCH(115,'Ingredient Catalog'!$J:$J,0)),"")</f>
        <v/>
      </c>
      <c r="E132" s="21" t="str">
        <f aca="false">IFERROR(INDEX('Ingredient Catalog'!$B:$B,MATCH(115,'Ingredient Catalog'!$J:$J,0)),"")</f>
        <v/>
      </c>
      <c r="F132" s="21" t="str">
        <f aca="false">IFERROR(IF(INDEX('Ingredient Catalog'!$D:$D,MATCH(115,'Ingredient Catalog'!$J:$J,0))="Yes","Check pantry",""),"")</f>
        <v/>
      </c>
      <c r="G132" s="21" t="str">
        <f aca="false">IFERROR(IF(INDEX('Ingredient Catalog'!$E:$E,MATCH(115,'Ingredient Catalog'!$J:$J,0))=0,"",INDEX('Ingredient Catalog'!$E:$E,MATCH(115,'Ingredient Catalog'!$J:$J,0))),"")</f>
        <v/>
      </c>
    </row>
    <row r="133" customFormat="false" ht="15" hidden="false" customHeight="false" outlineLevel="0" collapsed="false">
      <c r="B133" s="21" t="str">
        <f aca="false">IFERROR(INDEX('Ingredient Catalog'!$A:$A,MATCH(116,'Ingredient Catalog'!$J:$J,0)),"")</f>
        <v/>
      </c>
      <c r="C133" s="23" t="str">
        <f aca="false">IFERROR(IF(INDEX('Ingredient Catalog'!$H:$H,MATCH(116,'Ingredient Catalog'!$J:$J,0))=0,"",INDEX('Ingredient Catalog'!$H:$H,MATCH(116,'Ingredient Catalog'!$J:$J,0))),"")</f>
        <v/>
      </c>
      <c r="D133" s="21" t="str">
        <f aca="false">IFERROR(INDEX('Ingredient Catalog'!$C:$C,MATCH(116,'Ingredient Catalog'!$J:$J,0)),"")</f>
        <v/>
      </c>
      <c r="E133" s="21" t="str">
        <f aca="false">IFERROR(INDEX('Ingredient Catalog'!$B:$B,MATCH(116,'Ingredient Catalog'!$J:$J,0)),"")</f>
        <v/>
      </c>
      <c r="F133" s="21" t="str">
        <f aca="false">IFERROR(IF(INDEX('Ingredient Catalog'!$D:$D,MATCH(116,'Ingredient Catalog'!$J:$J,0))="Yes","Check pantry",""),"")</f>
        <v/>
      </c>
      <c r="G133" s="21" t="str">
        <f aca="false">IFERROR(IF(INDEX('Ingredient Catalog'!$E:$E,MATCH(116,'Ingredient Catalog'!$J:$J,0))=0,"",INDEX('Ingredient Catalog'!$E:$E,MATCH(116,'Ingredient Catalog'!$J:$J,0))),"")</f>
        <v/>
      </c>
    </row>
    <row r="134" customFormat="false" ht="15" hidden="false" customHeight="false" outlineLevel="0" collapsed="false">
      <c r="B134" s="21" t="str">
        <f aca="false">IFERROR(INDEX('Ingredient Catalog'!$A:$A,MATCH(117,'Ingredient Catalog'!$J:$J,0)),"")</f>
        <v/>
      </c>
      <c r="C134" s="23" t="str">
        <f aca="false">IFERROR(IF(INDEX('Ingredient Catalog'!$H:$H,MATCH(117,'Ingredient Catalog'!$J:$J,0))=0,"",INDEX('Ingredient Catalog'!$H:$H,MATCH(117,'Ingredient Catalog'!$J:$J,0))),"")</f>
        <v/>
      </c>
      <c r="D134" s="21" t="str">
        <f aca="false">IFERROR(INDEX('Ingredient Catalog'!$C:$C,MATCH(117,'Ingredient Catalog'!$J:$J,0)),"")</f>
        <v/>
      </c>
      <c r="E134" s="21" t="str">
        <f aca="false">IFERROR(INDEX('Ingredient Catalog'!$B:$B,MATCH(117,'Ingredient Catalog'!$J:$J,0)),"")</f>
        <v/>
      </c>
      <c r="F134" s="21" t="str">
        <f aca="false">IFERROR(IF(INDEX('Ingredient Catalog'!$D:$D,MATCH(117,'Ingredient Catalog'!$J:$J,0))="Yes","Check pantry",""),"")</f>
        <v/>
      </c>
      <c r="G134" s="21" t="str">
        <f aca="false">IFERROR(IF(INDEX('Ingredient Catalog'!$E:$E,MATCH(117,'Ingredient Catalog'!$J:$J,0))=0,"",INDEX('Ingredient Catalog'!$E:$E,MATCH(117,'Ingredient Catalog'!$J:$J,0))),"")</f>
        <v/>
      </c>
    </row>
    <row r="135" customFormat="false" ht="15" hidden="false" customHeight="false" outlineLevel="0" collapsed="false">
      <c r="B135" s="21" t="str">
        <f aca="false">IFERROR(INDEX('Ingredient Catalog'!$A:$A,MATCH(118,'Ingredient Catalog'!$J:$J,0)),"")</f>
        <v/>
      </c>
      <c r="C135" s="23" t="str">
        <f aca="false">IFERROR(IF(INDEX('Ingredient Catalog'!$H:$H,MATCH(118,'Ingredient Catalog'!$J:$J,0))=0,"",INDEX('Ingredient Catalog'!$H:$H,MATCH(118,'Ingredient Catalog'!$J:$J,0))),"")</f>
        <v/>
      </c>
      <c r="D135" s="21" t="str">
        <f aca="false">IFERROR(INDEX('Ingredient Catalog'!$C:$C,MATCH(118,'Ingredient Catalog'!$J:$J,0)),"")</f>
        <v/>
      </c>
      <c r="E135" s="21" t="str">
        <f aca="false">IFERROR(INDEX('Ingredient Catalog'!$B:$B,MATCH(118,'Ingredient Catalog'!$J:$J,0)),"")</f>
        <v/>
      </c>
      <c r="F135" s="21" t="str">
        <f aca="false">IFERROR(IF(INDEX('Ingredient Catalog'!$D:$D,MATCH(118,'Ingredient Catalog'!$J:$J,0))="Yes","Check pantry",""),"")</f>
        <v/>
      </c>
      <c r="G135" s="21" t="str">
        <f aca="false">IFERROR(IF(INDEX('Ingredient Catalog'!$E:$E,MATCH(118,'Ingredient Catalog'!$J:$J,0))=0,"",INDEX('Ingredient Catalog'!$E:$E,MATCH(118,'Ingredient Catalog'!$J:$J,0))),"")</f>
        <v/>
      </c>
    </row>
    <row r="136" customFormat="false" ht="15" hidden="false" customHeight="false" outlineLevel="0" collapsed="false">
      <c r="B136" s="21" t="str">
        <f aca="false">IFERROR(INDEX('Ingredient Catalog'!$A:$A,MATCH(119,'Ingredient Catalog'!$J:$J,0)),"")</f>
        <v/>
      </c>
      <c r="C136" s="23" t="str">
        <f aca="false">IFERROR(IF(INDEX('Ingredient Catalog'!$H:$H,MATCH(119,'Ingredient Catalog'!$J:$J,0))=0,"",INDEX('Ingredient Catalog'!$H:$H,MATCH(119,'Ingredient Catalog'!$J:$J,0))),"")</f>
        <v/>
      </c>
      <c r="D136" s="21" t="str">
        <f aca="false">IFERROR(INDEX('Ingredient Catalog'!$C:$C,MATCH(119,'Ingredient Catalog'!$J:$J,0)),"")</f>
        <v/>
      </c>
      <c r="E136" s="21" t="str">
        <f aca="false">IFERROR(INDEX('Ingredient Catalog'!$B:$B,MATCH(119,'Ingredient Catalog'!$J:$J,0)),"")</f>
        <v/>
      </c>
      <c r="F136" s="21" t="str">
        <f aca="false">IFERROR(IF(INDEX('Ingredient Catalog'!$D:$D,MATCH(119,'Ingredient Catalog'!$J:$J,0))="Yes","Check pantry",""),"")</f>
        <v/>
      </c>
      <c r="G136" s="21" t="str">
        <f aca="false">IFERROR(IF(INDEX('Ingredient Catalog'!$E:$E,MATCH(119,'Ingredient Catalog'!$J:$J,0))=0,"",INDEX('Ingredient Catalog'!$E:$E,MATCH(119,'Ingredient Catalog'!$J:$J,0))),"")</f>
        <v/>
      </c>
    </row>
    <row r="137" customFormat="false" ht="15" hidden="false" customHeight="false" outlineLevel="0" collapsed="false">
      <c r="B137" s="21" t="str">
        <f aca="false">IFERROR(INDEX('Ingredient Catalog'!$A:$A,MATCH(120,'Ingredient Catalog'!$J:$J,0)),"")</f>
        <v/>
      </c>
      <c r="C137" s="23" t="str">
        <f aca="false">IFERROR(IF(INDEX('Ingredient Catalog'!$H:$H,MATCH(120,'Ingredient Catalog'!$J:$J,0))=0,"",INDEX('Ingredient Catalog'!$H:$H,MATCH(120,'Ingredient Catalog'!$J:$J,0))),"")</f>
        <v/>
      </c>
      <c r="D137" s="21" t="str">
        <f aca="false">IFERROR(INDEX('Ingredient Catalog'!$C:$C,MATCH(120,'Ingredient Catalog'!$J:$J,0)),"")</f>
        <v/>
      </c>
      <c r="E137" s="21" t="str">
        <f aca="false">IFERROR(INDEX('Ingredient Catalog'!$B:$B,MATCH(120,'Ingredient Catalog'!$J:$J,0)),"")</f>
        <v/>
      </c>
      <c r="F137" s="21" t="str">
        <f aca="false">IFERROR(IF(INDEX('Ingredient Catalog'!$D:$D,MATCH(120,'Ingredient Catalog'!$J:$J,0))="Yes","Check pantry",""),"")</f>
        <v/>
      </c>
      <c r="G137" s="21" t="str">
        <f aca="false">IFERROR(IF(INDEX('Ingredient Catalog'!$E:$E,MATCH(120,'Ingredient Catalog'!$J:$J,0))=0,"",INDEX('Ingredient Catalog'!$E:$E,MATCH(120,'Ingredient Catalog'!$J:$J,0))),"")</f>
        <v/>
      </c>
    </row>
    <row r="138" customFormat="false" ht="15" hidden="false" customHeight="false" outlineLevel="0" collapsed="false">
      <c r="B138" s="21" t="str">
        <f aca="false">IFERROR(INDEX('Ingredient Catalog'!$A:$A,MATCH(121,'Ingredient Catalog'!$J:$J,0)),"")</f>
        <v/>
      </c>
      <c r="C138" s="23" t="str">
        <f aca="false">IFERROR(IF(INDEX('Ingredient Catalog'!$H:$H,MATCH(121,'Ingredient Catalog'!$J:$J,0))=0,"",INDEX('Ingredient Catalog'!$H:$H,MATCH(121,'Ingredient Catalog'!$J:$J,0))),"")</f>
        <v/>
      </c>
      <c r="D138" s="21" t="str">
        <f aca="false">IFERROR(INDEX('Ingredient Catalog'!$C:$C,MATCH(121,'Ingredient Catalog'!$J:$J,0)),"")</f>
        <v/>
      </c>
      <c r="E138" s="21" t="str">
        <f aca="false">IFERROR(INDEX('Ingredient Catalog'!$B:$B,MATCH(121,'Ingredient Catalog'!$J:$J,0)),"")</f>
        <v/>
      </c>
      <c r="F138" s="21" t="str">
        <f aca="false">IFERROR(IF(INDEX('Ingredient Catalog'!$D:$D,MATCH(121,'Ingredient Catalog'!$J:$J,0))="Yes","Check pantry",""),"")</f>
        <v/>
      </c>
      <c r="G138" s="21" t="str">
        <f aca="false">IFERROR(IF(INDEX('Ingredient Catalog'!$E:$E,MATCH(121,'Ingredient Catalog'!$J:$J,0))=0,"",INDEX('Ingredient Catalog'!$E:$E,MATCH(121,'Ingredient Catalog'!$J:$J,0))),"")</f>
        <v/>
      </c>
    </row>
    <row r="139" customFormat="false" ht="15" hidden="false" customHeight="false" outlineLevel="0" collapsed="false">
      <c r="B139" s="21" t="str">
        <f aca="false">IFERROR(INDEX('Ingredient Catalog'!$A:$A,MATCH(122,'Ingredient Catalog'!$J:$J,0)),"")</f>
        <v/>
      </c>
      <c r="C139" s="23" t="str">
        <f aca="false">IFERROR(IF(INDEX('Ingredient Catalog'!$H:$H,MATCH(122,'Ingredient Catalog'!$J:$J,0))=0,"",INDEX('Ingredient Catalog'!$H:$H,MATCH(122,'Ingredient Catalog'!$J:$J,0))),"")</f>
        <v/>
      </c>
      <c r="D139" s="21" t="str">
        <f aca="false">IFERROR(INDEX('Ingredient Catalog'!$C:$C,MATCH(122,'Ingredient Catalog'!$J:$J,0)),"")</f>
        <v/>
      </c>
      <c r="E139" s="21" t="str">
        <f aca="false">IFERROR(INDEX('Ingredient Catalog'!$B:$B,MATCH(122,'Ingredient Catalog'!$J:$J,0)),"")</f>
        <v/>
      </c>
      <c r="F139" s="21" t="str">
        <f aca="false">IFERROR(IF(INDEX('Ingredient Catalog'!$D:$D,MATCH(122,'Ingredient Catalog'!$J:$J,0))="Yes","Check pantry",""),"")</f>
        <v/>
      </c>
      <c r="G139" s="21" t="str">
        <f aca="false">IFERROR(IF(INDEX('Ingredient Catalog'!$E:$E,MATCH(122,'Ingredient Catalog'!$J:$J,0))=0,"",INDEX('Ingredient Catalog'!$E:$E,MATCH(122,'Ingredient Catalog'!$J:$J,0))),"")</f>
        <v/>
      </c>
    </row>
    <row r="140" customFormat="false" ht="15" hidden="false" customHeight="false" outlineLevel="0" collapsed="false">
      <c r="B140" s="21" t="str">
        <f aca="false">IFERROR(INDEX('Ingredient Catalog'!$A:$A,MATCH(123,'Ingredient Catalog'!$J:$J,0)),"")</f>
        <v/>
      </c>
      <c r="C140" s="23" t="str">
        <f aca="false">IFERROR(IF(INDEX('Ingredient Catalog'!$H:$H,MATCH(123,'Ingredient Catalog'!$J:$J,0))=0,"",INDEX('Ingredient Catalog'!$H:$H,MATCH(123,'Ingredient Catalog'!$J:$J,0))),"")</f>
        <v/>
      </c>
      <c r="D140" s="21" t="str">
        <f aca="false">IFERROR(INDEX('Ingredient Catalog'!$C:$C,MATCH(123,'Ingredient Catalog'!$J:$J,0)),"")</f>
        <v/>
      </c>
      <c r="E140" s="21" t="str">
        <f aca="false">IFERROR(INDEX('Ingredient Catalog'!$B:$B,MATCH(123,'Ingredient Catalog'!$J:$J,0)),"")</f>
        <v/>
      </c>
      <c r="F140" s="21" t="str">
        <f aca="false">IFERROR(IF(INDEX('Ingredient Catalog'!$D:$D,MATCH(123,'Ingredient Catalog'!$J:$J,0))="Yes","Check pantry",""),"")</f>
        <v/>
      </c>
      <c r="G140" s="21" t="str">
        <f aca="false">IFERROR(IF(INDEX('Ingredient Catalog'!$E:$E,MATCH(123,'Ingredient Catalog'!$J:$J,0))=0,"",INDEX('Ingredient Catalog'!$E:$E,MATCH(123,'Ingredient Catalog'!$J:$J,0))),"")</f>
        <v/>
      </c>
    </row>
    <row r="141" customFormat="false" ht="15" hidden="false" customHeight="false" outlineLevel="0" collapsed="false">
      <c r="B141" s="21" t="str">
        <f aca="false">IFERROR(INDEX('Ingredient Catalog'!$A:$A,MATCH(124,'Ingredient Catalog'!$J:$J,0)),"")</f>
        <v/>
      </c>
      <c r="C141" s="23" t="str">
        <f aca="false">IFERROR(IF(INDEX('Ingredient Catalog'!$H:$H,MATCH(124,'Ingredient Catalog'!$J:$J,0))=0,"",INDEX('Ingredient Catalog'!$H:$H,MATCH(124,'Ingredient Catalog'!$J:$J,0))),"")</f>
        <v/>
      </c>
      <c r="D141" s="21" t="str">
        <f aca="false">IFERROR(INDEX('Ingredient Catalog'!$C:$C,MATCH(124,'Ingredient Catalog'!$J:$J,0)),"")</f>
        <v/>
      </c>
      <c r="E141" s="21" t="str">
        <f aca="false">IFERROR(INDEX('Ingredient Catalog'!$B:$B,MATCH(124,'Ingredient Catalog'!$J:$J,0)),"")</f>
        <v/>
      </c>
      <c r="F141" s="21" t="str">
        <f aca="false">IFERROR(IF(INDEX('Ingredient Catalog'!$D:$D,MATCH(124,'Ingredient Catalog'!$J:$J,0))="Yes","Check pantry",""),"")</f>
        <v/>
      </c>
      <c r="G141" s="21" t="str">
        <f aca="false">IFERROR(IF(INDEX('Ingredient Catalog'!$E:$E,MATCH(124,'Ingredient Catalog'!$J:$J,0))=0,"",INDEX('Ingredient Catalog'!$E:$E,MATCH(124,'Ingredient Catalog'!$J:$J,0))),"")</f>
        <v/>
      </c>
    </row>
    <row r="142" customFormat="false" ht="15" hidden="false" customHeight="false" outlineLevel="0" collapsed="false">
      <c r="B142" s="21" t="str">
        <f aca="false">IFERROR(INDEX('Ingredient Catalog'!$A:$A,MATCH(125,'Ingredient Catalog'!$J:$J,0)),"")</f>
        <v/>
      </c>
      <c r="C142" s="23" t="str">
        <f aca="false">IFERROR(IF(INDEX('Ingredient Catalog'!$H:$H,MATCH(125,'Ingredient Catalog'!$J:$J,0))=0,"",INDEX('Ingredient Catalog'!$H:$H,MATCH(125,'Ingredient Catalog'!$J:$J,0))),"")</f>
        <v/>
      </c>
      <c r="D142" s="21" t="str">
        <f aca="false">IFERROR(INDEX('Ingredient Catalog'!$C:$C,MATCH(125,'Ingredient Catalog'!$J:$J,0)),"")</f>
        <v/>
      </c>
      <c r="E142" s="21" t="str">
        <f aca="false">IFERROR(INDEX('Ingredient Catalog'!$B:$B,MATCH(125,'Ingredient Catalog'!$J:$J,0)),"")</f>
        <v/>
      </c>
      <c r="F142" s="21" t="str">
        <f aca="false">IFERROR(IF(INDEX('Ingredient Catalog'!$D:$D,MATCH(125,'Ingredient Catalog'!$J:$J,0))="Yes","Check pantry",""),"")</f>
        <v/>
      </c>
      <c r="G142" s="21" t="str">
        <f aca="false">IFERROR(IF(INDEX('Ingredient Catalog'!$E:$E,MATCH(125,'Ingredient Catalog'!$J:$J,0))=0,"",INDEX('Ingredient Catalog'!$E:$E,MATCH(125,'Ingredient Catalog'!$J:$J,0))),"")</f>
        <v/>
      </c>
    </row>
    <row r="143" customFormat="false" ht="15" hidden="false" customHeight="false" outlineLevel="0" collapsed="false">
      <c r="B143" s="21" t="str">
        <f aca="false">IFERROR(INDEX('Ingredient Catalog'!$A:$A,MATCH(126,'Ingredient Catalog'!$J:$J,0)),"")</f>
        <v/>
      </c>
      <c r="C143" s="23" t="str">
        <f aca="false">IFERROR(IF(INDEX('Ingredient Catalog'!$H:$H,MATCH(126,'Ingredient Catalog'!$J:$J,0))=0,"",INDEX('Ingredient Catalog'!$H:$H,MATCH(126,'Ingredient Catalog'!$J:$J,0))),"")</f>
        <v/>
      </c>
      <c r="D143" s="21" t="str">
        <f aca="false">IFERROR(INDEX('Ingredient Catalog'!$C:$C,MATCH(126,'Ingredient Catalog'!$J:$J,0)),"")</f>
        <v/>
      </c>
      <c r="E143" s="21" t="str">
        <f aca="false">IFERROR(INDEX('Ingredient Catalog'!$B:$B,MATCH(126,'Ingredient Catalog'!$J:$J,0)),"")</f>
        <v/>
      </c>
      <c r="F143" s="21" t="str">
        <f aca="false">IFERROR(IF(INDEX('Ingredient Catalog'!$D:$D,MATCH(126,'Ingredient Catalog'!$J:$J,0))="Yes","Check pantry",""),"")</f>
        <v/>
      </c>
      <c r="G143" s="21" t="str">
        <f aca="false">IFERROR(IF(INDEX('Ingredient Catalog'!$E:$E,MATCH(126,'Ingredient Catalog'!$J:$J,0))=0,"",INDEX('Ingredient Catalog'!$E:$E,MATCH(126,'Ingredient Catalog'!$J:$J,0))),"")</f>
        <v/>
      </c>
    </row>
    <row r="144" customFormat="false" ht="15" hidden="false" customHeight="false" outlineLevel="0" collapsed="false">
      <c r="B144" s="21" t="str">
        <f aca="false">IFERROR(INDEX('Ingredient Catalog'!$A:$A,MATCH(127,'Ingredient Catalog'!$J:$J,0)),"")</f>
        <v/>
      </c>
      <c r="C144" s="23" t="str">
        <f aca="false">IFERROR(IF(INDEX('Ingredient Catalog'!$H:$H,MATCH(127,'Ingredient Catalog'!$J:$J,0))=0,"",INDEX('Ingredient Catalog'!$H:$H,MATCH(127,'Ingredient Catalog'!$J:$J,0))),"")</f>
        <v/>
      </c>
      <c r="D144" s="21" t="str">
        <f aca="false">IFERROR(INDEX('Ingredient Catalog'!$C:$C,MATCH(127,'Ingredient Catalog'!$J:$J,0)),"")</f>
        <v/>
      </c>
      <c r="E144" s="21" t="str">
        <f aca="false">IFERROR(INDEX('Ingredient Catalog'!$B:$B,MATCH(127,'Ingredient Catalog'!$J:$J,0)),"")</f>
        <v/>
      </c>
      <c r="F144" s="21" t="str">
        <f aca="false">IFERROR(IF(INDEX('Ingredient Catalog'!$D:$D,MATCH(127,'Ingredient Catalog'!$J:$J,0))="Yes","Check pantry",""),"")</f>
        <v/>
      </c>
      <c r="G144" s="21" t="str">
        <f aca="false">IFERROR(IF(INDEX('Ingredient Catalog'!$E:$E,MATCH(127,'Ingredient Catalog'!$J:$J,0))=0,"",INDEX('Ingredient Catalog'!$E:$E,MATCH(127,'Ingredient Catalog'!$J:$J,0))),"")</f>
        <v/>
      </c>
    </row>
    <row r="145" customFormat="false" ht="15" hidden="false" customHeight="false" outlineLevel="0" collapsed="false">
      <c r="B145" s="21" t="str">
        <f aca="false">IFERROR(INDEX('Ingredient Catalog'!$A:$A,MATCH(128,'Ingredient Catalog'!$J:$J,0)),"")</f>
        <v/>
      </c>
      <c r="C145" s="23" t="str">
        <f aca="false">IFERROR(IF(INDEX('Ingredient Catalog'!$H:$H,MATCH(128,'Ingredient Catalog'!$J:$J,0))=0,"",INDEX('Ingredient Catalog'!$H:$H,MATCH(128,'Ingredient Catalog'!$J:$J,0))),"")</f>
        <v/>
      </c>
      <c r="D145" s="21" t="str">
        <f aca="false">IFERROR(INDEX('Ingredient Catalog'!$C:$C,MATCH(128,'Ingredient Catalog'!$J:$J,0)),"")</f>
        <v/>
      </c>
      <c r="E145" s="21" t="str">
        <f aca="false">IFERROR(INDEX('Ingredient Catalog'!$B:$B,MATCH(128,'Ingredient Catalog'!$J:$J,0)),"")</f>
        <v/>
      </c>
      <c r="F145" s="21" t="str">
        <f aca="false">IFERROR(IF(INDEX('Ingredient Catalog'!$D:$D,MATCH(128,'Ingredient Catalog'!$J:$J,0))="Yes","Check pantry",""),"")</f>
        <v/>
      </c>
      <c r="G145" s="21" t="str">
        <f aca="false">IFERROR(IF(INDEX('Ingredient Catalog'!$E:$E,MATCH(128,'Ingredient Catalog'!$J:$J,0))=0,"",INDEX('Ingredient Catalog'!$E:$E,MATCH(128,'Ingredient Catalog'!$J:$J,0))),"")</f>
        <v/>
      </c>
    </row>
    <row r="146" customFormat="false" ht="15" hidden="false" customHeight="false" outlineLevel="0" collapsed="false">
      <c r="B146" s="21" t="str">
        <f aca="false">IFERROR(INDEX('Ingredient Catalog'!$A:$A,MATCH(129,'Ingredient Catalog'!$J:$J,0)),"")</f>
        <v/>
      </c>
      <c r="C146" s="23" t="str">
        <f aca="false">IFERROR(IF(INDEX('Ingredient Catalog'!$H:$H,MATCH(129,'Ingredient Catalog'!$J:$J,0))=0,"",INDEX('Ingredient Catalog'!$H:$H,MATCH(129,'Ingredient Catalog'!$J:$J,0))),"")</f>
        <v/>
      </c>
      <c r="D146" s="21" t="str">
        <f aca="false">IFERROR(INDEX('Ingredient Catalog'!$C:$C,MATCH(129,'Ingredient Catalog'!$J:$J,0)),"")</f>
        <v/>
      </c>
      <c r="E146" s="21" t="str">
        <f aca="false">IFERROR(INDEX('Ingredient Catalog'!$B:$B,MATCH(129,'Ingredient Catalog'!$J:$J,0)),"")</f>
        <v/>
      </c>
      <c r="F146" s="21" t="str">
        <f aca="false">IFERROR(IF(INDEX('Ingredient Catalog'!$D:$D,MATCH(129,'Ingredient Catalog'!$J:$J,0))="Yes","Check pantry",""),"")</f>
        <v/>
      </c>
      <c r="G146" s="21" t="str">
        <f aca="false">IFERROR(IF(INDEX('Ingredient Catalog'!$E:$E,MATCH(129,'Ingredient Catalog'!$J:$J,0))=0,"",INDEX('Ingredient Catalog'!$E:$E,MATCH(129,'Ingredient Catalog'!$J:$J,0))),"")</f>
        <v/>
      </c>
    </row>
    <row r="147" customFormat="false" ht="15" hidden="false" customHeight="false" outlineLevel="0" collapsed="false">
      <c r="B147" s="21" t="str">
        <f aca="false">IFERROR(INDEX('Ingredient Catalog'!$A:$A,MATCH(130,'Ingredient Catalog'!$J:$J,0)),"")</f>
        <v/>
      </c>
      <c r="C147" s="23" t="str">
        <f aca="false">IFERROR(IF(INDEX('Ingredient Catalog'!$H:$H,MATCH(130,'Ingredient Catalog'!$J:$J,0))=0,"",INDEX('Ingredient Catalog'!$H:$H,MATCH(130,'Ingredient Catalog'!$J:$J,0))),"")</f>
        <v/>
      </c>
      <c r="D147" s="21" t="str">
        <f aca="false">IFERROR(INDEX('Ingredient Catalog'!$C:$C,MATCH(130,'Ingredient Catalog'!$J:$J,0)),"")</f>
        <v/>
      </c>
      <c r="E147" s="21" t="str">
        <f aca="false">IFERROR(INDEX('Ingredient Catalog'!$B:$B,MATCH(130,'Ingredient Catalog'!$J:$J,0)),"")</f>
        <v/>
      </c>
      <c r="F147" s="21" t="str">
        <f aca="false">IFERROR(IF(INDEX('Ingredient Catalog'!$D:$D,MATCH(130,'Ingredient Catalog'!$J:$J,0))="Yes","Check pantry",""),"")</f>
        <v/>
      </c>
      <c r="G147" s="21" t="str">
        <f aca="false">IFERROR(IF(INDEX('Ingredient Catalog'!$E:$E,MATCH(130,'Ingredient Catalog'!$J:$J,0))=0,"",INDEX('Ingredient Catalog'!$E:$E,MATCH(130,'Ingredient Catalog'!$J:$J,0))),"")</f>
        <v/>
      </c>
    </row>
    <row r="148" customFormat="false" ht="15" hidden="false" customHeight="false" outlineLevel="0" collapsed="false">
      <c r="B148" s="21" t="str">
        <f aca="false">IFERROR(INDEX('Ingredient Catalog'!$A:$A,MATCH(131,'Ingredient Catalog'!$J:$J,0)),"")</f>
        <v/>
      </c>
      <c r="C148" s="23" t="str">
        <f aca="false">IFERROR(IF(INDEX('Ingredient Catalog'!$H:$H,MATCH(131,'Ingredient Catalog'!$J:$J,0))=0,"",INDEX('Ingredient Catalog'!$H:$H,MATCH(131,'Ingredient Catalog'!$J:$J,0))),"")</f>
        <v/>
      </c>
      <c r="D148" s="21" t="str">
        <f aca="false">IFERROR(INDEX('Ingredient Catalog'!$C:$C,MATCH(131,'Ingredient Catalog'!$J:$J,0)),"")</f>
        <v/>
      </c>
      <c r="E148" s="21" t="str">
        <f aca="false">IFERROR(INDEX('Ingredient Catalog'!$B:$B,MATCH(131,'Ingredient Catalog'!$J:$J,0)),"")</f>
        <v/>
      </c>
      <c r="F148" s="21" t="str">
        <f aca="false">IFERROR(IF(INDEX('Ingredient Catalog'!$D:$D,MATCH(131,'Ingredient Catalog'!$J:$J,0))="Yes","Check pantry",""),"")</f>
        <v/>
      </c>
      <c r="G148" s="21" t="str">
        <f aca="false">IFERROR(IF(INDEX('Ingredient Catalog'!$E:$E,MATCH(131,'Ingredient Catalog'!$J:$J,0))=0,"",INDEX('Ingredient Catalog'!$E:$E,MATCH(131,'Ingredient Catalog'!$J:$J,0))),"")</f>
        <v/>
      </c>
    </row>
    <row r="149" customFormat="false" ht="15" hidden="false" customHeight="false" outlineLevel="0" collapsed="false">
      <c r="B149" s="21" t="str">
        <f aca="false">IFERROR(INDEX('Ingredient Catalog'!$A:$A,MATCH(132,'Ingredient Catalog'!$J:$J,0)),"")</f>
        <v/>
      </c>
      <c r="C149" s="23" t="str">
        <f aca="false">IFERROR(IF(INDEX('Ingredient Catalog'!$H:$H,MATCH(132,'Ingredient Catalog'!$J:$J,0))=0,"",INDEX('Ingredient Catalog'!$H:$H,MATCH(132,'Ingredient Catalog'!$J:$J,0))),"")</f>
        <v/>
      </c>
      <c r="D149" s="21" t="str">
        <f aca="false">IFERROR(INDEX('Ingredient Catalog'!$C:$C,MATCH(132,'Ingredient Catalog'!$J:$J,0)),"")</f>
        <v/>
      </c>
      <c r="E149" s="21" t="str">
        <f aca="false">IFERROR(INDEX('Ingredient Catalog'!$B:$B,MATCH(132,'Ingredient Catalog'!$J:$J,0)),"")</f>
        <v/>
      </c>
      <c r="F149" s="21" t="str">
        <f aca="false">IFERROR(IF(INDEX('Ingredient Catalog'!$D:$D,MATCH(132,'Ingredient Catalog'!$J:$J,0))="Yes","Check pantry",""),"")</f>
        <v/>
      </c>
      <c r="G149" s="21" t="str">
        <f aca="false">IFERROR(IF(INDEX('Ingredient Catalog'!$E:$E,MATCH(132,'Ingredient Catalog'!$J:$J,0))=0,"",INDEX('Ingredient Catalog'!$E:$E,MATCH(132,'Ingredient Catalog'!$J:$J,0))),"")</f>
        <v/>
      </c>
    </row>
    <row r="150" customFormat="false" ht="15" hidden="false" customHeight="false" outlineLevel="0" collapsed="false">
      <c r="B150" s="21" t="str">
        <f aca="false">IFERROR(INDEX('Ingredient Catalog'!$A:$A,MATCH(133,'Ingredient Catalog'!$J:$J,0)),"")</f>
        <v/>
      </c>
      <c r="C150" s="23" t="str">
        <f aca="false">IFERROR(IF(INDEX('Ingredient Catalog'!$H:$H,MATCH(133,'Ingredient Catalog'!$J:$J,0))=0,"",INDEX('Ingredient Catalog'!$H:$H,MATCH(133,'Ingredient Catalog'!$J:$J,0))),"")</f>
        <v/>
      </c>
      <c r="D150" s="21" t="str">
        <f aca="false">IFERROR(INDEX('Ingredient Catalog'!$C:$C,MATCH(133,'Ingredient Catalog'!$J:$J,0)),"")</f>
        <v/>
      </c>
      <c r="E150" s="21" t="str">
        <f aca="false">IFERROR(INDEX('Ingredient Catalog'!$B:$B,MATCH(133,'Ingredient Catalog'!$J:$J,0)),"")</f>
        <v/>
      </c>
      <c r="F150" s="21" t="str">
        <f aca="false">IFERROR(IF(INDEX('Ingredient Catalog'!$D:$D,MATCH(133,'Ingredient Catalog'!$J:$J,0))="Yes","Check pantry",""),"")</f>
        <v/>
      </c>
      <c r="G150" s="21" t="str">
        <f aca="false">IFERROR(IF(INDEX('Ingredient Catalog'!$E:$E,MATCH(133,'Ingredient Catalog'!$J:$J,0))=0,"",INDEX('Ingredient Catalog'!$E:$E,MATCH(133,'Ingredient Catalog'!$J:$J,0))),"")</f>
        <v/>
      </c>
    </row>
    <row r="151" customFormat="false" ht="15" hidden="false" customHeight="false" outlineLevel="0" collapsed="false">
      <c r="B151" s="21" t="str">
        <f aca="false">IFERROR(INDEX('Ingredient Catalog'!$A:$A,MATCH(134,'Ingredient Catalog'!$J:$J,0)),"")</f>
        <v/>
      </c>
      <c r="C151" s="23" t="str">
        <f aca="false">IFERROR(IF(INDEX('Ingredient Catalog'!$H:$H,MATCH(134,'Ingredient Catalog'!$J:$J,0))=0,"",INDEX('Ingredient Catalog'!$H:$H,MATCH(134,'Ingredient Catalog'!$J:$J,0))),"")</f>
        <v/>
      </c>
      <c r="D151" s="21" t="str">
        <f aca="false">IFERROR(INDEX('Ingredient Catalog'!$C:$C,MATCH(134,'Ingredient Catalog'!$J:$J,0)),"")</f>
        <v/>
      </c>
      <c r="E151" s="21" t="str">
        <f aca="false">IFERROR(INDEX('Ingredient Catalog'!$B:$B,MATCH(134,'Ingredient Catalog'!$J:$J,0)),"")</f>
        <v/>
      </c>
      <c r="F151" s="21" t="str">
        <f aca="false">IFERROR(IF(INDEX('Ingredient Catalog'!$D:$D,MATCH(134,'Ingredient Catalog'!$J:$J,0))="Yes","Check pantry",""),"")</f>
        <v/>
      </c>
      <c r="G151" s="21" t="str">
        <f aca="false">IFERROR(IF(INDEX('Ingredient Catalog'!$E:$E,MATCH(134,'Ingredient Catalog'!$J:$J,0))=0,"",INDEX('Ingredient Catalog'!$E:$E,MATCH(134,'Ingredient Catalog'!$J:$J,0))),"")</f>
        <v/>
      </c>
    </row>
    <row r="152" customFormat="false" ht="15" hidden="false" customHeight="false" outlineLevel="0" collapsed="false">
      <c r="B152" s="21" t="str">
        <f aca="false">IFERROR(INDEX('Ingredient Catalog'!$A:$A,MATCH(135,'Ingredient Catalog'!$J:$J,0)),"")</f>
        <v/>
      </c>
      <c r="C152" s="23" t="str">
        <f aca="false">IFERROR(IF(INDEX('Ingredient Catalog'!$H:$H,MATCH(135,'Ingredient Catalog'!$J:$J,0))=0,"",INDEX('Ingredient Catalog'!$H:$H,MATCH(135,'Ingredient Catalog'!$J:$J,0))),"")</f>
        <v/>
      </c>
      <c r="D152" s="21" t="str">
        <f aca="false">IFERROR(INDEX('Ingredient Catalog'!$C:$C,MATCH(135,'Ingredient Catalog'!$J:$J,0)),"")</f>
        <v/>
      </c>
      <c r="E152" s="21" t="str">
        <f aca="false">IFERROR(INDEX('Ingredient Catalog'!$B:$B,MATCH(135,'Ingredient Catalog'!$J:$J,0)),"")</f>
        <v/>
      </c>
      <c r="F152" s="21" t="str">
        <f aca="false">IFERROR(IF(INDEX('Ingredient Catalog'!$D:$D,MATCH(135,'Ingredient Catalog'!$J:$J,0))="Yes","Check pantry",""),"")</f>
        <v/>
      </c>
      <c r="G152" s="21" t="str">
        <f aca="false">IFERROR(IF(INDEX('Ingredient Catalog'!$E:$E,MATCH(135,'Ingredient Catalog'!$J:$J,0))=0,"",INDEX('Ingredient Catalog'!$E:$E,MATCH(135,'Ingredient Catalog'!$J:$J,0))),"")</f>
        <v/>
      </c>
    </row>
    <row r="153" customFormat="false" ht="15" hidden="false" customHeight="false" outlineLevel="0" collapsed="false">
      <c r="B153" s="21" t="str">
        <f aca="false">IFERROR(INDEX('Ingredient Catalog'!$A:$A,MATCH(136,'Ingredient Catalog'!$J:$J,0)),"")</f>
        <v/>
      </c>
      <c r="C153" s="23" t="str">
        <f aca="false">IFERROR(IF(INDEX('Ingredient Catalog'!$H:$H,MATCH(136,'Ingredient Catalog'!$J:$J,0))=0,"",INDEX('Ingredient Catalog'!$H:$H,MATCH(136,'Ingredient Catalog'!$J:$J,0))),"")</f>
        <v/>
      </c>
      <c r="D153" s="21" t="str">
        <f aca="false">IFERROR(INDEX('Ingredient Catalog'!$C:$C,MATCH(136,'Ingredient Catalog'!$J:$J,0)),"")</f>
        <v/>
      </c>
      <c r="E153" s="21" t="str">
        <f aca="false">IFERROR(INDEX('Ingredient Catalog'!$B:$B,MATCH(136,'Ingredient Catalog'!$J:$J,0)),"")</f>
        <v/>
      </c>
      <c r="F153" s="21" t="str">
        <f aca="false">IFERROR(IF(INDEX('Ingredient Catalog'!$D:$D,MATCH(136,'Ingredient Catalog'!$J:$J,0))="Yes","Check pantry",""),"")</f>
        <v/>
      </c>
      <c r="G153" s="21" t="str">
        <f aca="false">IFERROR(IF(INDEX('Ingredient Catalog'!$E:$E,MATCH(136,'Ingredient Catalog'!$J:$J,0))=0,"",INDEX('Ingredient Catalog'!$E:$E,MATCH(136,'Ingredient Catalog'!$J:$J,0))),"")</f>
        <v/>
      </c>
    </row>
    <row r="154" customFormat="false" ht="15" hidden="false" customHeight="false" outlineLevel="0" collapsed="false">
      <c r="B154" s="21" t="str">
        <f aca="false">IFERROR(INDEX('Ingredient Catalog'!$A:$A,MATCH(137,'Ingredient Catalog'!$J:$J,0)),"")</f>
        <v/>
      </c>
      <c r="C154" s="23" t="str">
        <f aca="false">IFERROR(IF(INDEX('Ingredient Catalog'!$H:$H,MATCH(137,'Ingredient Catalog'!$J:$J,0))=0,"",INDEX('Ingredient Catalog'!$H:$H,MATCH(137,'Ingredient Catalog'!$J:$J,0))),"")</f>
        <v/>
      </c>
      <c r="D154" s="21" t="str">
        <f aca="false">IFERROR(INDEX('Ingredient Catalog'!$C:$C,MATCH(137,'Ingredient Catalog'!$J:$J,0)),"")</f>
        <v/>
      </c>
      <c r="E154" s="21" t="str">
        <f aca="false">IFERROR(INDEX('Ingredient Catalog'!$B:$B,MATCH(137,'Ingredient Catalog'!$J:$J,0)),"")</f>
        <v/>
      </c>
      <c r="F154" s="21" t="str">
        <f aca="false">IFERROR(IF(INDEX('Ingredient Catalog'!$D:$D,MATCH(137,'Ingredient Catalog'!$J:$J,0))="Yes","Check pantry",""),"")</f>
        <v/>
      </c>
      <c r="G154" s="21" t="str">
        <f aca="false">IFERROR(IF(INDEX('Ingredient Catalog'!$E:$E,MATCH(137,'Ingredient Catalog'!$J:$J,0))=0,"",INDEX('Ingredient Catalog'!$E:$E,MATCH(137,'Ingredient Catalog'!$J:$J,0))),"")</f>
        <v/>
      </c>
    </row>
    <row r="155" customFormat="false" ht="15" hidden="false" customHeight="false" outlineLevel="0" collapsed="false">
      <c r="B155" s="21" t="str">
        <f aca="false">IFERROR(INDEX('Ingredient Catalog'!$A:$A,MATCH(138,'Ingredient Catalog'!$J:$J,0)),"")</f>
        <v/>
      </c>
      <c r="C155" s="23" t="str">
        <f aca="false">IFERROR(IF(INDEX('Ingredient Catalog'!$H:$H,MATCH(138,'Ingredient Catalog'!$J:$J,0))=0,"",INDEX('Ingredient Catalog'!$H:$H,MATCH(138,'Ingredient Catalog'!$J:$J,0))),"")</f>
        <v/>
      </c>
      <c r="D155" s="21" t="str">
        <f aca="false">IFERROR(INDEX('Ingredient Catalog'!$C:$C,MATCH(138,'Ingredient Catalog'!$J:$J,0)),"")</f>
        <v/>
      </c>
      <c r="E155" s="21" t="str">
        <f aca="false">IFERROR(INDEX('Ingredient Catalog'!$B:$B,MATCH(138,'Ingredient Catalog'!$J:$J,0)),"")</f>
        <v/>
      </c>
      <c r="F155" s="21" t="str">
        <f aca="false">IFERROR(IF(INDEX('Ingredient Catalog'!$D:$D,MATCH(138,'Ingredient Catalog'!$J:$J,0))="Yes","Check pantry",""),"")</f>
        <v/>
      </c>
      <c r="G155" s="21" t="str">
        <f aca="false">IFERROR(IF(INDEX('Ingredient Catalog'!$E:$E,MATCH(138,'Ingredient Catalog'!$J:$J,0))=0,"",INDEX('Ingredient Catalog'!$E:$E,MATCH(138,'Ingredient Catalog'!$J:$J,0))),"")</f>
        <v/>
      </c>
    </row>
    <row r="156" customFormat="false" ht="15" hidden="false" customHeight="false" outlineLevel="0" collapsed="false">
      <c r="B156" s="21" t="str">
        <f aca="false">IFERROR(INDEX('Ingredient Catalog'!$A:$A,MATCH(139,'Ingredient Catalog'!$J:$J,0)),"")</f>
        <v/>
      </c>
      <c r="C156" s="23" t="str">
        <f aca="false">IFERROR(IF(INDEX('Ingredient Catalog'!$H:$H,MATCH(139,'Ingredient Catalog'!$J:$J,0))=0,"",INDEX('Ingredient Catalog'!$H:$H,MATCH(139,'Ingredient Catalog'!$J:$J,0))),"")</f>
        <v/>
      </c>
      <c r="D156" s="21" t="str">
        <f aca="false">IFERROR(INDEX('Ingredient Catalog'!$C:$C,MATCH(139,'Ingredient Catalog'!$J:$J,0)),"")</f>
        <v/>
      </c>
      <c r="E156" s="21" t="str">
        <f aca="false">IFERROR(INDEX('Ingredient Catalog'!$B:$B,MATCH(139,'Ingredient Catalog'!$J:$J,0)),"")</f>
        <v/>
      </c>
      <c r="F156" s="21" t="str">
        <f aca="false">IFERROR(IF(INDEX('Ingredient Catalog'!$D:$D,MATCH(139,'Ingredient Catalog'!$J:$J,0))="Yes","Check pantry",""),"")</f>
        <v/>
      </c>
      <c r="G156" s="21" t="str">
        <f aca="false">IFERROR(IF(INDEX('Ingredient Catalog'!$E:$E,MATCH(139,'Ingredient Catalog'!$J:$J,0))=0,"",INDEX('Ingredient Catalog'!$E:$E,MATCH(139,'Ingredient Catalog'!$J:$J,0))),"")</f>
        <v/>
      </c>
    </row>
    <row r="157" customFormat="false" ht="15" hidden="false" customHeight="false" outlineLevel="0" collapsed="false">
      <c r="B157" s="21" t="str">
        <f aca="false">IFERROR(INDEX('Ingredient Catalog'!$A:$A,MATCH(140,'Ingredient Catalog'!$J:$J,0)),"")</f>
        <v/>
      </c>
      <c r="C157" s="23" t="str">
        <f aca="false">IFERROR(IF(INDEX('Ingredient Catalog'!$H:$H,MATCH(140,'Ingredient Catalog'!$J:$J,0))=0,"",INDEX('Ingredient Catalog'!$H:$H,MATCH(140,'Ingredient Catalog'!$J:$J,0))),"")</f>
        <v/>
      </c>
      <c r="D157" s="21" t="str">
        <f aca="false">IFERROR(INDEX('Ingredient Catalog'!$C:$C,MATCH(140,'Ingredient Catalog'!$J:$J,0)),"")</f>
        <v/>
      </c>
      <c r="E157" s="21" t="str">
        <f aca="false">IFERROR(INDEX('Ingredient Catalog'!$B:$B,MATCH(140,'Ingredient Catalog'!$J:$J,0)),"")</f>
        <v/>
      </c>
      <c r="F157" s="21" t="str">
        <f aca="false">IFERROR(IF(INDEX('Ingredient Catalog'!$D:$D,MATCH(140,'Ingredient Catalog'!$J:$J,0))="Yes","Check pantry",""),"")</f>
        <v/>
      </c>
      <c r="G157" s="21" t="str">
        <f aca="false">IFERROR(IF(INDEX('Ingredient Catalog'!$E:$E,MATCH(140,'Ingredient Catalog'!$J:$J,0))=0,"",INDEX('Ingredient Catalog'!$E:$E,MATCH(140,'Ingredient Catalog'!$J:$J,0))),"")</f>
        <v/>
      </c>
    </row>
    <row r="158" customFormat="false" ht="15" hidden="false" customHeight="false" outlineLevel="0" collapsed="false">
      <c r="B158" s="21" t="str">
        <f aca="false">IFERROR(INDEX('Ingredient Catalog'!$A:$A,MATCH(141,'Ingredient Catalog'!$J:$J,0)),"")</f>
        <v/>
      </c>
      <c r="C158" s="23" t="str">
        <f aca="false">IFERROR(IF(INDEX('Ingredient Catalog'!$H:$H,MATCH(141,'Ingredient Catalog'!$J:$J,0))=0,"",INDEX('Ingredient Catalog'!$H:$H,MATCH(141,'Ingredient Catalog'!$J:$J,0))),"")</f>
        <v/>
      </c>
      <c r="D158" s="21" t="str">
        <f aca="false">IFERROR(INDEX('Ingredient Catalog'!$C:$C,MATCH(141,'Ingredient Catalog'!$J:$J,0)),"")</f>
        <v/>
      </c>
      <c r="E158" s="21" t="str">
        <f aca="false">IFERROR(INDEX('Ingredient Catalog'!$B:$B,MATCH(141,'Ingredient Catalog'!$J:$J,0)),"")</f>
        <v/>
      </c>
      <c r="F158" s="21" t="str">
        <f aca="false">IFERROR(IF(INDEX('Ingredient Catalog'!$D:$D,MATCH(141,'Ingredient Catalog'!$J:$J,0))="Yes","Check pantry",""),"")</f>
        <v/>
      </c>
      <c r="G158" s="21" t="str">
        <f aca="false">IFERROR(IF(INDEX('Ingredient Catalog'!$E:$E,MATCH(141,'Ingredient Catalog'!$J:$J,0))=0,"",INDEX('Ingredient Catalog'!$E:$E,MATCH(141,'Ingredient Catalog'!$J:$J,0))),"")</f>
        <v/>
      </c>
    </row>
    <row r="159" customFormat="false" ht="15" hidden="false" customHeight="false" outlineLevel="0" collapsed="false">
      <c r="B159" s="21" t="str">
        <f aca="false">IFERROR(INDEX('Ingredient Catalog'!$A:$A,MATCH(142,'Ingredient Catalog'!$J:$J,0)),"")</f>
        <v/>
      </c>
      <c r="C159" s="23" t="str">
        <f aca="false">IFERROR(IF(INDEX('Ingredient Catalog'!$H:$H,MATCH(142,'Ingredient Catalog'!$J:$J,0))=0,"",INDEX('Ingredient Catalog'!$H:$H,MATCH(142,'Ingredient Catalog'!$J:$J,0))),"")</f>
        <v/>
      </c>
      <c r="D159" s="21" t="str">
        <f aca="false">IFERROR(INDEX('Ingredient Catalog'!$C:$C,MATCH(142,'Ingredient Catalog'!$J:$J,0)),"")</f>
        <v/>
      </c>
      <c r="E159" s="21" t="str">
        <f aca="false">IFERROR(INDEX('Ingredient Catalog'!$B:$B,MATCH(142,'Ingredient Catalog'!$J:$J,0)),"")</f>
        <v/>
      </c>
      <c r="F159" s="21" t="str">
        <f aca="false">IFERROR(IF(INDEX('Ingredient Catalog'!$D:$D,MATCH(142,'Ingredient Catalog'!$J:$J,0))="Yes","Check pantry",""),"")</f>
        <v/>
      </c>
      <c r="G159" s="21" t="str">
        <f aca="false">IFERROR(IF(INDEX('Ingredient Catalog'!$E:$E,MATCH(142,'Ingredient Catalog'!$J:$J,0))=0,"",INDEX('Ingredient Catalog'!$E:$E,MATCH(142,'Ingredient Catalog'!$J:$J,0))),"")</f>
        <v/>
      </c>
    </row>
    <row r="160" customFormat="false" ht="15" hidden="false" customHeight="false" outlineLevel="0" collapsed="false">
      <c r="B160" s="21" t="str">
        <f aca="false">IFERROR(INDEX('Ingredient Catalog'!$A:$A,MATCH(143,'Ingredient Catalog'!$J:$J,0)),"")</f>
        <v/>
      </c>
      <c r="C160" s="23" t="str">
        <f aca="false">IFERROR(IF(INDEX('Ingredient Catalog'!$H:$H,MATCH(143,'Ingredient Catalog'!$J:$J,0))=0,"",INDEX('Ingredient Catalog'!$H:$H,MATCH(143,'Ingredient Catalog'!$J:$J,0))),"")</f>
        <v/>
      </c>
      <c r="D160" s="21" t="str">
        <f aca="false">IFERROR(INDEX('Ingredient Catalog'!$C:$C,MATCH(143,'Ingredient Catalog'!$J:$J,0)),"")</f>
        <v/>
      </c>
      <c r="E160" s="21" t="str">
        <f aca="false">IFERROR(INDEX('Ingredient Catalog'!$B:$B,MATCH(143,'Ingredient Catalog'!$J:$J,0)),"")</f>
        <v/>
      </c>
      <c r="F160" s="21" t="str">
        <f aca="false">IFERROR(IF(INDEX('Ingredient Catalog'!$D:$D,MATCH(143,'Ingredient Catalog'!$J:$J,0))="Yes","Check pantry",""),"")</f>
        <v/>
      </c>
      <c r="G160" s="21" t="str">
        <f aca="false">IFERROR(IF(INDEX('Ingredient Catalog'!$E:$E,MATCH(143,'Ingredient Catalog'!$J:$J,0))=0,"",INDEX('Ingredient Catalog'!$E:$E,MATCH(143,'Ingredient Catalog'!$J:$J,0))),"")</f>
        <v/>
      </c>
    </row>
    <row r="161" customFormat="false" ht="15" hidden="false" customHeight="false" outlineLevel="0" collapsed="false">
      <c r="B161" s="21" t="str">
        <f aca="false">IFERROR(INDEX('Ingredient Catalog'!$A:$A,MATCH(144,'Ingredient Catalog'!$J:$J,0)),"")</f>
        <v/>
      </c>
      <c r="C161" s="23" t="str">
        <f aca="false">IFERROR(IF(INDEX('Ingredient Catalog'!$H:$H,MATCH(144,'Ingredient Catalog'!$J:$J,0))=0,"",INDEX('Ingredient Catalog'!$H:$H,MATCH(144,'Ingredient Catalog'!$J:$J,0))),"")</f>
        <v/>
      </c>
      <c r="D161" s="21" t="str">
        <f aca="false">IFERROR(INDEX('Ingredient Catalog'!$C:$C,MATCH(144,'Ingredient Catalog'!$J:$J,0)),"")</f>
        <v/>
      </c>
      <c r="E161" s="21" t="str">
        <f aca="false">IFERROR(INDEX('Ingredient Catalog'!$B:$B,MATCH(144,'Ingredient Catalog'!$J:$J,0)),"")</f>
        <v/>
      </c>
      <c r="F161" s="21" t="str">
        <f aca="false">IFERROR(IF(INDEX('Ingredient Catalog'!$D:$D,MATCH(144,'Ingredient Catalog'!$J:$J,0))="Yes","Check pantry",""),"")</f>
        <v/>
      </c>
      <c r="G161" s="21" t="str">
        <f aca="false">IFERROR(IF(INDEX('Ingredient Catalog'!$E:$E,MATCH(144,'Ingredient Catalog'!$J:$J,0))=0,"",INDEX('Ingredient Catalog'!$E:$E,MATCH(144,'Ingredient Catalog'!$J:$J,0))),"")</f>
        <v/>
      </c>
    </row>
    <row r="162" customFormat="false" ht="15" hidden="false" customHeight="false" outlineLevel="0" collapsed="false">
      <c r="B162" s="21" t="str">
        <f aca="false">IFERROR(INDEX('Ingredient Catalog'!$A:$A,MATCH(145,'Ingredient Catalog'!$J:$J,0)),"")</f>
        <v/>
      </c>
      <c r="C162" s="23" t="str">
        <f aca="false">IFERROR(IF(INDEX('Ingredient Catalog'!$H:$H,MATCH(145,'Ingredient Catalog'!$J:$J,0))=0,"",INDEX('Ingredient Catalog'!$H:$H,MATCH(145,'Ingredient Catalog'!$J:$J,0))),"")</f>
        <v/>
      </c>
      <c r="D162" s="21" t="str">
        <f aca="false">IFERROR(INDEX('Ingredient Catalog'!$C:$C,MATCH(145,'Ingredient Catalog'!$J:$J,0)),"")</f>
        <v/>
      </c>
      <c r="E162" s="21" t="str">
        <f aca="false">IFERROR(INDEX('Ingredient Catalog'!$B:$B,MATCH(145,'Ingredient Catalog'!$J:$J,0)),"")</f>
        <v/>
      </c>
      <c r="F162" s="21" t="str">
        <f aca="false">IFERROR(IF(INDEX('Ingredient Catalog'!$D:$D,MATCH(145,'Ingredient Catalog'!$J:$J,0))="Yes","Check pantry",""),"")</f>
        <v/>
      </c>
      <c r="G162" s="21" t="str">
        <f aca="false">IFERROR(IF(INDEX('Ingredient Catalog'!$E:$E,MATCH(145,'Ingredient Catalog'!$J:$J,0))=0,"",INDEX('Ingredient Catalog'!$E:$E,MATCH(145,'Ingredient Catalog'!$J:$J,0))),"")</f>
        <v/>
      </c>
    </row>
    <row r="163" customFormat="false" ht="15" hidden="false" customHeight="false" outlineLevel="0" collapsed="false">
      <c r="B163" s="21" t="str">
        <f aca="false">IFERROR(INDEX('Ingredient Catalog'!$A:$A,MATCH(146,'Ingredient Catalog'!$J:$J,0)),"")</f>
        <v/>
      </c>
      <c r="C163" s="23" t="str">
        <f aca="false">IFERROR(IF(INDEX('Ingredient Catalog'!$H:$H,MATCH(146,'Ingredient Catalog'!$J:$J,0))=0,"",INDEX('Ingredient Catalog'!$H:$H,MATCH(146,'Ingredient Catalog'!$J:$J,0))),"")</f>
        <v/>
      </c>
      <c r="D163" s="21" t="str">
        <f aca="false">IFERROR(INDEX('Ingredient Catalog'!$C:$C,MATCH(146,'Ingredient Catalog'!$J:$J,0)),"")</f>
        <v/>
      </c>
      <c r="E163" s="21" t="str">
        <f aca="false">IFERROR(INDEX('Ingredient Catalog'!$B:$B,MATCH(146,'Ingredient Catalog'!$J:$J,0)),"")</f>
        <v/>
      </c>
      <c r="F163" s="21" t="str">
        <f aca="false">IFERROR(IF(INDEX('Ingredient Catalog'!$D:$D,MATCH(146,'Ingredient Catalog'!$J:$J,0))="Yes","Check pantry",""),"")</f>
        <v/>
      </c>
      <c r="G163" s="21" t="str">
        <f aca="false">IFERROR(IF(INDEX('Ingredient Catalog'!$E:$E,MATCH(146,'Ingredient Catalog'!$J:$J,0))=0,"",INDEX('Ingredient Catalog'!$E:$E,MATCH(146,'Ingredient Catalog'!$J:$J,0))),"")</f>
        <v/>
      </c>
    </row>
    <row r="164" customFormat="false" ht="15" hidden="false" customHeight="false" outlineLevel="0" collapsed="false">
      <c r="B164" s="21" t="str">
        <f aca="false">IFERROR(INDEX('Ingredient Catalog'!$A:$A,MATCH(147,'Ingredient Catalog'!$J:$J,0)),"")</f>
        <v/>
      </c>
      <c r="C164" s="23" t="str">
        <f aca="false">IFERROR(IF(INDEX('Ingredient Catalog'!$H:$H,MATCH(147,'Ingredient Catalog'!$J:$J,0))=0,"",INDEX('Ingredient Catalog'!$H:$H,MATCH(147,'Ingredient Catalog'!$J:$J,0))),"")</f>
        <v/>
      </c>
      <c r="D164" s="21" t="str">
        <f aca="false">IFERROR(INDEX('Ingredient Catalog'!$C:$C,MATCH(147,'Ingredient Catalog'!$J:$J,0)),"")</f>
        <v/>
      </c>
      <c r="E164" s="21" t="str">
        <f aca="false">IFERROR(INDEX('Ingredient Catalog'!$B:$B,MATCH(147,'Ingredient Catalog'!$J:$J,0)),"")</f>
        <v/>
      </c>
      <c r="F164" s="21" t="str">
        <f aca="false">IFERROR(IF(INDEX('Ingredient Catalog'!$D:$D,MATCH(147,'Ingredient Catalog'!$J:$J,0))="Yes","Check pantry",""),"")</f>
        <v/>
      </c>
      <c r="G164" s="21" t="str">
        <f aca="false">IFERROR(IF(INDEX('Ingredient Catalog'!$E:$E,MATCH(147,'Ingredient Catalog'!$J:$J,0))=0,"",INDEX('Ingredient Catalog'!$E:$E,MATCH(147,'Ingredient Catalog'!$J:$J,0))),"")</f>
        <v/>
      </c>
    </row>
    <row r="165" customFormat="false" ht="15" hidden="false" customHeight="false" outlineLevel="0" collapsed="false">
      <c r="B165" s="21" t="str">
        <f aca="false">IFERROR(INDEX('Ingredient Catalog'!$A:$A,MATCH(148,'Ingredient Catalog'!$J:$J,0)),"")</f>
        <v/>
      </c>
      <c r="C165" s="23" t="str">
        <f aca="false">IFERROR(IF(INDEX('Ingredient Catalog'!$H:$H,MATCH(148,'Ingredient Catalog'!$J:$J,0))=0,"",INDEX('Ingredient Catalog'!$H:$H,MATCH(148,'Ingredient Catalog'!$J:$J,0))),"")</f>
        <v/>
      </c>
      <c r="D165" s="21" t="str">
        <f aca="false">IFERROR(INDEX('Ingredient Catalog'!$C:$C,MATCH(148,'Ingredient Catalog'!$J:$J,0)),"")</f>
        <v/>
      </c>
      <c r="E165" s="21" t="str">
        <f aca="false">IFERROR(INDEX('Ingredient Catalog'!$B:$B,MATCH(148,'Ingredient Catalog'!$J:$J,0)),"")</f>
        <v/>
      </c>
      <c r="F165" s="21" t="str">
        <f aca="false">IFERROR(IF(INDEX('Ingredient Catalog'!$D:$D,MATCH(148,'Ingredient Catalog'!$J:$J,0))="Yes","Check pantry",""),"")</f>
        <v/>
      </c>
      <c r="G165" s="21" t="str">
        <f aca="false">IFERROR(IF(INDEX('Ingredient Catalog'!$E:$E,MATCH(148,'Ingredient Catalog'!$J:$J,0))=0,"",INDEX('Ingredient Catalog'!$E:$E,MATCH(148,'Ingredient Catalog'!$J:$J,0))),"")</f>
        <v/>
      </c>
    </row>
    <row r="166" customFormat="false" ht="15" hidden="false" customHeight="false" outlineLevel="0" collapsed="false">
      <c r="B166" s="21" t="str">
        <f aca="false">IFERROR(INDEX('Ingredient Catalog'!$A:$A,MATCH(149,'Ingredient Catalog'!$J:$J,0)),"")</f>
        <v/>
      </c>
      <c r="C166" s="23" t="str">
        <f aca="false">IFERROR(IF(INDEX('Ingredient Catalog'!$H:$H,MATCH(149,'Ingredient Catalog'!$J:$J,0))=0,"",INDEX('Ingredient Catalog'!$H:$H,MATCH(149,'Ingredient Catalog'!$J:$J,0))),"")</f>
        <v/>
      </c>
      <c r="D166" s="21" t="str">
        <f aca="false">IFERROR(INDEX('Ingredient Catalog'!$C:$C,MATCH(149,'Ingredient Catalog'!$J:$J,0)),"")</f>
        <v/>
      </c>
      <c r="E166" s="21" t="str">
        <f aca="false">IFERROR(INDEX('Ingredient Catalog'!$B:$B,MATCH(149,'Ingredient Catalog'!$J:$J,0)),"")</f>
        <v/>
      </c>
      <c r="F166" s="21" t="str">
        <f aca="false">IFERROR(IF(INDEX('Ingredient Catalog'!$D:$D,MATCH(149,'Ingredient Catalog'!$J:$J,0))="Yes","Check pantry",""),"")</f>
        <v/>
      </c>
      <c r="G166" s="21" t="str">
        <f aca="false">IFERROR(IF(INDEX('Ingredient Catalog'!$E:$E,MATCH(149,'Ingredient Catalog'!$J:$J,0))=0,"",INDEX('Ingredient Catalog'!$E:$E,MATCH(149,'Ingredient Catalog'!$J:$J,0))),"")</f>
        <v/>
      </c>
    </row>
    <row r="167" customFormat="false" ht="15" hidden="false" customHeight="false" outlineLevel="0" collapsed="false">
      <c r="B167" s="21" t="str">
        <f aca="false">IFERROR(INDEX('Ingredient Catalog'!$A:$A,MATCH(150,'Ingredient Catalog'!$J:$J,0)),"")</f>
        <v/>
      </c>
      <c r="C167" s="23" t="str">
        <f aca="false">IFERROR(IF(INDEX('Ingredient Catalog'!$H:$H,MATCH(150,'Ingredient Catalog'!$J:$J,0))=0,"",INDEX('Ingredient Catalog'!$H:$H,MATCH(150,'Ingredient Catalog'!$J:$J,0))),"")</f>
        <v/>
      </c>
      <c r="D167" s="21" t="str">
        <f aca="false">IFERROR(INDEX('Ingredient Catalog'!$C:$C,MATCH(150,'Ingredient Catalog'!$J:$J,0)),"")</f>
        <v/>
      </c>
      <c r="E167" s="21" t="str">
        <f aca="false">IFERROR(INDEX('Ingredient Catalog'!$B:$B,MATCH(150,'Ingredient Catalog'!$J:$J,0)),"")</f>
        <v/>
      </c>
      <c r="F167" s="21" t="str">
        <f aca="false">IFERROR(IF(INDEX('Ingredient Catalog'!$D:$D,MATCH(150,'Ingredient Catalog'!$J:$J,0))="Yes","Check pantry",""),"")</f>
        <v/>
      </c>
      <c r="G167" s="21" t="str">
        <f aca="false">IFERROR(IF(INDEX('Ingredient Catalog'!$E:$E,MATCH(150,'Ingredient Catalog'!$J:$J,0))=0,"",INDEX('Ingredient Catalog'!$E:$E,MATCH(150,'Ingredient Catalog'!$J:$J,0))),"")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5" t="s">
        <v>142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143</v>
      </c>
    </row>
    <row r="3" customFormat="false" ht="30" hidden="false" customHeight="true" outlineLevel="0" collapsed="false">
      <c r="A3" s="8" t="s">
        <v>89</v>
      </c>
      <c r="B3" s="8" t="s">
        <v>144</v>
      </c>
      <c r="C3" s="8" t="s">
        <v>91</v>
      </c>
      <c r="D3" s="8" t="s">
        <v>145</v>
      </c>
      <c r="E3" s="8" t="s">
        <v>146</v>
      </c>
      <c r="F3" s="9" t="s">
        <v>147</v>
      </c>
      <c r="G3" s="9" t="s">
        <v>148</v>
      </c>
      <c r="H3" s="9" t="s">
        <v>94</v>
      </c>
      <c r="I3" s="9" t="s">
        <v>149</v>
      </c>
      <c r="J3" s="9" t="s">
        <v>150</v>
      </c>
    </row>
    <row r="4" customFormat="false" ht="15" hidden="false" customHeight="false" outlineLevel="0" collapsed="false">
      <c r="A4" s="10" t="s">
        <v>95</v>
      </c>
      <c r="B4" s="10" t="s">
        <v>151</v>
      </c>
      <c r="C4" s="10" t="s">
        <v>152</v>
      </c>
      <c r="D4" s="10" t="s">
        <v>84</v>
      </c>
      <c r="E4" s="10" t="s">
        <v>153</v>
      </c>
      <c r="F4" s="12" t="n">
        <f aca="false">IF(A4="","",IFERROR(MATCH(B4,Lists!$A$2:$A$15,0),99))</f>
        <v>7</v>
      </c>
      <c r="G4" s="12" t="n">
        <f aca="false">IF(A4="","",SUMIFS(Ingredients!$G:$G,Ingredients!$C:$C,A4))</f>
        <v>1</v>
      </c>
      <c r="H4" s="12" t="n">
        <f aca="false">IF(A4="","",SUMIFS(Ingredients!$H:$H,Ingredients!$C:$C,A4))</f>
        <v>1</v>
      </c>
      <c r="I4" s="12" t="n">
        <f aca="false">IF(A4="","",IF(G4&gt;0,IF(D4="Yes",100,0)+F4+ROW()/100000,""))</f>
        <v>7.00004</v>
      </c>
      <c r="J4" s="12" t="n">
        <f aca="false">IF(I4="","",COUNTIF($I$4:$I$503,"&lt;"&amp;I4)+1)</f>
        <v>14</v>
      </c>
    </row>
    <row r="5" customFormat="false" ht="15" hidden="false" customHeight="false" outlineLevel="0" collapsed="false">
      <c r="A5" s="10" t="s">
        <v>96</v>
      </c>
      <c r="B5" s="10" t="s">
        <v>154</v>
      </c>
      <c r="C5" s="10" t="s">
        <v>155</v>
      </c>
      <c r="D5" s="10" t="s">
        <v>84</v>
      </c>
      <c r="F5" s="12" t="n">
        <f aca="false">IF(A5="","",IFERROR(MATCH(B5,Lists!$A$2:$A$15,0),99))</f>
        <v>1</v>
      </c>
      <c r="G5" s="12" t="n">
        <f aca="false">IF(A5="","",SUMIFS(Ingredients!$G:$G,Ingredients!$C:$C,A5))</f>
        <v>1</v>
      </c>
      <c r="H5" s="12" t="n">
        <f aca="false">IF(A5="","",SUMIFS(Ingredients!$H:$H,Ingredients!$C:$C,A5))</f>
        <v>2</v>
      </c>
      <c r="I5" s="12" t="n">
        <f aca="false">IF(A5="","",IF(G5&gt;0,IF(D5="Yes",100,0)+F5+ROW()/100000,""))</f>
        <v>1.00005</v>
      </c>
      <c r="J5" s="12" t="n">
        <f aca="false">IF(I5="","",COUNTIF($I$4:$I$503,"&lt;"&amp;I5)+1)</f>
        <v>1</v>
      </c>
    </row>
    <row r="6" customFormat="false" ht="15" hidden="false" customHeight="false" outlineLevel="0" collapsed="false">
      <c r="A6" s="10" t="s">
        <v>98</v>
      </c>
      <c r="B6" s="10" t="s">
        <v>156</v>
      </c>
      <c r="C6" s="10" t="s">
        <v>157</v>
      </c>
      <c r="D6" s="10" t="s">
        <v>77</v>
      </c>
      <c r="E6" s="10" t="s">
        <v>153</v>
      </c>
      <c r="F6" s="12" t="n">
        <f aca="false">IF(A6="","",IFERROR(MATCH(B6,Lists!$A$2:$A$15,0),99))</f>
        <v>9</v>
      </c>
      <c r="G6" s="12" t="n">
        <f aca="false">IF(A6="","",SUMIFS(Ingredients!$G:$G,Ingredients!$C:$C,A6))</f>
        <v>1</v>
      </c>
      <c r="H6" s="12" t="n">
        <f aca="false">IF(A6="","",SUMIFS(Ingredients!$H:$H,Ingredients!$C:$C,A6))</f>
        <v>3</v>
      </c>
      <c r="I6" s="12" t="n">
        <f aca="false">IF(A6="","",IF(G6&gt;0,IF(D6="Yes",100,0)+F6+ROW()/100000,""))</f>
        <v>109.00006</v>
      </c>
      <c r="J6" s="12" t="n">
        <f aca="false">IF(I6="","",COUNTIF($I$4:$I$503,"&lt;"&amp;I6)+1)</f>
        <v>19</v>
      </c>
    </row>
    <row r="7" customFormat="false" ht="15" hidden="false" customHeight="false" outlineLevel="0" collapsed="false">
      <c r="A7" s="10" t="s">
        <v>99</v>
      </c>
      <c r="B7" s="10" t="s">
        <v>156</v>
      </c>
      <c r="C7" s="10" t="s">
        <v>157</v>
      </c>
      <c r="D7" s="10" t="s">
        <v>77</v>
      </c>
      <c r="F7" s="12" t="n">
        <f aca="false">IF(A7="","",IFERROR(MATCH(B7,Lists!$A$2:$A$15,0),99))</f>
        <v>9</v>
      </c>
      <c r="G7" s="12" t="n">
        <f aca="false">IF(A7="","",SUMIFS(Ingredients!$G:$G,Ingredients!$C:$C,A7))</f>
        <v>1</v>
      </c>
      <c r="H7" s="12" t="n">
        <f aca="false">IF(A7="","",SUMIFS(Ingredients!$H:$H,Ingredients!$C:$C,A7))</f>
        <v>3</v>
      </c>
      <c r="I7" s="12" t="n">
        <f aca="false">IF(A7="","",IF(G7&gt;0,IF(D7="Yes",100,0)+F7+ROW()/100000,""))</f>
        <v>109.00007</v>
      </c>
      <c r="J7" s="12" t="n">
        <f aca="false">IF(I7="","",COUNTIF($I$4:$I$503,"&lt;"&amp;I7)+1)</f>
        <v>20</v>
      </c>
    </row>
    <row r="8" customFormat="false" ht="15" hidden="false" customHeight="false" outlineLevel="0" collapsed="false">
      <c r="A8" s="10" t="s">
        <v>100</v>
      </c>
      <c r="B8" s="10" t="s">
        <v>156</v>
      </c>
      <c r="C8" s="10" t="s">
        <v>157</v>
      </c>
      <c r="D8" s="10" t="s">
        <v>77</v>
      </c>
      <c r="F8" s="12" t="n">
        <f aca="false">IF(A8="","",IFERROR(MATCH(B8,Lists!$A$2:$A$15,0),99))</f>
        <v>9</v>
      </c>
      <c r="G8" s="12" t="n">
        <f aca="false">IF(A8="","",SUMIFS(Ingredients!$G:$G,Ingredients!$C:$C,A8))</f>
        <v>1</v>
      </c>
      <c r="H8" s="12" t="n">
        <f aca="false">IF(A8="","",SUMIFS(Ingredients!$H:$H,Ingredients!$C:$C,A8))</f>
        <v>1</v>
      </c>
      <c r="I8" s="12" t="n">
        <f aca="false">IF(A8="","",IF(G8&gt;0,IF(D8="Yes",100,0)+F8+ROW()/100000,""))</f>
        <v>109.00008</v>
      </c>
      <c r="J8" s="12" t="n">
        <f aca="false">IF(I8="","",COUNTIF($I$4:$I$503,"&lt;"&amp;I8)+1)</f>
        <v>21</v>
      </c>
    </row>
    <row r="9" customFormat="false" ht="15" hidden="false" customHeight="false" outlineLevel="0" collapsed="false">
      <c r="A9" s="10" t="s">
        <v>101</v>
      </c>
      <c r="B9" s="10" t="s">
        <v>156</v>
      </c>
      <c r="C9" s="10" t="s">
        <v>157</v>
      </c>
      <c r="D9" s="10" t="s">
        <v>77</v>
      </c>
      <c r="F9" s="12" t="n">
        <f aca="false">IF(A9="","",IFERROR(MATCH(B9,Lists!$A$2:$A$15,0),99))</f>
        <v>9</v>
      </c>
      <c r="G9" s="12" t="n">
        <f aca="false">IF(A9="","",SUMIFS(Ingredients!$G:$G,Ingredients!$C:$C,A9))</f>
        <v>1</v>
      </c>
      <c r="H9" s="12" t="n">
        <f aca="false">IF(A9="","",SUMIFS(Ingredients!$H:$H,Ingredients!$C:$C,A9))</f>
        <v>1</v>
      </c>
      <c r="I9" s="12" t="n">
        <f aca="false">IF(A9="","",IF(G9&gt;0,IF(D9="Yes",100,0)+F9+ROW()/100000,""))</f>
        <v>109.00009</v>
      </c>
      <c r="J9" s="12" t="n">
        <f aca="false">IF(I9="","",COUNTIF($I$4:$I$503,"&lt;"&amp;I9)+1)</f>
        <v>22</v>
      </c>
    </row>
    <row r="10" customFormat="false" ht="15" hidden="false" customHeight="false" outlineLevel="0" collapsed="false">
      <c r="A10" s="10" t="s">
        <v>102</v>
      </c>
      <c r="B10" s="10" t="s">
        <v>154</v>
      </c>
      <c r="C10" s="10" t="s">
        <v>158</v>
      </c>
      <c r="D10" s="10" t="s">
        <v>84</v>
      </c>
      <c r="F10" s="12" t="n">
        <f aca="false">IF(A10="","",IFERROR(MATCH(B10,Lists!$A$2:$A$15,0),99))</f>
        <v>1</v>
      </c>
      <c r="G10" s="12" t="n">
        <f aca="false">IF(A10="","",SUMIFS(Ingredients!$G:$G,Ingredients!$C:$C,A10))</f>
        <v>2</v>
      </c>
      <c r="H10" s="12" t="n">
        <f aca="false">IF(A10="","",SUMIFS(Ingredients!$H:$H,Ingredients!$C:$C,A10))</f>
        <v>7</v>
      </c>
      <c r="I10" s="12" t="n">
        <f aca="false">IF(A10="","",IF(G10&gt;0,IF(D10="Yes",100,0)+F10+ROW()/100000,""))</f>
        <v>1.0001</v>
      </c>
      <c r="J10" s="12" t="n">
        <f aca="false">IF(I10="","",COUNTIF($I$4:$I$503,"&lt;"&amp;I10)+1)</f>
        <v>2</v>
      </c>
    </row>
    <row r="11" customFormat="false" ht="15" hidden="false" customHeight="false" outlineLevel="0" collapsed="false">
      <c r="A11" s="10" t="s">
        <v>104</v>
      </c>
      <c r="B11" s="10" t="s">
        <v>154</v>
      </c>
      <c r="C11" s="10" t="s">
        <v>159</v>
      </c>
      <c r="D11" s="10" t="s">
        <v>84</v>
      </c>
      <c r="F11" s="12" t="n">
        <f aca="false">IF(A11="","",IFERROR(MATCH(B11,Lists!$A$2:$A$15,0),99))</f>
        <v>1</v>
      </c>
      <c r="G11" s="12" t="n">
        <f aca="false">IF(A11="","",SUMIFS(Ingredients!$G:$G,Ingredients!$C:$C,A11))</f>
        <v>1</v>
      </c>
      <c r="H11" s="12" t="n">
        <f aca="false">IF(A11="","",SUMIFS(Ingredients!$H:$H,Ingredients!$C:$C,A11))</f>
        <v>1</v>
      </c>
      <c r="I11" s="12" t="n">
        <f aca="false">IF(A11="","",IF(G11&gt;0,IF(D11="Yes",100,0)+F11+ROW()/100000,""))</f>
        <v>1.00011</v>
      </c>
      <c r="J11" s="12" t="n">
        <f aca="false">IF(I11="","",COUNTIF($I$4:$I$503,"&lt;"&amp;I11)+1)</f>
        <v>3</v>
      </c>
    </row>
    <row r="12" customFormat="false" ht="15" hidden="false" customHeight="false" outlineLevel="0" collapsed="false">
      <c r="A12" s="10" t="s">
        <v>105</v>
      </c>
      <c r="B12" s="10" t="s">
        <v>160</v>
      </c>
      <c r="C12" s="10" t="s">
        <v>152</v>
      </c>
      <c r="D12" s="10" t="s">
        <v>84</v>
      </c>
      <c r="F12" s="12" t="n">
        <f aca="false">IF(A12="","",IFERROR(MATCH(B12,Lists!$A$2:$A$15,0),99))</f>
        <v>2</v>
      </c>
      <c r="G12" s="12" t="n">
        <f aca="false">IF(A12="","",SUMIFS(Ingredients!$G:$G,Ingredients!$C:$C,A12))</f>
        <v>1</v>
      </c>
      <c r="H12" s="12" t="n">
        <f aca="false">IF(A12="","",SUMIFS(Ingredients!$H:$H,Ingredients!$C:$C,A12))</f>
        <v>1</v>
      </c>
      <c r="I12" s="12" t="n">
        <f aca="false">IF(A12="","",IF(G12&gt;0,IF(D12="Yes",100,0)+F12+ROW()/100000,""))</f>
        <v>2.00012</v>
      </c>
      <c r="J12" s="12" t="n">
        <f aca="false">IF(I12="","",COUNTIF($I$4:$I$503,"&lt;"&amp;I12)+1)</f>
        <v>9</v>
      </c>
    </row>
    <row r="13" customFormat="false" ht="15" hidden="false" customHeight="false" outlineLevel="0" collapsed="false">
      <c r="A13" s="10" t="s">
        <v>106</v>
      </c>
      <c r="B13" s="10" t="s">
        <v>151</v>
      </c>
      <c r="C13" s="10" t="s">
        <v>161</v>
      </c>
      <c r="D13" s="10" t="s">
        <v>77</v>
      </c>
      <c r="F13" s="12" t="n">
        <f aca="false">IF(A13="","",IFERROR(MATCH(B13,Lists!$A$2:$A$15,0),99))</f>
        <v>7</v>
      </c>
      <c r="G13" s="12" t="n">
        <f aca="false">IF(A13="","",SUMIFS(Ingredients!$G:$G,Ingredients!$C:$C,A13))</f>
        <v>1</v>
      </c>
      <c r="H13" s="12" t="n">
        <f aca="false">IF(A13="","",SUMIFS(Ingredients!$H:$H,Ingredients!$C:$C,A13))</f>
        <v>0.33</v>
      </c>
      <c r="I13" s="12" t="n">
        <f aca="false">IF(A13="","",IF(G13&gt;0,IF(D13="Yes",100,0)+F13+ROW()/100000,""))</f>
        <v>107.00013</v>
      </c>
      <c r="J13" s="12" t="n">
        <f aca="false">IF(I13="","",COUNTIF($I$4:$I$503,"&lt;"&amp;I13)+1)</f>
        <v>16</v>
      </c>
    </row>
    <row r="14" customFormat="false" ht="15" hidden="false" customHeight="false" outlineLevel="0" collapsed="false">
      <c r="A14" s="10" t="s">
        <v>107</v>
      </c>
      <c r="B14" s="10" t="s">
        <v>154</v>
      </c>
      <c r="C14" s="10" t="s">
        <v>155</v>
      </c>
      <c r="D14" s="10" t="s">
        <v>84</v>
      </c>
      <c r="F14" s="12" t="n">
        <f aca="false">IF(A14="","",IFERROR(MATCH(B14,Lists!$A$2:$A$15,0),99))</f>
        <v>1</v>
      </c>
      <c r="G14" s="12" t="n">
        <f aca="false">IF(A14="","",SUMIFS(Ingredients!$G:$G,Ingredients!$C:$C,A14))</f>
        <v>3</v>
      </c>
      <c r="H14" s="12" t="n">
        <f aca="false">IF(A14="","",SUMIFS(Ingredients!$H:$H,Ingredients!$C:$C,A14))</f>
        <v>4</v>
      </c>
      <c r="I14" s="12" t="n">
        <f aca="false">IF(A14="","",IF(G14&gt;0,IF(D14="Yes",100,0)+F14+ROW()/100000,""))</f>
        <v>1.00014</v>
      </c>
      <c r="J14" s="12" t="n">
        <f aca="false">IF(I14="","",COUNTIF($I$4:$I$503,"&lt;"&amp;I14)+1)</f>
        <v>4</v>
      </c>
    </row>
    <row r="15" customFormat="false" ht="15" hidden="false" customHeight="false" outlineLevel="0" collapsed="false">
      <c r="A15" s="10" t="s">
        <v>109</v>
      </c>
      <c r="B15" s="10" t="s">
        <v>154</v>
      </c>
      <c r="C15" s="10" t="s">
        <v>155</v>
      </c>
      <c r="D15" s="10" t="s">
        <v>84</v>
      </c>
      <c r="F15" s="12" t="n">
        <f aca="false">IF(A15="","",IFERROR(MATCH(B15,Lists!$A$2:$A$15,0),99))</f>
        <v>1</v>
      </c>
      <c r="G15" s="12" t="n">
        <f aca="false">IF(A15="","",SUMIFS(Ingredients!$G:$G,Ingredients!$C:$C,A15))</f>
        <v>1</v>
      </c>
      <c r="H15" s="12" t="n">
        <f aca="false">IF(A15="","",SUMIFS(Ingredients!$H:$H,Ingredients!$C:$C,A15))</f>
        <v>2</v>
      </c>
      <c r="I15" s="12" t="n">
        <f aca="false">IF(A15="","",IF(G15&gt;0,IF(D15="Yes",100,0)+F15+ROW()/100000,""))</f>
        <v>1.00015</v>
      </c>
      <c r="J15" s="12" t="n">
        <f aca="false">IF(I15="","",COUNTIF($I$4:$I$503,"&lt;"&amp;I15)+1)</f>
        <v>5</v>
      </c>
    </row>
    <row r="16" customFormat="false" ht="15" hidden="false" customHeight="false" outlineLevel="0" collapsed="false">
      <c r="A16" s="10" t="s">
        <v>110</v>
      </c>
      <c r="B16" s="10" t="s">
        <v>154</v>
      </c>
      <c r="C16" s="10" t="s">
        <v>159</v>
      </c>
      <c r="D16" s="10" t="s">
        <v>84</v>
      </c>
      <c r="E16" s="10" t="s">
        <v>162</v>
      </c>
      <c r="F16" s="12" t="n">
        <f aca="false">IF(A16="","",IFERROR(MATCH(B16,Lists!$A$2:$A$15,0),99))</f>
        <v>1</v>
      </c>
      <c r="G16" s="12" t="n">
        <f aca="false">IF(A16="","",SUMIFS(Ingredients!$G:$G,Ingredients!$C:$C,A16))</f>
        <v>1</v>
      </c>
      <c r="H16" s="12" t="n">
        <f aca="false">IF(A16="","",SUMIFS(Ingredients!$H:$H,Ingredients!$C:$C,A16))</f>
        <v>1</v>
      </c>
      <c r="I16" s="12" t="n">
        <f aca="false">IF(A16="","",IF(G16&gt;0,IF(D16="Yes",100,0)+F16+ROW()/100000,""))</f>
        <v>1.00016</v>
      </c>
      <c r="J16" s="12" t="n">
        <f aca="false">IF(I16="","",COUNTIF($I$4:$I$503,"&lt;"&amp;I16)+1)</f>
        <v>6</v>
      </c>
    </row>
    <row r="17" customFormat="false" ht="15" hidden="false" customHeight="false" outlineLevel="0" collapsed="false">
      <c r="A17" s="10" t="s">
        <v>111</v>
      </c>
      <c r="B17" s="10" t="s">
        <v>163</v>
      </c>
      <c r="C17" s="10" t="s">
        <v>161</v>
      </c>
      <c r="D17" s="10" t="s">
        <v>84</v>
      </c>
      <c r="E17" s="10" t="s">
        <v>162</v>
      </c>
      <c r="F17" s="12" t="n">
        <f aca="false">IF(A17="","",IFERROR(MATCH(B17,Lists!$A$2:$A$15,0),99))</f>
        <v>10</v>
      </c>
      <c r="G17" s="12" t="n">
        <f aca="false">IF(A17="","",SUMIFS(Ingredients!$G:$G,Ingredients!$C:$C,A17))</f>
        <v>1</v>
      </c>
      <c r="H17" s="12" t="n">
        <f aca="false">IF(A17="","",SUMIFS(Ingredients!$H:$H,Ingredients!$C:$C,A17))</f>
        <v>2</v>
      </c>
      <c r="I17" s="12" t="n">
        <f aca="false">IF(A17="","",IF(G17&gt;0,IF(D17="Yes",100,0)+F17+ROW()/100000,""))</f>
        <v>10.00017</v>
      </c>
      <c r="J17" s="12" t="n">
        <f aca="false">IF(I17="","",COUNTIF($I$4:$I$503,"&lt;"&amp;I17)+1)</f>
        <v>15</v>
      </c>
    </row>
    <row r="18" customFormat="false" ht="15" hidden="false" customHeight="false" outlineLevel="0" collapsed="false">
      <c r="A18" s="10" t="s">
        <v>112</v>
      </c>
      <c r="B18" s="10" t="s">
        <v>164</v>
      </c>
      <c r="C18" s="10" t="s">
        <v>155</v>
      </c>
      <c r="D18" s="10" t="s">
        <v>84</v>
      </c>
      <c r="F18" s="12" t="n">
        <f aca="false">IF(A18="","",IFERROR(MATCH(B18,Lists!$A$2:$A$15,0),99))</f>
        <v>3</v>
      </c>
      <c r="G18" s="12" t="n">
        <f aca="false">IF(A18="","",SUMIFS(Ingredients!$G:$G,Ingredients!$C:$C,A18))</f>
        <v>1</v>
      </c>
      <c r="H18" s="12" t="n">
        <f aca="false">IF(A18="","",SUMIFS(Ingredients!$H:$H,Ingredients!$C:$C,A18))</f>
        <v>1</v>
      </c>
      <c r="I18" s="12" t="n">
        <f aca="false">IF(A18="","",IF(G18&gt;0,IF(D18="Yes",100,0)+F18+ROW()/100000,""))</f>
        <v>3.00018</v>
      </c>
      <c r="J18" s="12" t="n">
        <f aca="false">IF(I18="","",COUNTIF($I$4:$I$503,"&lt;"&amp;I18)+1)</f>
        <v>12</v>
      </c>
    </row>
    <row r="19" customFormat="false" ht="15" hidden="false" customHeight="false" outlineLevel="0" collapsed="false">
      <c r="A19" s="10" t="s">
        <v>113</v>
      </c>
      <c r="B19" s="10" t="s">
        <v>164</v>
      </c>
      <c r="C19" s="10" t="s">
        <v>161</v>
      </c>
      <c r="D19" s="10" t="s">
        <v>84</v>
      </c>
      <c r="F19" s="12" t="n">
        <f aca="false">IF(A19="","",IFERROR(MATCH(B19,Lists!$A$2:$A$15,0),99))</f>
        <v>3</v>
      </c>
      <c r="G19" s="12" t="n">
        <f aca="false">IF(A19="","",SUMIFS(Ingredients!$G:$G,Ingredients!$C:$C,A19))</f>
        <v>2</v>
      </c>
      <c r="H19" s="12" t="n">
        <f aca="false">IF(A19="","",SUMIFS(Ingredients!$H:$H,Ingredients!$C:$C,A19))</f>
        <v>2</v>
      </c>
      <c r="I19" s="12" t="n">
        <f aca="false">IF(A19="","",IF(G19&gt;0,IF(D19="Yes",100,0)+F19+ROW()/100000,""))</f>
        <v>3.00019</v>
      </c>
      <c r="J19" s="12" t="n">
        <f aca="false">IF(I19="","",COUNTIF($I$4:$I$503,"&lt;"&amp;I19)+1)</f>
        <v>13</v>
      </c>
    </row>
    <row r="20" customFormat="false" ht="15" hidden="false" customHeight="false" outlineLevel="0" collapsed="false">
      <c r="A20" s="10" t="s">
        <v>115</v>
      </c>
      <c r="B20" s="10" t="s">
        <v>165</v>
      </c>
      <c r="C20" s="10" t="s">
        <v>157</v>
      </c>
      <c r="D20" s="10" t="s">
        <v>77</v>
      </c>
      <c r="F20" s="12" t="n">
        <f aca="false">IF(A20="","",IFERROR(MATCH(B20,Lists!$A$2:$A$15,0),99))</f>
        <v>8</v>
      </c>
      <c r="G20" s="12" t="n">
        <f aca="false">IF(A20="","",SUMIFS(Ingredients!$G:$G,Ingredients!$C:$C,A20))</f>
        <v>1</v>
      </c>
      <c r="H20" s="12" t="n">
        <f aca="false">IF(A20="","",SUMIFS(Ingredients!$H:$H,Ingredients!$C:$C,A20))</f>
        <v>2</v>
      </c>
      <c r="I20" s="12" t="n">
        <f aca="false">IF(A20="","",IF(G20&gt;0,IF(D20="Yes",100,0)+F20+ROW()/100000,""))</f>
        <v>108.0002</v>
      </c>
      <c r="J20" s="12" t="n">
        <f aca="false">IF(I20="","",COUNTIF($I$4:$I$503,"&lt;"&amp;I20)+1)</f>
        <v>18</v>
      </c>
    </row>
    <row r="21" customFormat="false" ht="15" hidden="false" customHeight="false" outlineLevel="0" collapsed="false">
      <c r="A21" s="10" t="s">
        <v>116</v>
      </c>
      <c r="B21" s="10" t="s">
        <v>160</v>
      </c>
      <c r="C21" s="10" t="s">
        <v>152</v>
      </c>
      <c r="D21" s="10" t="s">
        <v>84</v>
      </c>
      <c r="F21" s="12" t="n">
        <f aca="false">IF(A21="","",IFERROR(MATCH(B21,Lists!$A$2:$A$15,0),99))</f>
        <v>2</v>
      </c>
      <c r="G21" s="12" t="n">
        <f aca="false">IF(A21="","",SUMIFS(Ingredients!$G:$G,Ingredients!$C:$C,A21))</f>
        <v>1</v>
      </c>
      <c r="H21" s="12" t="n">
        <f aca="false">IF(A21="","",SUMIFS(Ingredients!$H:$H,Ingredients!$C:$C,A21))</f>
        <v>1.5</v>
      </c>
      <c r="I21" s="12" t="n">
        <f aca="false">IF(A21="","",IF(G21&gt;0,IF(D21="Yes",100,0)+F21+ROW()/100000,""))</f>
        <v>2.00021</v>
      </c>
      <c r="J21" s="12" t="n">
        <f aca="false">IF(I21="","",COUNTIF($I$4:$I$503,"&lt;"&amp;I21)+1)</f>
        <v>10</v>
      </c>
    </row>
    <row r="22" customFormat="false" ht="15" hidden="false" customHeight="false" outlineLevel="0" collapsed="false">
      <c r="A22" s="10" t="s">
        <v>117</v>
      </c>
      <c r="B22" s="10" t="s">
        <v>154</v>
      </c>
      <c r="C22" s="10" t="s">
        <v>155</v>
      </c>
      <c r="D22" s="10" t="s">
        <v>84</v>
      </c>
      <c r="F22" s="12" t="n">
        <f aca="false">IF(A22="","",IFERROR(MATCH(B22,Lists!$A$2:$A$15,0),99))</f>
        <v>1</v>
      </c>
      <c r="G22" s="12" t="n">
        <f aca="false">IF(A22="","",SUMIFS(Ingredients!$G:$G,Ingredients!$C:$C,A22))</f>
        <v>2</v>
      </c>
      <c r="H22" s="12" t="n">
        <f aca="false">IF(A22="","",SUMIFS(Ingredients!$H:$H,Ingredients!$C:$C,A22))</f>
        <v>4</v>
      </c>
      <c r="I22" s="12" t="n">
        <f aca="false">IF(A22="","",IF(G22&gt;0,IF(D22="Yes",100,0)+F22+ROW()/100000,""))</f>
        <v>1.00022</v>
      </c>
      <c r="J22" s="12" t="n">
        <f aca="false">IF(I22="","",COUNTIF($I$4:$I$503,"&lt;"&amp;I22)+1)</f>
        <v>7</v>
      </c>
    </row>
    <row r="23" customFormat="false" ht="15" hidden="false" customHeight="false" outlineLevel="0" collapsed="false">
      <c r="A23" s="10" t="s">
        <v>120</v>
      </c>
      <c r="B23" s="10" t="s">
        <v>154</v>
      </c>
      <c r="C23" s="10" t="s">
        <v>152</v>
      </c>
      <c r="D23" s="10" t="s">
        <v>84</v>
      </c>
      <c r="F23" s="12" t="n">
        <f aca="false">IF(A23="","",IFERROR(MATCH(B23,Lists!$A$2:$A$15,0),99))</f>
        <v>1</v>
      </c>
      <c r="G23" s="12" t="n">
        <f aca="false">IF(A23="","",SUMIFS(Ingredients!$G:$G,Ingredients!$C:$C,A23))</f>
        <v>1</v>
      </c>
      <c r="H23" s="12" t="n">
        <f aca="false">IF(A23="","",SUMIFS(Ingredients!$H:$H,Ingredients!$C:$C,A23))</f>
        <v>1.5</v>
      </c>
      <c r="I23" s="12" t="n">
        <f aca="false">IF(A23="","",IF(G23&gt;0,IF(D23="Yes",100,0)+F23+ROW()/100000,""))</f>
        <v>1.00023</v>
      </c>
      <c r="J23" s="12" t="n">
        <f aca="false">IF(I23="","",COUNTIF($I$4:$I$503,"&lt;"&amp;I23)+1)</f>
        <v>8</v>
      </c>
    </row>
    <row r="24" customFormat="false" ht="15" hidden="false" customHeight="false" outlineLevel="0" collapsed="false">
      <c r="A24" s="10" t="s">
        <v>122</v>
      </c>
      <c r="B24" s="10" t="s">
        <v>166</v>
      </c>
      <c r="C24" s="10" t="s">
        <v>157</v>
      </c>
      <c r="D24" s="10" t="s">
        <v>77</v>
      </c>
      <c r="F24" s="12" t="n">
        <f aca="false">IF(A24="","",IFERROR(MATCH(B24,Lists!$A$2:$A$15,0),99))</f>
        <v>12</v>
      </c>
      <c r="G24" s="12" t="n">
        <f aca="false">IF(A24="","",SUMIFS(Ingredients!$G:$G,Ingredients!$C:$C,A24))</f>
        <v>1</v>
      </c>
      <c r="H24" s="12" t="n">
        <f aca="false">IF(A24="","",SUMIFS(Ingredients!$H:$H,Ingredients!$C:$C,A24))</f>
        <v>3</v>
      </c>
      <c r="I24" s="12" t="n">
        <f aca="false">IF(A24="","",IF(G24&gt;0,IF(D24="Yes",100,0)+F24+ROW()/100000,""))</f>
        <v>112.00024</v>
      </c>
      <c r="J24" s="12" t="n">
        <f aca="false">IF(I24="","",COUNTIF($I$4:$I$503,"&lt;"&amp;I24)+1)</f>
        <v>25</v>
      </c>
    </row>
    <row r="25" customFormat="false" ht="15" hidden="false" customHeight="false" outlineLevel="0" collapsed="false">
      <c r="A25" s="10" t="s">
        <v>123</v>
      </c>
      <c r="B25" s="10" t="s">
        <v>160</v>
      </c>
      <c r="C25" s="10" t="s">
        <v>152</v>
      </c>
      <c r="D25" s="10" t="s">
        <v>84</v>
      </c>
      <c r="F25" s="12" t="n">
        <f aca="false">IF(A25="","",IFERROR(MATCH(B25,Lists!$A$2:$A$15,0),99))</f>
        <v>2</v>
      </c>
      <c r="G25" s="12" t="n">
        <f aca="false">IF(A25="","",SUMIFS(Ingredients!$G:$G,Ingredients!$C:$C,A25))</f>
        <v>1</v>
      </c>
      <c r="H25" s="12" t="n">
        <f aca="false">IF(A25="","",SUMIFS(Ingredients!$H:$H,Ingredients!$C:$C,A25))</f>
        <v>2</v>
      </c>
      <c r="I25" s="12" t="n">
        <f aca="false">IF(A25="","",IF(G25&gt;0,IF(D25="Yes",100,0)+F25+ROW()/100000,""))</f>
        <v>2.00025</v>
      </c>
      <c r="J25" s="12" t="n">
        <f aca="false">IF(I25="","",COUNTIF($I$4:$I$503,"&lt;"&amp;I25)+1)</f>
        <v>11</v>
      </c>
    </row>
    <row r="26" customFormat="false" ht="15" hidden="false" customHeight="false" outlineLevel="0" collapsed="false">
      <c r="A26" s="10" t="s">
        <v>124</v>
      </c>
      <c r="B26" s="10" t="s">
        <v>167</v>
      </c>
      <c r="C26" s="10" t="s">
        <v>157</v>
      </c>
      <c r="D26" s="10" t="s">
        <v>77</v>
      </c>
      <c r="F26" s="12" t="n">
        <f aca="false">IF(A26="","",IFERROR(MATCH(B26,Lists!$A$2:$A$15,0),99))</f>
        <v>11</v>
      </c>
      <c r="G26" s="12" t="n">
        <f aca="false">IF(A26="","",SUMIFS(Ingredients!$G:$G,Ingredients!$C:$C,A26))</f>
        <v>1</v>
      </c>
      <c r="H26" s="12" t="n">
        <f aca="false">IF(A26="","",SUMIFS(Ingredients!$H:$H,Ingredients!$C:$C,A26))</f>
        <v>2</v>
      </c>
      <c r="I26" s="12" t="n">
        <f aca="false">IF(A26="","",IF(G26&gt;0,IF(D26="Yes",100,0)+F26+ROW()/100000,""))</f>
        <v>111.00026</v>
      </c>
      <c r="J26" s="12" t="n">
        <f aca="false">IF(I26="","",COUNTIF($I$4:$I$503,"&lt;"&amp;I26)+1)</f>
        <v>23</v>
      </c>
    </row>
    <row r="27" customFormat="false" ht="15" hidden="false" customHeight="false" outlineLevel="0" collapsed="false">
      <c r="A27" s="10" t="s">
        <v>125</v>
      </c>
      <c r="B27" s="10" t="s">
        <v>168</v>
      </c>
      <c r="C27" s="10" t="s">
        <v>157</v>
      </c>
      <c r="D27" s="10" t="s">
        <v>77</v>
      </c>
      <c r="F27" s="12" t="n">
        <f aca="false">IF(A27="","",IFERROR(MATCH(B27,Lists!$A$2:$A$15,0),99))</f>
        <v>13</v>
      </c>
      <c r="G27" s="12" t="n">
        <f aca="false">IF(A27="","",SUMIFS(Ingredients!$G:$G,Ingredients!$C:$C,A27))</f>
        <v>1</v>
      </c>
      <c r="H27" s="12" t="n">
        <f aca="false">IF(A27="","",SUMIFS(Ingredients!$H:$H,Ingredients!$C:$C,A27))</f>
        <v>2</v>
      </c>
      <c r="I27" s="12" t="n">
        <f aca="false">IF(A27="","",IF(G27&gt;0,IF(D27="Yes",100,0)+F27+ROW()/100000,""))</f>
        <v>113.00027</v>
      </c>
      <c r="J27" s="12" t="n">
        <f aca="false">IF(I27="","",COUNTIF($I$4:$I$503,"&lt;"&amp;I27)+1)</f>
        <v>26</v>
      </c>
    </row>
    <row r="28" customFormat="false" ht="15" hidden="false" customHeight="false" outlineLevel="0" collapsed="false">
      <c r="A28" s="10" t="s">
        <v>126</v>
      </c>
      <c r="B28" s="10" t="s">
        <v>151</v>
      </c>
      <c r="C28" s="10" t="s">
        <v>161</v>
      </c>
      <c r="D28" s="10" t="s">
        <v>77</v>
      </c>
      <c r="F28" s="12" t="n">
        <f aca="false">IF(A28="","",IFERROR(MATCH(B28,Lists!$A$2:$A$15,0),99))</f>
        <v>7</v>
      </c>
      <c r="G28" s="12" t="n">
        <f aca="false">IF(A28="","",SUMIFS(Ingredients!$G:$G,Ingredients!$C:$C,A28))</f>
        <v>1</v>
      </c>
      <c r="H28" s="12" t="n">
        <f aca="false">IF(A28="","",SUMIFS(Ingredients!$H:$H,Ingredients!$C:$C,A28))</f>
        <v>1.5</v>
      </c>
      <c r="I28" s="12" t="n">
        <f aca="false">IF(A28="","",IF(G28&gt;0,IF(D28="Yes",100,0)+F28+ROW()/100000,""))</f>
        <v>107.00028</v>
      </c>
      <c r="J28" s="12" t="n">
        <f aca="false">IF(I28="","",COUNTIF($I$4:$I$503,"&lt;"&amp;I28)+1)</f>
        <v>17</v>
      </c>
    </row>
    <row r="29" customFormat="false" ht="15" hidden="false" customHeight="false" outlineLevel="0" collapsed="false">
      <c r="A29" s="10" t="s">
        <v>127</v>
      </c>
      <c r="B29" s="10" t="s">
        <v>167</v>
      </c>
      <c r="C29" s="10" t="s">
        <v>169</v>
      </c>
      <c r="D29" s="10" t="s">
        <v>77</v>
      </c>
      <c r="F29" s="12" t="n">
        <f aca="false">IF(A29="","",IFERROR(MATCH(B29,Lists!$A$2:$A$15,0),99))</f>
        <v>11</v>
      </c>
      <c r="G29" s="12" t="n">
        <f aca="false">IF(A29="","",SUMIFS(Ingredients!$G:$G,Ingredients!$C:$C,A29))</f>
        <v>1</v>
      </c>
      <c r="H29" s="12" t="n">
        <f aca="false">IF(A29="","",SUMIFS(Ingredients!$H:$H,Ingredients!$C:$C,A29))</f>
        <v>0</v>
      </c>
      <c r="I29" s="12" t="n">
        <f aca="false">IF(A29="","",IF(G29&gt;0,IF(D29="Yes",100,0)+F29+ROW()/100000,""))</f>
        <v>111.00029</v>
      </c>
      <c r="J29" s="12" t="n">
        <f aca="false">IF(I29="","",COUNTIF($I$4:$I$503,"&lt;"&amp;I29)+1)</f>
        <v>24</v>
      </c>
    </row>
    <row r="30" customFormat="false" ht="15" hidden="false" customHeight="false" outlineLevel="0" collapsed="false">
      <c r="F30" s="12" t="str">
        <f aca="false">IF(A30="","",IFERROR(MATCH(B30,Lists!$A$2:$A$15,0),99))</f>
        <v/>
      </c>
      <c r="G30" s="12" t="str">
        <f aca="false">IF(A30="","",SUMIFS(Ingredients!$G:$G,Ingredients!$C:$C,A30))</f>
        <v/>
      </c>
      <c r="H30" s="12" t="str">
        <f aca="false">IF(A30="","",SUMIFS(Ingredients!$H:$H,Ingredients!$C:$C,A30))</f>
        <v/>
      </c>
      <c r="I30" s="12" t="str">
        <f aca="false">IF(A30="","",IF(G30&gt;0,IF(D30="Yes",100,0)+F30+ROW()/100000,""))</f>
        <v/>
      </c>
      <c r="J30" s="12" t="str">
        <f aca="false">IF(I30="","",COUNTIF($I$4:$I$503,"&lt;"&amp;I30)+1)</f>
        <v/>
      </c>
    </row>
    <row r="31" customFormat="false" ht="15" hidden="false" customHeight="false" outlineLevel="0" collapsed="false">
      <c r="F31" s="12" t="str">
        <f aca="false">IF(A31="","",IFERROR(MATCH(B31,Lists!$A$2:$A$15,0),99))</f>
        <v/>
      </c>
      <c r="G31" s="12" t="str">
        <f aca="false">IF(A31="","",SUMIFS(Ingredients!$G:$G,Ingredients!$C:$C,A31))</f>
        <v/>
      </c>
      <c r="H31" s="12" t="str">
        <f aca="false">IF(A31="","",SUMIFS(Ingredients!$H:$H,Ingredients!$C:$C,A31))</f>
        <v/>
      </c>
      <c r="I31" s="12" t="str">
        <f aca="false">IF(A31="","",IF(G31&gt;0,IF(D31="Yes",100,0)+F31+ROW()/100000,""))</f>
        <v/>
      </c>
      <c r="J31" s="12" t="str">
        <f aca="false">IF(I31="","",COUNTIF($I$4:$I$503,"&lt;"&amp;I31)+1)</f>
        <v/>
      </c>
    </row>
    <row r="32" customFormat="false" ht="15" hidden="false" customHeight="false" outlineLevel="0" collapsed="false">
      <c r="F32" s="12" t="str">
        <f aca="false">IF(A32="","",IFERROR(MATCH(B32,Lists!$A$2:$A$15,0),99))</f>
        <v/>
      </c>
      <c r="G32" s="12" t="str">
        <f aca="false">IF(A32="","",SUMIFS(Ingredients!$G:$G,Ingredients!$C:$C,A32))</f>
        <v/>
      </c>
      <c r="H32" s="12" t="str">
        <f aca="false">IF(A32="","",SUMIFS(Ingredients!$H:$H,Ingredients!$C:$C,A32))</f>
        <v/>
      </c>
      <c r="I32" s="12" t="str">
        <f aca="false">IF(A32="","",IF(G32&gt;0,IF(D32="Yes",100,0)+F32+ROW()/100000,""))</f>
        <v/>
      </c>
      <c r="J32" s="12" t="str">
        <f aca="false">IF(I32="","",COUNTIF($I$4:$I$503,"&lt;"&amp;I32)+1)</f>
        <v/>
      </c>
    </row>
    <row r="33" customFormat="false" ht="15" hidden="false" customHeight="false" outlineLevel="0" collapsed="false">
      <c r="F33" s="12" t="str">
        <f aca="false">IF(A33="","",IFERROR(MATCH(B33,Lists!$A$2:$A$15,0),99))</f>
        <v/>
      </c>
      <c r="G33" s="12" t="str">
        <f aca="false">IF(A33="","",SUMIFS(Ingredients!$G:$G,Ingredients!$C:$C,A33))</f>
        <v/>
      </c>
      <c r="H33" s="12" t="str">
        <f aca="false">IF(A33="","",SUMIFS(Ingredients!$H:$H,Ingredients!$C:$C,A33))</f>
        <v/>
      </c>
      <c r="I33" s="12" t="str">
        <f aca="false">IF(A33="","",IF(G33&gt;0,IF(D33="Yes",100,0)+F33+ROW()/100000,""))</f>
        <v/>
      </c>
      <c r="J33" s="12" t="str">
        <f aca="false">IF(I33="","",COUNTIF($I$4:$I$503,"&lt;"&amp;I33)+1)</f>
        <v/>
      </c>
    </row>
    <row r="34" customFormat="false" ht="15" hidden="false" customHeight="false" outlineLevel="0" collapsed="false">
      <c r="F34" s="12" t="str">
        <f aca="false">IF(A34="","",IFERROR(MATCH(B34,Lists!$A$2:$A$15,0),99))</f>
        <v/>
      </c>
      <c r="G34" s="12" t="str">
        <f aca="false">IF(A34="","",SUMIFS(Ingredients!$G:$G,Ingredients!$C:$C,A34))</f>
        <v/>
      </c>
      <c r="H34" s="12" t="str">
        <f aca="false">IF(A34="","",SUMIFS(Ingredients!$H:$H,Ingredients!$C:$C,A34))</f>
        <v/>
      </c>
      <c r="I34" s="12" t="str">
        <f aca="false">IF(A34="","",IF(G34&gt;0,IF(D34="Yes",100,0)+F34+ROW()/100000,""))</f>
        <v/>
      </c>
      <c r="J34" s="12" t="str">
        <f aca="false">IF(I34="","",COUNTIF($I$4:$I$503,"&lt;"&amp;I34)+1)</f>
        <v/>
      </c>
    </row>
    <row r="35" customFormat="false" ht="15" hidden="false" customHeight="false" outlineLevel="0" collapsed="false">
      <c r="F35" s="12" t="str">
        <f aca="false">IF(A35="","",IFERROR(MATCH(B35,Lists!$A$2:$A$15,0),99))</f>
        <v/>
      </c>
      <c r="G35" s="12" t="str">
        <f aca="false">IF(A35="","",SUMIFS(Ingredients!$G:$G,Ingredients!$C:$C,A35))</f>
        <v/>
      </c>
      <c r="H35" s="12" t="str">
        <f aca="false">IF(A35="","",SUMIFS(Ingredients!$H:$H,Ingredients!$C:$C,A35))</f>
        <v/>
      </c>
      <c r="I35" s="12" t="str">
        <f aca="false">IF(A35="","",IF(G35&gt;0,IF(D35="Yes",100,0)+F35+ROW()/100000,""))</f>
        <v/>
      </c>
      <c r="J35" s="12" t="str">
        <f aca="false">IF(I35="","",COUNTIF($I$4:$I$503,"&lt;"&amp;I35)+1)</f>
        <v/>
      </c>
    </row>
    <row r="36" customFormat="false" ht="15" hidden="false" customHeight="false" outlineLevel="0" collapsed="false">
      <c r="F36" s="12" t="str">
        <f aca="false">IF(A36="","",IFERROR(MATCH(B36,Lists!$A$2:$A$15,0),99))</f>
        <v/>
      </c>
      <c r="G36" s="12" t="str">
        <f aca="false">IF(A36="","",SUMIFS(Ingredients!$G:$G,Ingredients!$C:$C,A36))</f>
        <v/>
      </c>
      <c r="H36" s="12" t="str">
        <f aca="false">IF(A36="","",SUMIFS(Ingredients!$H:$H,Ingredients!$C:$C,A36))</f>
        <v/>
      </c>
      <c r="I36" s="12" t="str">
        <f aca="false">IF(A36="","",IF(G36&gt;0,IF(D36="Yes",100,0)+F36+ROW()/100000,""))</f>
        <v/>
      </c>
      <c r="J36" s="12" t="str">
        <f aca="false">IF(I36="","",COUNTIF($I$4:$I$503,"&lt;"&amp;I36)+1)</f>
        <v/>
      </c>
    </row>
    <row r="37" customFormat="false" ht="15" hidden="false" customHeight="false" outlineLevel="0" collapsed="false">
      <c r="F37" s="12" t="str">
        <f aca="false">IF(A37="","",IFERROR(MATCH(B37,Lists!$A$2:$A$15,0),99))</f>
        <v/>
      </c>
      <c r="G37" s="12" t="str">
        <f aca="false">IF(A37="","",SUMIFS(Ingredients!$G:$G,Ingredients!$C:$C,A37))</f>
        <v/>
      </c>
      <c r="H37" s="12" t="str">
        <f aca="false">IF(A37="","",SUMIFS(Ingredients!$H:$H,Ingredients!$C:$C,A37))</f>
        <v/>
      </c>
      <c r="I37" s="12" t="str">
        <f aca="false">IF(A37="","",IF(G37&gt;0,IF(D37="Yes",100,0)+F37+ROW()/100000,""))</f>
        <v/>
      </c>
      <c r="J37" s="12" t="str">
        <f aca="false">IF(I37="","",COUNTIF($I$4:$I$503,"&lt;"&amp;I37)+1)</f>
        <v/>
      </c>
    </row>
    <row r="38" customFormat="false" ht="15" hidden="false" customHeight="false" outlineLevel="0" collapsed="false">
      <c r="F38" s="12" t="str">
        <f aca="false">IF(A38="","",IFERROR(MATCH(B38,Lists!$A$2:$A$15,0),99))</f>
        <v/>
      </c>
      <c r="G38" s="12" t="str">
        <f aca="false">IF(A38="","",SUMIFS(Ingredients!$G:$G,Ingredients!$C:$C,A38))</f>
        <v/>
      </c>
      <c r="H38" s="12" t="str">
        <f aca="false">IF(A38="","",SUMIFS(Ingredients!$H:$H,Ingredients!$C:$C,A38))</f>
        <v/>
      </c>
      <c r="I38" s="12" t="str">
        <f aca="false">IF(A38="","",IF(G38&gt;0,IF(D38="Yes",100,0)+F38+ROW()/100000,""))</f>
        <v/>
      </c>
      <c r="J38" s="12" t="str">
        <f aca="false">IF(I38="","",COUNTIF($I$4:$I$503,"&lt;"&amp;I38)+1)</f>
        <v/>
      </c>
    </row>
    <row r="39" customFormat="false" ht="15" hidden="false" customHeight="false" outlineLevel="0" collapsed="false">
      <c r="F39" s="12" t="str">
        <f aca="false">IF(A39="","",IFERROR(MATCH(B39,Lists!$A$2:$A$15,0),99))</f>
        <v/>
      </c>
      <c r="G39" s="12" t="str">
        <f aca="false">IF(A39="","",SUMIFS(Ingredients!$G:$G,Ingredients!$C:$C,A39))</f>
        <v/>
      </c>
      <c r="H39" s="12" t="str">
        <f aca="false">IF(A39="","",SUMIFS(Ingredients!$H:$H,Ingredients!$C:$C,A39))</f>
        <v/>
      </c>
      <c r="I39" s="12" t="str">
        <f aca="false">IF(A39="","",IF(G39&gt;0,IF(D39="Yes",100,0)+F39+ROW()/100000,""))</f>
        <v/>
      </c>
      <c r="J39" s="12" t="str">
        <f aca="false">IF(I39="","",COUNTIF($I$4:$I$503,"&lt;"&amp;I39)+1)</f>
        <v/>
      </c>
    </row>
    <row r="40" customFormat="false" ht="15" hidden="false" customHeight="false" outlineLevel="0" collapsed="false">
      <c r="F40" s="12" t="str">
        <f aca="false">IF(A40="","",IFERROR(MATCH(B40,Lists!$A$2:$A$15,0),99))</f>
        <v/>
      </c>
      <c r="G40" s="12" t="str">
        <f aca="false">IF(A40="","",SUMIFS(Ingredients!$G:$G,Ingredients!$C:$C,A40))</f>
        <v/>
      </c>
      <c r="H40" s="12" t="str">
        <f aca="false">IF(A40="","",SUMIFS(Ingredients!$H:$H,Ingredients!$C:$C,A40))</f>
        <v/>
      </c>
      <c r="I40" s="12" t="str">
        <f aca="false">IF(A40="","",IF(G40&gt;0,IF(D40="Yes",100,0)+F40+ROW()/100000,""))</f>
        <v/>
      </c>
      <c r="J40" s="12" t="str">
        <f aca="false">IF(I40="","",COUNTIF($I$4:$I$503,"&lt;"&amp;I40)+1)</f>
        <v/>
      </c>
    </row>
    <row r="41" customFormat="false" ht="15" hidden="false" customHeight="false" outlineLevel="0" collapsed="false">
      <c r="F41" s="12" t="str">
        <f aca="false">IF(A41="","",IFERROR(MATCH(B41,Lists!$A$2:$A$15,0),99))</f>
        <v/>
      </c>
      <c r="G41" s="12" t="str">
        <f aca="false">IF(A41="","",SUMIFS(Ingredients!$G:$G,Ingredients!$C:$C,A41))</f>
        <v/>
      </c>
      <c r="H41" s="12" t="str">
        <f aca="false">IF(A41="","",SUMIFS(Ingredients!$H:$H,Ingredients!$C:$C,A41))</f>
        <v/>
      </c>
      <c r="I41" s="12" t="str">
        <f aca="false">IF(A41="","",IF(G41&gt;0,IF(D41="Yes",100,0)+F41+ROW()/100000,""))</f>
        <v/>
      </c>
      <c r="J41" s="12" t="str">
        <f aca="false">IF(I41="","",COUNTIF($I$4:$I$503,"&lt;"&amp;I41)+1)</f>
        <v/>
      </c>
    </row>
    <row r="42" customFormat="false" ht="15" hidden="false" customHeight="false" outlineLevel="0" collapsed="false">
      <c r="F42" s="12" t="str">
        <f aca="false">IF(A42="","",IFERROR(MATCH(B42,Lists!$A$2:$A$15,0),99))</f>
        <v/>
      </c>
      <c r="G42" s="12" t="str">
        <f aca="false">IF(A42="","",SUMIFS(Ingredients!$G:$G,Ingredients!$C:$C,A42))</f>
        <v/>
      </c>
      <c r="H42" s="12" t="str">
        <f aca="false">IF(A42="","",SUMIFS(Ingredients!$H:$H,Ingredients!$C:$C,A42))</f>
        <v/>
      </c>
      <c r="I42" s="12" t="str">
        <f aca="false">IF(A42="","",IF(G42&gt;0,IF(D42="Yes",100,0)+F42+ROW()/100000,""))</f>
        <v/>
      </c>
      <c r="J42" s="12" t="str">
        <f aca="false">IF(I42="","",COUNTIF($I$4:$I$503,"&lt;"&amp;I42)+1)</f>
        <v/>
      </c>
    </row>
    <row r="43" customFormat="false" ht="15" hidden="false" customHeight="false" outlineLevel="0" collapsed="false">
      <c r="F43" s="12" t="str">
        <f aca="false">IF(A43="","",IFERROR(MATCH(B43,Lists!$A$2:$A$15,0),99))</f>
        <v/>
      </c>
      <c r="G43" s="12" t="str">
        <f aca="false">IF(A43="","",SUMIFS(Ingredients!$G:$G,Ingredients!$C:$C,A43))</f>
        <v/>
      </c>
      <c r="H43" s="12" t="str">
        <f aca="false">IF(A43="","",SUMIFS(Ingredients!$H:$H,Ingredients!$C:$C,A43))</f>
        <v/>
      </c>
      <c r="I43" s="12" t="str">
        <f aca="false">IF(A43="","",IF(G43&gt;0,IF(D43="Yes",100,0)+F43+ROW()/100000,""))</f>
        <v/>
      </c>
      <c r="J43" s="12" t="str">
        <f aca="false">IF(I43="","",COUNTIF($I$4:$I$503,"&lt;"&amp;I43)+1)</f>
        <v/>
      </c>
    </row>
    <row r="44" customFormat="false" ht="15" hidden="false" customHeight="false" outlineLevel="0" collapsed="false">
      <c r="F44" s="12" t="str">
        <f aca="false">IF(A44="","",IFERROR(MATCH(B44,Lists!$A$2:$A$15,0),99))</f>
        <v/>
      </c>
      <c r="G44" s="12" t="str">
        <f aca="false">IF(A44="","",SUMIFS(Ingredients!$G:$G,Ingredients!$C:$C,A44))</f>
        <v/>
      </c>
      <c r="H44" s="12" t="str">
        <f aca="false">IF(A44="","",SUMIFS(Ingredients!$H:$H,Ingredients!$C:$C,A44))</f>
        <v/>
      </c>
      <c r="I44" s="12" t="str">
        <f aca="false">IF(A44="","",IF(G44&gt;0,IF(D44="Yes",100,0)+F44+ROW()/100000,""))</f>
        <v/>
      </c>
      <c r="J44" s="12" t="str">
        <f aca="false">IF(I44="","",COUNTIF($I$4:$I$503,"&lt;"&amp;I44)+1)</f>
        <v/>
      </c>
    </row>
    <row r="45" customFormat="false" ht="15" hidden="false" customHeight="false" outlineLevel="0" collapsed="false">
      <c r="F45" s="12" t="str">
        <f aca="false">IF(A45="","",IFERROR(MATCH(B45,Lists!$A$2:$A$15,0),99))</f>
        <v/>
      </c>
      <c r="G45" s="12" t="str">
        <f aca="false">IF(A45="","",SUMIFS(Ingredients!$G:$G,Ingredients!$C:$C,A45))</f>
        <v/>
      </c>
      <c r="H45" s="12" t="str">
        <f aca="false">IF(A45="","",SUMIFS(Ingredients!$H:$H,Ingredients!$C:$C,A45))</f>
        <v/>
      </c>
      <c r="I45" s="12" t="str">
        <f aca="false">IF(A45="","",IF(G45&gt;0,IF(D45="Yes",100,0)+F45+ROW()/100000,""))</f>
        <v/>
      </c>
      <c r="J45" s="12" t="str">
        <f aca="false">IF(I45="","",COUNTIF($I$4:$I$503,"&lt;"&amp;I45)+1)</f>
        <v/>
      </c>
    </row>
    <row r="46" customFormat="false" ht="15" hidden="false" customHeight="false" outlineLevel="0" collapsed="false">
      <c r="F46" s="12" t="str">
        <f aca="false">IF(A46="","",IFERROR(MATCH(B46,Lists!$A$2:$A$15,0),99))</f>
        <v/>
      </c>
      <c r="G46" s="12" t="str">
        <f aca="false">IF(A46="","",SUMIFS(Ingredients!$G:$G,Ingredients!$C:$C,A46))</f>
        <v/>
      </c>
      <c r="H46" s="12" t="str">
        <f aca="false">IF(A46="","",SUMIFS(Ingredients!$H:$H,Ingredients!$C:$C,A46))</f>
        <v/>
      </c>
      <c r="I46" s="12" t="str">
        <f aca="false">IF(A46="","",IF(G46&gt;0,IF(D46="Yes",100,0)+F46+ROW()/100000,""))</f>
        <v/>
      </c>
      <c r="J46" s="12" t="str">
        <f aca="false">IF(I46="","",COUNTIF($I$4:$I$503,"&lt;"&amp;I46)+1)</f>
        <v/>
      </c>
    </row>
    <row r="47" customFormat="false" ht="15" hidden="false" customHeight="false" outlineLevel="0" collapsed="false">
      <c r="F47" s="12" t="str">
        <f aca="false">IF(A47="","",IFERROR(MATCH(B47,Lists!$A$2:$A$15,0),99))</f>
        <v/>
      </c>
      <c r="G47" s="12" t="str">
        <f aca="false">IF(A47="","",SUMIFS(Ingredients!$G:$G,Ingredients!$C:$C,A47))</f>
        <v/>
      </c>
      <c r="H47" s="12" t="str">
        <f aca="false">IF(A47="","",SUMIFS(Ingredients!$H:$H,Ingredients!$C:$C,A47))</f>
        <v/>
      </c>
      <c r="I47" s="12" t="str">
        <f aca="false">IF(A47="","",IF(G47&gt;0,IF(D47="Yes",100,0)+F47+ROW()/100000,""))</f>
        <v/>
      </c>
      <c r="J47" s="12" t="str">
        <f aca="false">IF(I47="","",COUNTIF($I$4:$I$503,"&lt;"&amp;I47)+1)</f>
        <v/>
      </c>
    </row>
    <row r="48" customFormat="false" ht="15" hidden="false" customHeight="false" outlineLevel="0" collapsed="false">
      <c r="F48" s="12" t="str">
        <f aca="false">IF(A48="","",IFERROR(MATCH(B48,Lists!$A$2:$A$15,0),99))</f>
        <v/>
      </c>
      <c r="G48" s="12" t="str">
        <f aca="false">IF(A48="","",SUMIFS(Ingredients!$G:$G,Ingredients!$C:$C,A48))</f>
        <v/>
      </c>
      <c r="H48" s="12" t="str">
        <f aca="false">IF(A48="","",SUMIFS(Ingredients!$H:$H,Ingredients!$C:$C,A48))</f>
        <v/>
      </c>
      <c r="I48" s="12" t="str">
        <f aca="false">IF(A48="","",IF(G48&gt;0,IF(D48="Yes",100,0)+F48+ROW()/100000,""))</f>
        <v/>
      </c>
      <c r="J48" s="12" t="str">
        <f aca="false">IF(I48="","",COUNTIF($I$4:$I$503,"&lt;"&amp;I48)+1)</f>
        <v/>
      </c>
    </row>
    <row r="49" customFormat="false" ht="15" hidden="false" customHeight="false" outlineLevel="0" collapsed="false">
      <c r="F49" s="12" t="str">
        <f aca="false">IF(A49="","",IFERROR(MATCH(B49,Lists!$A$2:$A$15,0),99))</f>
        <v/>
      </c>
      <c r="G49" s="12" t="str">
        <f aca="false">IF(A49="","",SUMIFS(Ingredients!$G:$G,Ingredients!$C:$C,A49))</f>
        <v/>
      </c>
      <c r="H49" s="12" t="str">
        <f aca="false">IF(A49="","",SUMIFS(Ingredients!$H:$H,Ingredients!$C:$C,A49))</f>
        <v/>
      </c>
      <c r="I49" s="12" t="str">
        <f aca="false">IF(A49="","",IF(G49&gt;0,IF(D49="Yes",100,0)+F49+ROW()/100000,""))</f>
        <v/>
      </c>
      <c r="J49" s="12" t="str">
        <f aca="false">IF(I49="","",COUNTIF($I$4:$I$503,"&lt;"&amp;I49)+1)</f>
        <v/>
      </c>
    </row>
    <row r="50" customFormat="false" ht="15" hidden="false" customHeight="false" outlineLevel="0" collapsed="false">
      <c r="F50" s="12" t="str">
        <f aca="false">IF(A50="","",IFERROR(MATCH(B50,Lists!$A$2:$A$15,0),99))</f>
        <v/>
      </c>
      <c r="G50" s="12" t="str">
        <f aca="false">IF(A50="","",SUMIFS(Ingredients!$G:$G,Ingredients!$C:$C,A50))</f>
        <v/>
      </c>
      <c r="H50" s="12" t="str">
        <f aca="false">IF(A50="","",SUMIFS(Ingredients!$H:$H,Ingredients!$C:$C,A50))</f>
        <v/>
      </c>
      <c r="I50" s="12" t="str">
        <f aca="false">IF(A50="","",IF(G50&gt;0,IF(D50="Yes",100,0)+F50+ROW()/100000,""))</f>
        <v/>
      </c>
      <c r="J50" s="12" t="str">
        <f aca="false">IF(I50="","",COUNTIF($I$4:$I$503,"&lt;"&amp;I50)+1)</f>
        <v/>
      </c>
    </row>
    <row r="51" customFormat="false" ht="15" hidden="false" customHeight="false" outlineLevel="0" collapsed="false">
      <c r="F51" s="12" t="str">
        <f aca="false">IF(A51="","",IFERROR(MATCH(B51,Lists!$A$2:$A$15,0),99))</f>
        <v/>
      </c>
      <c r="G51" s="12" t="str">
        <f aca="false">IF(A51="","",SUMIFS(Ingredients!$G:$G,Ingredients!$C:$C,A51))</f>
        <v/>
      </c>
      <c r="H51" s="12" t="str">
        <f aca="false">IF(A51="","",SUMIFS(Ingredients!$H:$H,Ingredients!$C:$C,A51))</f>
        <v/>
      </c>
      <c r="I51" s="12" t="str">
        <f aca="false">IF(A51="","",IF(G51&gt;0,IF(D51="Yes",100,0)+F51+ROW()/100000,""))</f>
        <v/>
      </c>
      <c r="J51" s="12" t="str">
        <f aca="false">IF(I51="","",COUNTIF($I$4:$I$503,"&lt;"&amp;I51)+1)</f>
        <v/>
      </c>
    </row>
    <row r="52" customFormat="false" ht="15" hidden="false" customHeight="false" outlineLevel="0" collapsed="false">
      <c r="F52" s="12" t="str">
        <f aca="false">IF(A52="","",IFERROR(MATCH(B52,Lists!$A$2:$A$15,0),99))</f>
        <v/>
      </c>
      <c r="G52" s="12" t="str">
        <f aca="false">IF(A52="","",SUMIFS(Ingredients!$G:$G,Ingredients!$C:$C,A52))</f>
        <v/>
      </c>
      <c r="H52" s="12" t="str">
        <f aca="false">IF(A52="","",SUMIFS(Ingredients!$H:$H,Ingredients!$C:$C,A52))</f>
        <v/>
      </c>
      <c r="I52" s="12" t="str">
        <f aca="false">IF(A52="","",IF(G52&gt;0,IF(D52="Yes",100,0)+F52+ROW()/100000,""))</f>
        <v/>
      </c>
      <c r="J52" s="12" t="str">
        <f aca="false">IF(I52="","",COUNTIF($I$4:$I$503,"&lt;"&amp;I52)+1)</f>
        <v/>
      </c>
    </row>
    <row r="53" customFormat="false" ht="15" hidden="false" customHeight="false" outlineLevel="0" collapsed="false">
      <c r="F53" s="12" t="str">
        <f aca="false">IF(A53="","",IFERROR(MATCH(B53,Lists!$A$2:$A$15,0),99))</f>
        <v/>
      </c>
      <c r="G53" s="12" t="str">
        <f aca="false">IF(A53="","",SUMIFS(Ingredients!$G:$G,Ingredients!$C:$C,A53))</f>
        <v/>
      </c>
      <c r="H53" s="12" t="str">
        <f aca="false">IF(A53="","",SUMIFS(Ingredients!$H:$H,Ingredients!$C:$C,A53))</f>
        <v/>
      </c>
      <c r="I53" s="12" t="str">
        <f aca="false">IF(A53="","",IF(G53&gt;0,IF(D53="Yes",100,0)+F53+ROW()/100000,""))</f>
        <v/>
      </c>
      <c r="J53" s="12" t="str">
        <f aca="false">IF(I53="","",COUNTIF($I$4:$I$503,"&lt;"&amp;I53)+1)</f>
        <v/>
      </c>
    </row>
    <row r="54" customFormat="false" ht="15" hidden="false" customHeight="false" outlineLevel="0" collapsed="false">
      <c r="F54" s="12" t="str">
        <f aca="false">IF(A54="","",IFERROR(MATCH(B54,Lists!$A$2:$A$15,0),99))</f>
        <v/>
      </c>
      <c r="G54" s="12" t="str">
        <f aca="false">IF(A54="","",SUMIFS(Ingredients!$G:$G,Ingredients!$C:$C,A54))</f>
        <v/>
      </c>
      <c r="H54" s="12" t="str">
        <f aca="false">IF(A54="","",SUMIFS(Ingredients!$H:$H,Ingredients!$C:$C,A54))</f>
        <v/>
      </c>
      <c r="I54" s="12" t="str">
        <f aca="false">IF(A54="","",IF(G54&gt;0,IF(D54="Yes",100,0)+F54+ROW()/100000,""))</f>
        <v/>
      </c>
      <c r="J54" s="12" t="str">
        <f aca="false">IF(I54="","",COUNTIF($I$4:$I$503,"&lt;"&amp;I54)+1)</f>
        <v/>
      </c>
    </row>
    <row r="55" customFormat="false" ht="15" hidden="false" customHeight="false" outlineLevel="0" collapsed="false">
      <c r="F55" s="12" t="str">
        <f aca="false">IF(A55="","",IFERROR(MATCH(B55,Lists!$A$2:$A$15,0),99))</f>
        <v/>
      </c>
      <c r="G55" s="12" t="str">
        <f aca="false">IF(A55="","",SUMIFS(Ingredients!$G:$G,Ingredients!$C:$C,A55))</f>
        <v/>
      </c>
      <c r="H55" s="12" t="str">
        <f aca="false">IF(A55="","",SUMIFS(Ingredients!$H:$H,Ingredients!$C:$C,A55))</f>
        <v/>
      </c>
      <c r="I55" s="12" t="str">
        <f aca="false">IF(A55="","",IF(G55&gt;0,IF(D55="Yes",100,0)+F55+ROW()/100000,""))</f>
        <v/>
      </c>
      <c r="J55" s="12" t="str">
        <f aca="false">IF(I55="","",COUNTIF($I$4:$I$503,"&lt;"&amp;I55)+1)</f>
        <v/>
      </c>
    </row>
    <row r="56" customFormat="false" ht="15" hidden="false" customHeight="false" outlineLevel="0" collapsed="false">
      <c r="F56" s="12" t="str">
        <f aca="false">IF(A56="","",IFERROR(MATCH(B56,Lists!$A$2:$A$15,0),99))</f>
        <v/>
      </c>
      <c r="G56" s="12" t="str">
        <f aca="false">IF(A56="","",SUMIFS(Ingredients!$G:$G,Ingredients!$C:$C,A56))</f>
        <v/>
      </c>
      <c r="H56" s="12" t="str">
        <f aca="false">IF(A56="","",SUMIFS(Ingredients!$H:$H,Ingredients!$C:$C,A56))</f>
        <v/>
      </c>
      <c r="I56" s="12" t="str">
        <f aca="false">IF(A56="","",IF(G56&gt;0,IF(D56="Yes",100,0)+F56+ROW()/100000,""))</f>
        <v/>
      </c>
      <c r="J56" s="12" t="str">
        <f aca="false">IF(I56="","",COUNTIF($I$4:$I$503,"&lt;"&amp;I56)+1)</f>
        <v/>
      </c>
    </row>
    <row r="57" customFormat="false" ht="15" hidden="false" customHeight="false" outlineLevel="0" collapsed="false">
      <c r="F57" s="12" t="str">
        <f aca="false">IF(A57="","",IFERROR(MATCH(B57,Lists!$A$2:$A$15,0),99))</f>
        <v/>
      </c>
      <c r="G57" s="12" t="str">
        <f aca="false">IF(A57="","",SUMIFS(Ingredients!$G:$G,Ingredients!$C:$C,A57))</f>
        <v/>
      </c>
      <c r="H57" s="12" t="str">
        <f aca="false">IF(A57="","",SUMIFS(Ingredients!$H:$H,Ingredients!$C:$C,A57))</f>
        <v/>
      </c>
      <c r="I57" s="12" t="str">
        <f aca="false">IF(A57="","",IF(G57&gt;0,IF(D57="Yes",100,0)+F57+ROW()/100000,""))</f>
        <v/>
      </c>
      <c r="J57" s="12" t="str">
        <f aca="false">IF(I57="","",COUNTIF($I$4:$I$503,"&lt;"&amp;I57)+1)</f>
        <v/>
      </c>
    </row>
    <row r="58" customFormat="false" ht="15" hidden="false" customHeight="false" outlineLevel="0" collapsed="false">
      <c r="F58" s="12" t="str">
        <f aca="false">IF(A58="","",IFERROR(MATCH(B58,Lists!$A$2:$A$15,0),99))</f>
        <v/>
      </c>
      <c r="G58" s="12" t="str">
        <f aca="false">IF(A58="","",SUMIFS(Ingredients!$G:$G,Ingredients!$C:$C,A58))</f>
        <v/>
      </c>
      <c r="H58" s="12" t="str">
        <f aca="false">IF(A58="","",SUMIFS(Ingredients!$H:$H,Ingredients!$C:$C,A58))</f>
        <v/>
      </c>
      <c r="I58" s="12" t="str">
        <f aca="false">IF(A58="","",IF(G58&gt;0,IF(D58="Yes",100,0)+F58+ROW()/100000,""))</f>
        <v/>
      </c>
      <c r="J58" s="12" t="str">
        <f aca="false">IF(I58="","",COUNTIF($I$4:$I$503,"&lt;"&amp;I58)+1)</f>
        <v/>
      </c>
    </row>
    <row r="59" customFormat="false" ht="15" hidden="false" customHeight="false" outlineLevel="0" collapsed="false">
      <c r="F59" s="12" t="str">
        <f aca="false">IF(A59="","",IFERROR(MATCH(B59,Lists!$A$2:$A$15,0),99))</f>
        <v/>
      </c>
      <c r="G59" s="12" t="str">
        <f aca="false">IF(A59="","",SUMIFS(Ingredients!$G:$G,Ingredients!$C:$C,A59))</f>
        <v/>
      </c>
      <c r="H59" s="12" t="str">
        <f aca="false">IF(A59="","",SUMIFS(Ingredients!$H:$H,Ingredients!$C:$C,A59))</f>
        <v/>
      </c>
      <c r="I59" s="12" t="str">
        <f aca="false">IF(A59="","",IF(G59&gt;0,IF(D59="Yes",100,0)+F59+ROW()/100000,""))</f>
        <v/>
      </c>
      <c r="J59" s="12" t="str">
        <f aca="false">IF(I59="","",COUNTIF($I$4:$I$503,"&lt;"&amp;I59)+1)</f>
        <v/>
      </c>
    </row>
    <row r="60" customFormat="false" ht="15" hidden="false" customHeight="false" outlineLevel="0" collapsed="false">
      <c r="F60" s="12" t="str">
        <f aca="false">IF(A60="","",IFERROR(MATCH(B60,Lists!$A$2:$A$15,0),99))</f>
        <v/>
      </c>
      <c r="G60" s="12" t="str">
        <f aca="false">IF(A60="","",SUMIFS(Ingredients!$G:$G,Ingredients!$C:$C,A60))</f>
        <v/>
      </c>
      <c r="H60" s="12" t="str">
        <f aca="false">IF(A60="","",SUMIFS(Ingredients!$H:$H,Ingredients!$C:$C,A60))</f>
        <v/>
      </c>
      <c r="I60" s="12" t="str">
        <f aca="false">IF(A60="","",IF(G60&gt;0,IF(D60="Yes",100,0)+F60+ROW()/100000,""))</f>
        <v/>
      </c>
      <c r="J60" s="12" t="str">
        <f aca="false">IF(I60="","",COUNTIF($I$4:$I$503,"&lt;"&amp;I60)+1)</f>
        <v/>
      </c>
    </row>
    <row r="61" customFormat="false" ht="15" hidden="false" customHeight="false" outlineLevel="0" collapsed="false">
      <c r="F61" s="12" t="str">
        <f aca="false">IF(A61="","",IFERROR(MATCH(B61,Lists!$A$2:$A$15,0),99))</f>
        <v/>
      </c>
      <c r="G61" s="12" t="str">
        <f aca="false">IF(A61="","",SUMIFS(Ingredients!$G:$G,Ingredients!$C:$C,A61))</f>
        <v/>
      </c>
      <c r="H61" s="12" t="str">
        <f aca="false">IF(A61="","",SUMIFS(Ingredients!$H:$H,Ingredients!$C:$C,A61))</f>
        <v/>
      </c>
      <c r="I61" s="12" t="str">
        <f aca="false">IF(A61="","",IF(G61&gt;0,IF(D61="Yes",100,0)+F61+ROW()/100000,""))</f>
        <v/>
      </c>
      <c r="J61" s="12" t="str">
        <f aca="false">IF(I61="","",COUNTIF($I$4:$I$503,"&lt;"&amp;I61)+1)</f>
        <v/>
      </c>
    </row>
    <row r="62" customFormat="false" ht="15" hidden="false" customHeight="false" outlineLevel="0" collapsed="false">
      <c r="F62" s="12" t="str">
        <f aca="false">IF(A62="","",IFERROR(MATCH(B62,Lists!$A$2:$A$15,0),99))</f>
        <v/>
      </c>
      <c r="G62" s="12" t="str">
        <f aca="false">IF(A62="","",SUMIFS(Ingredients!$G:$G,Ingredients!$C:$C,A62))</f>
        <v/>
      </c>
      <c r="H62" s="12" t="str">
        <f aca="false">IF(A62="","",SUMIFS(Ingredients!$H:$H,Ingredients!$C:$C,A62))</f>
        <v/>
      </c>
      <c r="I62" s="12" t="str">
        <f aca="false">IF(A62="","",IF(G62&gt;0,IF(D62="Yes",100,0)+F62+ROW()/100000,""))</f>
        <v/>
      </c>
      <c r="J62" s="12" t="str">
        <f aca="false">IF(I62="","",COUNTIF($I$4:$I$503,"&lt;"&amp;I62)+1)</f>
        <v/>
      </c>
    </row>
    <row r="63" customFormat="false" ht="15" hidden="false" customHeight="false" outlineLevel="0" collapsed="false">
      <c r="F63" s="12" t="str">
        <f aca="false">IF(A63="","",IFERROR(MATCH(B63,Lists!$A$2:$A$15,0),99))</f>
        <v/>
      </c>
      <c r="G63" s="12" t="str">
        <f aca="false">IF(A63="","",SUMIFS(Ingredients!$G:$G,Ingredients!$C:$C,A63))</f>
        <v/>
      </c>
      <c r="H63" s="12" t="str">
        <f aca="false">IF(A63="","",SUMIFS(Ingredients!$H:$H,Ingredients!$C:$C,A63))</f>
        <v/>
      </c>
      <c r="I63" s="12" t="str">
        <f aca="false">IF(A63="","",IF(G63&gt;0,IF(D63="Yes",100,0)+F63+ROW()/100000,""))</f>
        <v/>
      </c>
      <c r="J63" s="12" t="str">
        <f aca="false">IF(I63="","",COUNTIF($I$4:$I$503,"&lt;"&amp;I63)+1)</f>
        <v/>
      </c>
    </row>
    <row r="64" customFormat="false" ht="15" hidden="false" customHeight="false" outlineLevel="0" collapsed="false">
      <c r="F64" s="12" t="str">
        <f aca="false">IF(A64="","",IFERROR(MATCH(B64,Lists!$A$2:$A$15,0),99))</f>
        <v/>
      </c>
      <c r="G64" s="12" t="str">
        <f aca="false">IF(A64="","",SUMIFS(Ingredients!$G:$G,Ingredients!$C:$C,A64))</f>
        <v/>
      </c>
      <c r="H64" s="12" t="str">
        <f aca="false">IF(A64="","",SUMIFS(Ingredients!$H:$H,Ingredients!$C:$C,A64))</f>
        <v/>
      </c>
      <c r="I64" s="12" t="str">
        <f aca="false">IF(A64="","",IF(G64&gt;0,IF(D64="Yes",100,0)+F64+ROW()/100000,""))</f>
        <v/>
      </c>
      <c r="J64" s="12" t="str">
        <f aca="false">IF(I64="","",COUNTIF($I$4:$I$503,"&lt;"&amp;I64)+1)</f>
        <v/>
      </c>
    </row>
    <row r="65" customFormat="false" ht="15" hidden="false" customHeight="false" outlineLevel="0" collapsed="false">
      <c r="F65" s="12" t="str">
        <f aca="false">IF(A65="","",IFERROR(MATCH(B65,Lists!$A$2:$A$15,0),99))</f>
        <v/>
      </c>
      <c r="G65" s="12" t="str">
        <f aca="false">IF(A65="","",SUMIFS(Ingredients!$G:$G,Ingredients!$C:$C,A65))</f>
        <v/>
      </c>
      <c r="H65" s="12" t="str">
        <f aca="false">IF(A65="","",SUMIFS(Ingredients!$H:$H,Ingredients!$C:$C,A65))</f>
        <v/>
      </c>
      <c r="I65" s="12" t="str">
        <f aca="false">IF(A65="","",IF(G65&gt;0,IF(D65="Yes",100,0)+F65+ROW()/100000,""))</f>
        <v/>
      </c>
      <c r="J65" s="12" t="str">
        <f aca="false">IF(I65="","",COUNTIF($I$4:$I$503,"&lt;"&amp;I65)+1)</f>
        <v/>
      </c>
    </row>
    <row r="66" customFormat="false" ht="15" hidden="false" customHeight="false" outlineLevel="0" collapsed="false">
      <c r="F66" s="12" t="str">
        <f aca="false">IF(A66="","",IFERROR(MATCH(B66,Lists!$A$2:$A$15,0),99))</f>
        <v/>
      </c>
      <c r="G66" s="12" t="str">
        <f aca="false">IF(A66="","",SUMIFS(Ingredients!$G:$G,Ingredients!$C:$C,A66))</f>
        <v/>
      </c>
      <c r="H66" s="12" t="str">
        <f aca="false">IF(A66="","",SUMIFS(Ingredients!$H:$H,Ingredients!$C:$C,A66))</f>
        <v/>
      </c>
      <c r="I66" s="12" t="str">
        <f aca="false">IF(A66="","",IF(G66&gt;0,IF(D66="Yes",100,0)+F66+ROW()/100000,""))</f>
        <v/>
      </c>
      <c r="J66" s="12" t="str">
        <f aca="false">IF(I66="","",COUNTIF($I$4:$I$503,"&lt;"&amp;I66)+1)</f>
        <v/>
      </c>
    </row>
    <row r="67" customFormat="false" ht="15" hidden="false" customHeight="false" outlineLevel="0" collapsed="false">
      <c r="F67" s="12" t="str">
        <f aca="false">IF(A67="","",IFERROR(MATCH(B67,Lists!$A$2:$A$15,0),99))</f>
        <v/>
      </c>
      <c r="G67" s="12" t="str">
        <f aca="false">IF(A67="","",SUMIFS(Ingredients!$G:$G,Ingredients!$C:$C,A67))</f>
        <v/>
      </c>
      <c r="H67" s="12" t="str">
        <f aca="false">IF(A67="","",SUMIFS(Ingredients!$H:$H,Ingredients!$C:$C,A67))</f>
        <v/>
      </c>
      <c r="I67" s="12" t="str">
        <f aca="false">IF(A67="","",IF(G67&gt;0,IF(D67="Yes",100,0)+F67+ROW()/100000,""))</f>
        <v/>
      </c>
      <c r="J67" s="12" t="str">
        <f aca="false">IF(I67="","",COUNTIF($I$4:$I$503,"&lt;"&amp;I67)+1)</f>
        <v/>
      </c>
    </row>
    <row r="68" customFormat="false" ht="15" hidden="false" customHeight="false" outlineLevel="0" collapsed="false">
      <c r="F68" s="12" t="str">
        <f aca="false">IF(A68="","",IFERROR(MATCH(B68,Lists!$A$2:$A$15,0),99))</f>
        <v/>
      </c>
      <c r="G68" s="12" t="str">
        <f aca="false">IF(A68="","",SUMIFS(Ingredients!$G:$G,Ingredients!$C:$C,A68))</f>
        <v/>
      </c>
      <c r="H68" s="12" t="str">
        <f aca="false">IF(A68="","",SUMIFS(Ingredients!$H:$H,Ingredients!$C:$C,A68))</f>
        <v/>
      </c>
      <c r="I68" s="12" t="str">
        <f aca="false">IF(A68="","",IF(G68&gt;0,IF(D68="Yes",100,0)+F68+ROW()/100000,""))</f>
        <v/>
      </c>
      <c r="J68" s="12" t="str">
        <f aca="false">IF(I68="","",COUNTIF($I$4:$I$503,"&lt;"&amp;I68)+1)</f>
        <v/>
      </c>
    </row>
    <row r="69" customFormat="false" ht="15" hidden="false" customHeight="false" outlineLevel="0" collapsed="false">
      <c r="F69" s="12" t="str">
        <f aca="false">IF(A69="","",IFERROR(MATCH(B69,Lists!$A$2:$A$15,0),99))</f>
        <v/>
      </c>
      <c r="G69" s="12" t="str">
        <f aca="false">IF(A69="","",SUMIFS(Ingredients!$G:$G,Ingredients!$C:$C,A69))</f>
        <v/>
      </c>
      <c r="H69" s="12" t="str">
        <f aca="false">IF(A69="","",SUMIFS(Ingredients!$H:$H,Ingredients!$C:$C,A69))</f>
        <v/>
      </c>
      <c r="I69" s="12" t="str">
        <f aca="false">IF(A69="","",IF(G69&gt;0,IF(D69="Yes",100,0)+F69+ROW()/100000,""))</f>
        <v/>
      </c>
      <c r="J69" s="12" t="str">
        <f aca="false">IF(I69="","",COUNTIF($I$4:$I$503,"&lt;"&amp;I69)+1)</f>
        <v/>
      </c>
    </row>
    <row r="70" customFormat="false" ht="15" hidden="false" customHeight="false" outlineLevel="0" collapsed="false">
      <c r="F70" s="12" t="str">
        <f aca="false">IF(A70="","",IFERROR(MATCH(B70,Lists!$A$2:$A$15,0),99))</f>
        <v/>
      </c>
      <c r="G70" s="12" t="str">
        <f aca="false">IF(A70="","",SUMIFS(Ingredients!$G:$G,Ingredients!$C:$C,A70))</f>
        <v/>
      </c>
      <c r="H70" s="12" t="str">
        <f aca="false">IF(A70="","",SUMIFS(Ingredients!$H:$H,Ingredients!$C:$C,A70))</f>
        <v/>
      </c>
      <c r="I70" s="12" t="str">
        <f aca="false">IF(A70="","",IF(G70&gt;0,IF(D70="Yes",100,0)+F70+ROW()/100000,""))</f>
        <v/>
      </c>
      <c r="J70" s="12" t="str">
        <f aca="false">IF(I70="","",COUNTIF($I$4:$I$503,"&lt;"&amp;I70)+1)</f>
        <v/>
      </c>
    </row>
    <row r="71" customFormat="false" ht="15" hidden="false" customHeight="false" outlineLevel="0" collapsed="false">
      <c r="F71" s="12" t="str">
        <f aca="false">IF(A71="","",IFERROR(MATCH(B71,Lists!$A$2:$A$15,0),99))</f>
        <v/>
      </c>
      <c r="G71" s="12" t="str">
        <f aca="false">IF(A71="","",SUMIFS(Ingredients!$G:$G,Ingredients!$C:$C,A71))</f>
        <v/>
      </c>
      <c r="H71" s="12" t="str">
        <f aca="false">IF(A71="","",SUMIFS(Ingredients!$H:$H,Ingredients!$C:$C,A71))</f>
        <v/>
      </c>
      <c r="I71" s="12" t="str">
        <f aca="false">IF(A71="","",IF(G71&gt;0,IF(D71="Yes",100,0)+F71+ROW()/100000,""))</f>
        <v/>
      </c>
      <c r="J71" s="12" t="str">
        <f aca="false">IF(I71="","",COUNTIF($I$4:$I$503,"&lt;"&amp;I71)+1)</f>
        <v/>
      </c>
    </row>
    <row r="72" customFormat="false" ht="15" hidden="false" customHeight="false" outlineLevel="0" collapsed="false">
      <c r="F72" s="12" t="str">
        <f aca="false">IF(A72="","",IFERROR(MATCH(B72,Lists!$A$2:$A$15,0),99))</f>
        <v/>
      </c>
      <c r="G72" s="12" t="str">
        <f aca="false">IF(A72="","",SUMIFS(Ingredients!$G:$G,Ingredients!$C:$C,A72))</f>
        <v/>
      </c>
      <c r="H72" s="12" t="str">
        <f aca="false">IF(A72="","",SUMIFS(Ingredients!$H:$H,Ingredients!$C:$C,A72))</f>
        <v/>
      </c>
      <c r="I72" s="12" t="str">
        <f aca="false">IF(A72="","",IF(G72&gt;0,IF(D72="Yes",100,0)+F72+ROW()/100000,""))</f>
        <v/>
      </c>
      <c r="J72" s="12" t="str">
        <f aca="false">IF(I72="","",COUNTIF($I$4:$I$503,"&lt;"&amp;I72)+1)</f>
        <v/>
      </c>
    </row>
    <row r="73" customFormat="false" ht="15" hidden="false" customHeight="false" outlineLevel="0" collapsed="false">
      <c r="F73" s="12" t="str">
        <f aca="false">IF(A73="","",IFERROR(MATCH(B73,Lists!$A$2:$A$15,0),99))</f>
        <v/>
      </c>
      <c r="G73" s="12" t="str">
        <f aca="false">IF(A73="","",SUMIFS(Ingredients!$G:$G,Ingredients!$C:$C,A73))</f>
        <v/>
      </c>
      <c r="H73" s="12" t="str">
        <f aca="false">IF(A73="","",SUMIFS(Ingredients!$H:$H,Ingredients!$C:$C,A73))</f>
        <v/>
      </c>
      <c r="I73" s="12" t="str">
        <f aca="false">IF(A73="","",IF(G73&gt;0,IF(D73="Yes",100,0)+F73+ROW()/100000,""))</f>
        <v/>
      </c>
      <c r="J73" s="12" t="str">
        <f aca="false">IF(I73="","",COUNTIF($I$4:$I$503,"&lt;"&amp;I73)+1)</f>
        <v/>
      </c>
    </row>
    <row r="74" customFormat="false" ht="15" hidden="false" customHeight="false" outlineLevel="0" collapsed="false">
      <c r="F74" s="12" t="str">
        <f aca="false">IF(A74="","",IFERROR(MATCH(B74,Lists!$A$2:$A$15,0),99))</f>
        <v/>
      </c>
      <c r="G74" s="12" t="str">
        <f aca="false">IF(A74="","",SUMIFS(Ingredients!$G:$G,Ingredients!$C:$C,A74))</f>
        <v/>
      </c>
      <c r="H74" s="12" t="str">
        <f aca="false">IF(A74="","",SUMIFS(Ingredients!$H:$H,Ingredients!$C:$C,A74))</f>
        <v/>
      </c>
      <c r="I74" s="12" t="str">
        <f aca="false">IF(A74="","",IF(G74&gt;0,IF(D74="Yes",100,0)+F74+ROW()/100000,""))</f>
        <v/>
      </c>
      <c r="J74" s="12" t="str">
        <f aca="false">IF(I74="","",COUNTIF($I$4:$I$503,"&lt;"&amp;I74)+1)</f>
        <v/>
      </c>
    </row>
    <row r="75" customFormat="false" ht="15" hidden="false" customHeight="false" outlineLevel="0" collapsed="false">
      <c r="F75" s="12" t="str">
        <f aca="false">IF(A75="","",IFERROR(MATCH(B75,Lists!$A$2:$A$15,0),99))</f>
        <v/>
      </c>
      <c r="G75" s="12" t="str">
        <f aca="false">IF(A75="","",SUMIFS(Ingredients!$G:$G,Ingredients!$C:$C,A75))</f>
        <v/>
      </c>
      <c r="H75" s="12" t="str">
        <f aca="false">IF(A75="","",SUMIFS(Ingredients!$H:$H,Ingredients!$C:$C,A75))</f>
        <v/>
      </c>
      <c r="I75" s="12" t="str">
        <f aca="false">IF(A75="","",IF(G75&gt;0,IF(D75="Yes",100,0)+F75+ROW()/100000,""))</f>
        <v/>
      </c>
      <c r="J75" s="12" t="str">
        <f aca="false">IF(I75="","",COUNTIF($I$4:$I$503,"&lt;"&amp;I75)+1)</f>
        <v/>
      </c>
    </row>
    <row r="76" customFormat="false" ht="15" hidden="false" customHeight="false" outlineLevel="0" collapsed="false">
      <c r="F76" s="12" t="str">
        <f aca="false">IF(A76="","",IFERROR(MATCH(B76,Lists!$A$2:$A$15,0),99))</f>
        <v/>
      </c>
      <c r="G76" s="12" t="str">
        <f aca="false">IF(A76="","",SUMIFS(Ingredients!$G:$G,Ingredients!$C:$C,A76))</f>
        <v/>
      </c>
      <c r="H76" s="12" t="str">
        <f aca="false">IF(A76="","",SUMIFS(Ingredients!$H:$H,Ingredients!$C:$C,A76))</f>
        <v/>
      </c>
      <c r="I76" s="12" t="str">
        <f aca="false">IF(A76="","",IF(G76&gt;0,IF(D76="Yes",100,0)+F76+ROW()/100000,""))</f>
        <v/>
      </c>
      <c r="J76" s="12" t="str">
        <f aca="false">IF(I76="","",COUNTIF($I$4:$I$503,"&lt;"&amp;I76)+1)</f>
        <v/>
      </c>
    </row>
    <row r="77" customFormat="false" ht="15" hidden="false" customHeight="false" outlineLevel="0" collapsed="false">
      <c r="F77" s="12" t="str">
        <f aca="false">IF(A77="","",IFERROR(MATCH(B77,Lists!$A$2:$A$15,0),99))</f>
        <v/>
      </c>
      <c r="G77" s="12" t="str">
        <f aca="false">IF(A77="","",SUMIFS(Ingredients!$G:$G,Ingredients!$C:$C,A77))</f>
        <v/>
      </c>
      <c r="H77" s="12" t="str">
        <f aca="false">IF(A77="","",SUMIFS(Ingredients!$H:$H,Ingredients!$C:$C,A77))</f>
        <v/>
      </c>
      <c r="I77" s="12" t="str">
        <f aca="false">IF(A77="","",IF(G77&gt;0,IF(D77="Yes",100,0)+F77+ROW()/100000,""))</f>
        <v/>
      </c>
      <c r="J77" s="12" t="str">
        <f aca="false">IF(I77="","",COUNTIF($I$4:$I$503,"&lt;"&amp;I77)+1)</f>
        <v/>
      </c>
    </row>
    <row r="78" customFormat="false" ht="15" hidden="false" customHeight="false" outlineLevel="0" collapsed="false">
      <c r="F78" s="12" t="str">
        <f aca="false">IF(A78="","",IFERROR(MATCH(B78,Lists!$A$2:$A$15,0),99))</f>
        <v/>
      </c>
      <c r="G78" s="12" t="str">
        <f aca="false">IF(A78="","",SUMIFS(Ingredients!$G:$G,Ingredients!$C:$C,A78))</f>
        <v/>
      </c>
      <c r="H78" s="12" t="str">
        <f aca="false">IF(A78="","",SUMIFS(Ingredients!$H:$H,Ingredients!$C:$C,A78))</f>
        <v/>
      </c>
      <c r="I78" s="12" t="str">
        <f aca="false">IF(A78="","",IF(G78&gt;0,IF(D78="Yes",100,0)+F78+ROW()/100000,""))</f>
        <v/>
      </c>
      <c r="J78" s="12" t="str">
        <f aca="false">IF(I78="","",COUNTIF($I$4:$I$503,"&lt;"&amp;I78)+1)</f>
        <v/>
      </c>
    </row>
    <row r="79" customFormat="false" ht="15" hidden="false" customHeight="false" outlineLevel="0" collapsed="false">
      <c r="F79" s="12" t="str">
        <f aca="false">IF(A79="","",IFERROR(MATCH(B79,Lists!$A$2:$A$15,0),99))</f>
        <v/>
      </c>
      <c r="G79" s="12" t="str">
        <f aca="false">IF(A79="","",SUMIFS(Ingredients!$G:$G,Ingredients!$C:$C,A79))</f>
        <v/>
      </c>
      <c r="H79" s="12" t="str">
        <f aca="false">IF(A79="","",SUMIFS(Ingredients!$H:$H,Ingredients!$C:$C,A79))</f>
        <v/>
      </c>
      <c r="I79" s="12" t="str">
        <f aca="false">IF(A79="","",IF(G79&gt;0,IF(D79="Yes",100,0)+F79+ROW()/100000,""))</f>
        <v/>
      </c>
      <c r="J79" s="12" t="str">
        <f aca="false">IF(I79="","",COUNTIF($I$4:$I$503,"&lt;"&amp;I79)+1)</f>
        <v/>
      </c>
    </row>
    <row r="80" customFormat="false" ht="15" hidden="false" customHeight="false" outlineLevel="0" collapsed="false">
      <c r="F80" s="12" t="str">
        <f aca="false">IF(A80="","",IFERROR(MATCH(B80,Lists!$A$2:$A$15,0),99))</f>
        <v/>
      </c>
      <c r="G80" s="12" t="str">
        <f aca="false">IF(A80="","",SUMIFS(Ingredients!$G:$G,Ingredients!$C:$C,A80))</f>
        <v/>
      </c>
      <c r="H80" s="12" t="str">
        <f aca="false">IF(A80="","",SUMIFS(Ingredients!$H:$H,Ingredients!$C:$C,A80))</f>
        <v/>
      </c>
      <c r="I80" s="12" t="str">
        <f aca="false">IF(A80="","",IF(G80&gt;0,IF(D80="Yes",100,0)+F80+ROW()/100000,""))</f>
        <v/>
      </c>
      <c r="J80" s="12" t="str">
        <f aca="false">IF(I80="","",COUNTIF($I$4:$I$503,"&lt;"&amp;I80)+1)</f>
        <v/>
      </c>
    </row>
    <row r="81" customFormat="false" ht="15" hidden="false" customHeight="false" outlineLevel="0" collapsed="false">
      <c r="F81" s="12" t="str">
        <f aca="false">IF(A81="","",IFERROR(MATCH(B81,Lists!$A$2:$A$15,0),99))</f>
        <v/>
      </c>
      <c r="G81" s="12" t="str">
        <f aca="false">IF(A81="","",SUMIFS(Ingredients!$G:$G,Ingredients!$C:$C,A81))</f>
        <v/>
      </c>
      <c r="H81" s="12" t="str">
        <f aca="false">IF(A81="","",SUMIFS(Ingredients!$H:$H,Ingredients!$C:$C,A81))</f>
        <v/>
      </c>
      <c r="I81" s="12" t="str">
        <f aca="false">IF(A81="","",IF(G81&gt;0,IF(D81="Yes",100,0)+F81+ROW()/100000,""))</f>
        <v/>
      </c>
      <c r="J81" s="12" t="str">
        <f aca="false">IF(I81="","",COUNTIF($I$4:$I$503,"&lt;"&amp;I81)+1)</f>
        <v/>
      </c>
    </row>
    <row r="82" customFormat="false" ht="15" hidden="false" customHeight="false" outlineLevel="0" collapsed="false">
      <c r="F82" s="12" t="str">
        <f aca="false">IF(A82="","",IFERROR(MATCH(B82,Lists!$A$2:$A$15,0),99))</f>
        <v/>
      </c>
      <c r="G82" s="12" t="str">
        <f aca="false">IF(A82="","",SUMIFS(Ingredients!$G:$G,Ingredients!$C:$C,A82))</f>
        <v/>
      </c>
      <c r="H82" s="12" t="str">
        <f aca="false">IF(A82="","",SUMIFS(Ingredients!$H:$H,Ingredients!$C:$C,A82))</f>
        <v/>
      </c>
      <c r="I82" s="12" t="str">
        <f aca="false">IF(A82="","",IF(G82&gt;0,IF(D82="Yes",100,0)+F82+ROW()/100000,""))</f>
        <v/>
      </c>
      <c r="J82" s="12" t="str">
        <f aca="false">IF(I82="","",COUNTIF($I$4:$I$503,"&lt;"&amp;I82)+1)</f>
        <v/>
      </c>
    </row>
    <row r="83" customFormat="false" ht="15" hidden="false" customHeight="false" outlineLevel="0" collapsed="false">
      <c r="F83" s="12" t="str">
        <f aca="false">IF(A83="","",IFERROR(MATCH(B83,Lists!$A$2:$A$15,0),99))</f>
        <v/>
      </c>
      <c r="G83" s="12" t="str">
        <f aca="false">IF(A83="","",SUMIFS(Ingredients!$G:$G,Ingredients!$C:$C,A83))</f>
        <v/>
      </c>
      <c r="H83" s="12" t="str">
        <f aca="false">IF(A83="","",SUMIFS(Ingredients!$H:$H,Ingredients!$C:$C,A83))</f>
        <v/>
      </c>
      <c r="I83" s="12" t="str">
        <f aca="false">IF(A83="","",IF(G83&gt;0,IF(D83="Yes",100,0)+F83+ROW()/100000,""))</f>
        <v/>
      </c>
      <c r="J83" s="12" t="str">
        <f aca="false">IF(I83="","",COUNTIF($I$4:$I$503,"&lt;"&amp;I83)+1)</f>
        <v/>
      </c>
    </row>
    <row r="84" customFormat="false" ht="15" hidden="false" customHeight="false" outlineLevel="0" collapsed="false">
      <c r="F84" s="12" t="str">
        <f aca="false">IF(A84="","",IFERROR(MATCH(B84,Lists!$A$2:$A$15,0),99))</f>
        <v/>
      </c>
      <c r="G84" s="12" t="str">
        <f aca="false">IF(A84="","",SUMIFS(Ingredients!$G:$G,Ingredients!$C:$C,A84))</f>
        <v/>
      </c>
      <c r="H84" s="12" t="str">
        <f aca="false">IF(A84="","",SUMIFS(Ingredients!$H:$H,Ingredients!$C:$C,A84))</f>
        <v/>
      </c>
      <c r="I84" s="12" t="str">
        <f aca="false">IF(A84="","",IF(G84&gt;0,IF(D84="Yes",100,0)+F84+ROW()/100000,""))</f>
        <v/>
      </c>
      <c r="J84" s="12" t="str">
        <f aca="false">IF(I84="","",COUNTIF($I$4:$I$503,"&lt;"&amp;I84)+1)</f>
        <v/>
      </c>
    </row>
    <row r="85" customFormat="false" ht="15" hidden="false" customHeight="false" outlineLevel="0" collapsed="false">
      <c r="F85" s="12" t="str">
        <f aca="false">IF(A85="","",IFERROR(MATCH(B85,Lists!$A$2:$A$15,0),99))</f>
        <v/>
      </c>
      <c r="G85" s="12" t="str">
        <f aca="false">IF(A85="","",SUMIFS(Ingredients!$G:$G,Ingredients!$C:$C,A85))</f>
        <v/>
      </c>
      <c r="H85" s="12" t="str">
        <f aca="false">IF(A85="","",SUMIFS(Ingredients!$H:$H,Ingredients!$C:$C,A85))</f>
        <v/>
      </c>
      <c r="I85" s="12" t="str">
        <f aca="false">IF(A85="","",IF(G85&gt;0,IF(D85="Yes",100,0)+F85+ROW()/100000,""))</f>
        <v/>
      </c>
      <c r="J85" s="12" t="str">
        <f aca="false">IF(I85="","",COUNTIF($I$4:$I$503,"&lt;"&amp;I85)+1)</f>
        <v/>
      </c>
    </row>
    <row r="86" customFormat="false" ht="15" hidden="false" customHeight="false" outlineLevel="0" collapsed="false">
      <c r="F86" s="12" t="str">
        <f aca="false">IF(A86="","",IFERROR(MATCH(B86,Lists!$A$2:$A$15,0),99))</f>
        <v/>
      </c>
      <c r="G86" s="12" t="str">
        <f aca="false">IF(A86="","",SUMIFS(Ingredients!$G:$G,Ingredients!$C:$C,A86))</f>
        <v/>
      </c>
      <c r="H86" s="12" t="str">
        <f aca="false">IF(A86="","",SUMIFS(Ingredients!$H:$H,Ingredients!$C:$C,A86))</f>
        <v/>
      </c>
      <c r="I86" s="12" t="str">
        <f aca="false">IF(A86="","",IF(G86&gt;0,IF(D86="Yes",100,0)+F86+ROW()/100000,""))</f>
        <v/>
      </c>
      <c r="J86" s="12" t="str">
        <f aca="false">IF(I86="","",COUNTIF($I$4:$I$503,"&lt;"&amp;I86)+1)</f>
        <v/>
      </c>
    </row>
    <row r="87" customFormat="false" ht="15" hidden="false" customHeight="false" outlineLevel="0" collapsed="false">
      <c r="F87" s="12" t="str">
        <f aca="false">IF(A87="","",IFERROR(MATCH(B87,Lists!$A$2:$A$15,0),99))</f>
        <v/>
      </c>
      <c r="G87" s="12" t="str">
        <f aca="false">IF(A87="","",SUMIFS(Ingredients!$G:$G,Ingredients!$C:$C,A87))</f>
        <v/>
      </c>
      <c r="H87" s="12" t="str">
        <f aca="false">IF(A87="","",SUMIFS(Ingredients!$H:$H,Ingredients!$C:$C,A87))</f>
        <v/>
      </c>
      <c r="I87" s="12" t="str">
        <f aca="false">IF(A87="","",IF(G87&gt;0,IF(D87="Yes",100,0)+F87+ROW()/100000,""))</f>
        <v/>
      </c>
      <c r="J87" s="12" t="str">
        <f aca="false">IF(I87="","",COUNTIF($I$4:$I$503,"&lt;"&amp;I87)+1)</f>
        <v/>
      </c>
    </row>
    <row r="88" customFormat="false" ht="15" hidden="false" customHeight="false" outlineLevel="0" collapsed="false">
      <c r="F88" s="12" t="str">
        <f aca="false">IF(A88="","",IFERROR(MATCH(B88,Lists!$A$2:$A$15,0),99))</f>
        <v/>
      </c>
      <c r="G88" s="12" t="str">
        <f aca="false">IF(A88="","",SUMIFS(Ingredients!$G:$G,Ingredients!$C:$C,A88))</f>
        <v/>
      </c>
      <c r="H88" s="12" t="str">
        <f aca="false">IF(A88="","",SUMIFS(Ingredients!$H:$H,Ingredients!$C:$C,A88))</f>
        <v/>
      </c>
      <c r="I88" s="12" t="str">
        <f aca="false">IF(A88="","",IF(G88&gt;0,IF(D88="Yes",100,0)+F88+ROW()/100000,""))</f>
        <v/>
      </c>
      <c r="J88" s="12" t="str">
        <f aca="false">IF(I88="","",COUNTIF($I$4:$I$503,"&lt;"&amp;I88)+1)</f>
        <v/>
      </c>
    </row>
    <row r="89" customFormat="false" ht="15" hidden="false" customHeight="false" outlineLevel="0" collapsed="false">
      <c r="F89" s="12" t="str">
        <f aca="false">IF(A89="","",IFERROR(MATCH(B89,Lists!$A$2:$A$15,0),99))</f>
        <v/>
      </c>
      <c r="G89" s="12" t="str">
        <f aca="false">IF(A89="","",SUMIFS(Ingredients!$G:$G,Ingredients!$C:$C,A89))</f>
        <v/>
      </c>
      <c r="H89" s="12" t="str">
        <f aca="false">IF(A89="","",SUMIFS(Ingredients!$H:$H,Ingredients!$C:$C,A89))</f>
        <v/>
      </c>
      <c r="I89" s="12" t="str">
        <f aca="false">IF(A89="","",IF(G89&gt;0,IF(D89="Yes",100,0)+F89+ROW()/100000,""))</f>
        <v/>
      </c>
      <c r="J89" s="12" t="str">
        <f aca="false">IF(I89="","",COUNTIF($I$4:$I$503,"&lt;"&amp;I89)+1)</f>
        <v/>
      </c>
    </row>
    <row r="90" customFormat="false" ht="15" hidden="false" customHeight="false" outlineLevel="0" collapsed="false">
      <c r="F90" s="12" t="str">
        <f aca="false">IF(A90="","",IFERROR(MATCH(B90,Lists!$A$2:$A$15,0),99))</f>
        <v/>
      </c>
      <c r="G90" s="12" t="str">
        <f aca="false">IF(A90="","",SUMIFS(Ingredients!$G:$G,Ingredients!$C:$C,A90))</f>
        <v/>
      </c>
      <c r="H90" s="12" t="str">
        <f aca="false">IF(A90="","",SUMIFS(Ingredients!$H:$H,Ingredients!$C:$C,A90))</f>
        <v/>
      </c>
      <c r="I90" s="12" t="str">
        <f aca="false">IF(A90="","",IF(G90&gt;0,IF(D90="Yes",100,0)+F90+ROW()/100000,""))</f>
        <v/>
      </c>
      <c r="J90" s="12" t="str">
        <f aca="false">IF(I90="","",COUNTIF($I$4:$I$503,"&lt;"&amp;I90)+1)</f>
        <v/>
      </c>
    </row>
    <row r="91" customFormat="false" ht="15" hidden="false" customHeight="false" outlineLevel="0" collapsed="false">
      <c r="F91" s="12" t="str">
        <f aca="false">IF(A91="","",IFERROR(MATCH(B91,Lists!$A$2:$A$15,0),99))</f>
        <v/>
      </c>
      <c r="G91" s="12" t="str">
        <f aca="false">IF(A91="","",SUMIFS(Ingredients!$G:$G,Ingredients!$C:$C,A91))</f>
        <v/>
      </c>
      <c r="H91" s="12" t="str">
        <f aca="false">IF(A91="","",SUMIFS(Ingredients!$H:$H,Ingredients!$C:$C,A91))</f>
        <v/>
      </c>
      <c r="I91" s="12" t="str">
        <f aca="false">IF(A91="","",IF(G91&gt;0,IF(D91="Yes",100,0)+F91+ROW()/100000,""))</f>
        <v/>
      </c>
      <c r="J91" s="12" t="str">
        <f aca="false">IF(I91="","",COUNTIF($I$4:$I$503,"&lt;"&amp;I91)+1)</f>
        <v/>
      </c>
    </row>
    <row r="92" customFormat="false" ht="15" hidden="false" customHeight="false" outlineLevel="0" collapsed="false">
      <c r="F92" s="12" t="str">
        <f aca="false">IF(A92="","",IFERROR(MATCH(B92,Lists!$A$2:$A$15,0),99))</f>
        <v/>
      </c>
      <c r="G92" s="12" t="str">
        <f aca="false">IF(A92="","",SUMIFS(Ingredients!$G:$G,Ingredients!$C:$C,A92))</f>
        <v/>
      </c>
      <c r="H92" s="12" t="str">
        <f aca="false">IF(A92="","",SUMIFS(Ingredients!$H:$H,Ingredients!$C:$C,A92))</f>
        <v/>
      </c>
      <c r="I92" s="12" t="str">
        <f aca="false">IF(A92="","",IF(G92&gt;0,IF(D92="Yes",100,0)+F92+ROW()/100000,""))</f>
        <v/>
      </c>
      <c r="J92" s="12" t="str">
        <f aca="false">IF(I92="","",COUNTIF($I$4:$I$503,"&lt;"&amp;I92)+1)</f>
        <v/>
      </c>
    </row>
    <row r="93" customFormat="false" ht="15" hidden="false" customHeight="false" outlineLevel="0" collapsed="false">
      <c r="F93" s="12" t="str">
        <f aca="false">IF(A93="","",IFERROR(MATCH(B93,Lists!$A$2:$A$15,0),99))</f>
        <v/>
      </c>
      <c r="G93" s="12" t="str">
        <f aca="false">IF(A93="","",SUMIFS(Ingredients!$G:$G,Ingredients!$C:$C,A93))</f>
        <v/>
      </c>
      <c r="H93" s="12" t="str">
        <f aca="false">IF(A93="","",SUMIFS(Ingredients!$H:$H,Ingredients!$C:$C,A93))</f>
        <v/>
      </c>
      <c r="I93" s="12" t="str">
        <f aca="false">IF(A93="","",IF(G93&gt;0,IF(D93="Yes",100,0)+F93+ROW()/100000,""))</f>
        <v/>
      </c>
      <c r="J93" s="12" t="str">
        <f aca="false">IF(I93="","",COUNTIF($I$4:$I$503,"&lt;"&amp;I93)+1)</f>
        <v/>
      </c>
    </row>
    <row r="94" customFormat="false" ht="15" hidden="false" customHeight="false" outlineLevel="0" collapsed="false">
      <c r="F94" s="12" t="str">
        <f aca="false">IF(A94="","",IFERROR(MATCH(B94,Lists!$A$2:$A$15,0),99))</f>
        <v/>
      </c>
      <c r="G94" s="12" t="str">
        <f aca="false">IF(A94="","",SUMIFS(Ingredients!$G:$G,Ingredients!$C:$C,A94))</f>
        <v/>
      </c>
      <c r="H94" s="12" t="str">
        <f aca="false">IF(A94="","",SUMIFS(Ingredients!$H:$H,Ingredients!$C:$C,A94))</f>
        <v/>
      </c>
      <c r="I94" s="12" t="str">
        <f aca="false">IF(A94="","",IF(G94&gt;0,IF(D94="Yes",100,0)+F94+ROW()/100000,""))</f>
        <v/>
      </c>
      <c r="J94" s="12" t="str">
        <f aca="false">IF(I94="","",COUNTIF($I$4:$I$503,"&lt;"&amp;I94)+1)</f>
        <v/>
      </c>
    </row>
    <row r="95" customFormat="false" ht="15" hidden="false" customHeight="false" outlineLevel="0" collapsed="false">
      <c r="F95" s="12" t="str">
        <f aca="false">IF(A95="","",IFERROR(MATCH(B95,Lists!$A$2:$A$15,0),99))</f>
        <v/>
      </c>
      <c r="G95" s="12" t="str">
        <f aca="false">IF(A95="","",SUMIFS(Ingredients!$G:$G,Ingredients!$C:$C,A95))</f>
        <v/>
      </c>
      <c r="H95" s="12" t="str">
        <f aca="false">IF(A95="","",SUMIFS(Ingredients!$H:$H,Ingredients!$C:$C,A95))</f>
        <v/>
      </c>
      <c r="I95" s="12" t="str">
        <f aca="false">IF(A95="","",IF(G95&gt;0,IF(D95="Yes",100,0)+F95+ROW()/100000,""))</f>
        <v/>
      </c>
      <c r="J95" s="12" t="str">
        <f aca="false">IF(I95="","",COUNTIF($I$4:$I$503,"&lt;"&amp;I95)+1)</f>
        <v/>
      </c>
    </row>
    <row r="96" customFormat="false" ht="15" hidden="false" customHeight="false" outlineLevel="0" collapsed="false">
      <c r="F96" s="12" t="str">
        <f aca="false">IF(A96="","",IFERROR(MATCH(B96,Lists!$A$2:$A$15,0),99))</f>
        <v/>
      </c>
      <c r="G96" s="12" t="str">
        <f aca="false">IF(A96="","",SUMIFS(Ingredients!$G:$G,Ingredients!$C:$C,A96))</f>
        <v/>
      </c>
      <c r="H96" s="12" t="str">
        <f aca="false">IF(A96="","",SUMIFS(Ingredients!$H:$H,Ingredients!$C:$C,A96))</f>
        <v/>
      </c>
      <c r="I96" s="12" t="str">
        <f aca="false">IF(A96="","",IF(G96&gt;0,IF(D96="Yes",100,0)+F96+ROW()/100000,""))</f>
        <v/>
      </c>
      <c r="J96" s="12" t="str">
        <f aca="false">IF(I96="","",COUNTIF($I$4:$I$503,"&lt;"&amp;I96)+1)</f>
        <v/>
      </c>
    </row>
    <row r="97" customFormat="false" ht="15" hidden="false" customHeight="false" outlineLevel="0" collapsed="false">
      <c r="F97" s="12" t="str">
        <f aca="false">IF(A97="","",IFERROR(MATCH(B97,Lists!$A$2:$A$15,0),99))</f>
        <v/>
      </c>
      <c r="G97" s="12" t="str">
        <f aca="false">IF(A97="","",SUMIFS(Ingredients!$G:$G,Ingredients!$C:$C,A97))</f>
        <v/>
      </c>
      <c r="H97" s="12" t="str">
        <f aca="false">IF(A97="","",SUMIFS(Ingredients!$H:$H,Ingredients!$C:$C,A97))</f>
        <v/>
      </c>
      <c r="I97" s="12" t="str">
        <f aca="false">IF(A97="","",IF(G97&gt;0,IF(D97="Yes",100,0)+F97+ROW()/100000,""))</f>
        <v/>
      </c>
      <c r="J97" s="12" t="str">
        <f aca="false">IF(I97="","",COUNTIF($I$4:$I$503,"&lt;"&amp;I97)+1)</f>
        <v/>
      </c>
    </row>
    <row r="98" customFormat="false" ht="15" hidden="false" customHeight="false" outlineLevel="0" collapsed="false">
      <c r="F98" s="12" t="str">
        <f aca="false">IF(A98="","",IFERROR(MATCH(B98,Lists!$A$2:$A$15,0),99))</f>
        <v/>
      </c>
      <c r="G98" s="12" t="str">
        <f aca="false">IF(A98="","",SUMIFS(Ingredients!$G:$G,Ingredients!$C:$C,A98))</f>
        <v/>
      </c>
      <c r="H98" s="12" t="str">
        <f aca="false">IF(A98="","",SUMIFS(Ingredients!$H:$H,Ingredients!$C:$C,A98))</f>
        <v/>
      </c>
      <c r="I98" s="12" t="str">
        <f aca="false">IF(A98="","",IF(G98&gt;0,IF(D98="Yes",100,0)+F98+ROW()/100000,""))</f>
        <v/>
      </c>
      <c r="J98" s="12" t="str">
        <f aca="false">IF(I98="","",COUNTIF($I$4:$I$503,"&lt;"&amp;I98)+1)</f>
        <v/>
      </c>
    </row>
    <row r="99" customFormat="false" ht="15" hidden="false" customHeight="false" outlineLevel="0" collapsed="false">
      <c r="F99" s="12" t="str">
        <f aca="false">IF(A99="","",IFERROR(MATCH(B99,Lists!$A$2:$A$15,0),99))</f>
        <v/>
      </c>
      <c r="G99" s="12" t="str">
        <f aca="false">IF(A99="","",SUMIFS(Ingredients!$G:$G,Ingredients!$C:$C,A99))</f>
        <v/>
      </c>
      <c r="H99" s="12" t="str">
        <f aca="false">IF(A99="","",SUMIFS(Ingredients!$H:$H,Ingredients!$C:$C,A99))</f>
        <v/>
      </c>
      <c r="I99" s="12" t="str">
        <f aca="false">IF(A99="","",IF(G99&gt;0,IF(D99="Yes",100,0)+F99+ROW()/100000,""))</f>
        <v/>
      </c>
      <c r="J99" s="12" t="str">
        <f aca="false">IF(I99="","",COUNTIF($I$4:$I$503,"&lt;"&amp;I99)+1)</f>
        <v/>
      </c>
    </row>
    <row r="100" customFormat="false" ht="15" hidden="false" customHeight="false" outlineLevel="0" collapsed="false">
      <c r="F100" s="12" t="str">
        <f aca="false">IF(A100="","",IFERROR(MATCH(B100,Lists!$A$2:$A$15,0),99))</f>
        <v/>
      </c>
      <c r="G100" s="12" t="str">
        <f aca="false">IF(A100="","",SUMIFS(Ingredients!$G:$G,Ingredients!$C:$C,A100))</f>
        <v/>
      </c>
      <c r="H100" s="12" t="str">
        <f aca="false">IF(A100="","",SUMIFS(Ingredients!$H:$H,Ingredients!$C:$C,A100))</f>
        <v/>
      </c>
      <c r="I100" s="12" t="str">
        <f aca="false">IF(A100="","",IF(G100&gt;0,IF(D100="Yes",100,0)+F100+ROW()/100000,""))</f>
        <v/>
      </c>
      <c r="J100" s="12" t="str">
        <f aca="false">IF(I100="","",COUNTIF($I$4:$I$503,"&lt;"&amp;I100)+1)</f>
        <v/>
      </c>
    </row>
    <row r="101" customFormat="false" ht="15" hidden="false" customHeight="false" outlineLevel="0" collapsed="false">
      <c r="F101" s="12" t="str">
        <f aca="false">IF(A101="","",IFERROR(MATCH(B101,Lists!$A$2:$A$15,0),99))</f>
        <v/>
      </c>
      <c r="G101" s="12" t="str">
        <f aca="false">IF(A101="","",SUMIFS(Ingredients!$G:$G,Ingredients!$C:$C,A101))</f>
        <v/>
      </c>
      <c r="H101" s="12" t="str">
        <f aca="false">IF(A101="","",SUMIFS(Ingredients!$H:$H,Ingredients!$C:$C,A101))</f>
        <v/>
      </c>
      <c r="I101" s="12" t="str">
        <f aca="false">IF(A101="","",IF(G101&gt;0,IF(D101="Yes",100,0)+F101+ROW()/100000,""))</f>
        <v/>
      </c>
      <c r="J101" s="12" t="str">
        <f aca="false">IF(I101="","",COUNTIF($I$4:$I$503,"&lt;"&amp;I101)+1)</f>
        <v/>
      </c>
    </row>
    <row r="102" customFormat="false" ht="15" hidden="false" customHeight="false" outlineLevel="0" collapsed="false">
      <c r="F102" s="12" t="str">
        <f aca="false">IF(A102="","",IFERROR(MATCH(B102,Lists!$A$2:$A$15,0),99))</f>
        <v/>
      </c>
      <c r="G102" s="12" t="str">
        <f aca="false">IF(A102="","",SUMIFS(Ingredients!$G:$G,Ingredients!$C:$C,A102))</f>
        <v/>
      </c>
      <c r="H102" s="12" t="str">
        <f aca="false">IF(A102="","",SUMIFS(Ingredients!$H:$H,Ingredients!$C:$C,A102))</f>
        <v/>
      </c>
      <c r="I102" s="12" t="str">
        <f aca="false">IF(A102="","",IF(G102&gt;0,IF(D102="Yes",100,0)+F102+ROW()/100000,""))</f>
        <v/>
      </c>
      <c r="J102" s="12" t="str">
        <f aca="false">IF(I102="","",COUNTIF($I$4:$I$503,"&lt;"&amp;I102)+1)</f>
        <v/>
      </c>
    </row>
    <row r="103" customFormat="false" ht="15" hidden="false" customHeight="false" outlineLevel="0" collapsed="false">
      <c r="F103" s="12" t="str">
        <f aca="false">IF(A103="","",IFERROR(MATCH(B103,Lists!$A$2:$A$15,0),99))</f>
        <v/>
      </c>
      <c r="G103" s="12" t="str">
        <f aca="false">IF(A103="","",SUMIFS(Ingredients!$G:$G,Ingredients!$C:$C,A103))</f>
        <v/>
      </c>
      <c r="H103" s="12" t="str">
        <f aca="false">IF(A103="","",SUMIFS(Ingredients!$H:$H,Ingredients!$C:$C,A103))</f>
        <v/>
      </c>
      <c r="I103" s="12" t="str">
        <f aca="false">IF(A103="","",IF(G103&gt;0,IF(D103="Yes",100,0)+F103+ROW()/100000,""))</f>
        <v/>
      </c>
      <c r="J103" s="12" t="str">
        <f aca="false">IF(I103="","",COUNTIF($I$4:$I$503,"&lt;"&amp;I103)+1)</f>
        <v/>
      </c>
    </row>
    <row r="104" customFormat="false" ht="15" hidden="false" customHeight="false" outlineLevel="0" collapsed="false">
      <c r="F104" s="12" t="str">
        <f aca="false">IF(A104="","",IFERROR(MATCH(B104,Lists!$A$2:$A$15,0),99))</f>
        <v/>
      </c>
      <c r="G104" s="12" t="str">
        <f aca="false">IF(A104="","",SUMIFS(Ingredients!$G:$G,Ingredients!$C:$C,A104))</f>
        <v/>
      </c>
      <c r="H104" s="12" t="str">
        <f aca="false">IF(A104="","",SUMIFS(Ingredients!$H:$H,Ingredients!$C:$C,A104))</f>
        <v/>
      </c>
      <c r="I104" s="12" t="str">
        <f aca="false">IF(A104="","",IF(G104&gt;0,IF(D104="Yes",100,0)+F104+ROW()/100000,""))</f>
        <v/>
      </c>
      <c r="J104" s="12" t="str">
        <f aca="false">IF(I104="","",COUNTIF($I$4:$I$503,"&lt;"&amp;I104)+1)</f>
        <v/>
      </c>
    </row>
    <row r="105" customFormat="false" ht="15" hidden="false" customHeight="false" outlineLevel="0" collapsed="false">
      <c r="F105" s="12" t="str">
        <f aca="false">IF(A105="","",IFERROR(MATCH(B105,Lists!$A$2:$A$15,0),99))</f>
        <v/>
      </c>
      <c r="G105" s="12" t="str">
        <f aca="false">IF(A105="","",SUMIFS(Ingredients!$G:$G,Ingredients!$C:$C,A105))</f>
        <v/>
      </c>
      <c r="H105" s="12" t="str">
        <f aca="false">IF(A105="","",SUMIFS(Ingredients!$H:$H,Ingredients!$C:$C,A105))</f>
        <v/>
      </c>
      <c r="I105" s="12" t="str">
        <f aca="false">IF(A105="","",IF(G105&gt;0,IF(D105="Yes",100,0)+F105+ROW()/100000,""))</f>
        <v/>
      </c>
      <c r="J105" s="12" t="str">
        <f aca="false">IF(I105="","",COUNTIF($I$4:$I$503,"&lt;"&amp;I105)+1)</f>
        <v/>
      </c>
    </row>
    <row r="106" customFormat="false" ht="15" hidden="false" customHeight="false" outlineLevel="0" collapsed="false">
      <c r="F106" s="12" t="str">
        <f aca="false">IF(A106="","",IFERROR(MATCH(B106,Lists!$A$2:$A$15,0),99))</f>
        <v/>
      </c>
      <c r="G106" s="12" t="str">
        <f aca="false">IF(A106="","",SUMIFS(Ingredients!$G:$G,Ingredients!$C:$C,A106))</f>
        <v/>
      </c>
      <c r="H106" s="12" t="str">
        <f aca="false">IF(A106="","",SUMIFS(Ingredients!$H:$H,Ingredients!$C:$C,A106))</f>
        <v/>
      </c>
      <c r="I106" s="12" t="str">
        <f aca="false">IF(A106="","",IF(G106&gt;0,IF(D106="Yes",100,0)+F106+ROW()/100000,""))</f>
        <v/>
      </c>
      <c r="J106" s="12" t="str">
        <f aca="false">IF(I106="","",COUNTIF($I$4:$I$503,"&lt;"&amp;I106)+1)</f>
        <v/>
      </c>
    </row>
    <row r="107" customFormat="false" ht="15" hidden="false" customHeight="false" outlineLevel="0" collapsed="false">
      <c r="F107" s="12" t="str">
        <f aca="false">IF(A107="","",IFERROR(MATCH(B107,Lists!$A$2:$A$15,0),99))</f>
        <v/>
      </c>
      <c r="G107" s="12" t="str">
        <f aca="false">IF(A107="","",SUMIFS(Ingredients!$G:$G,Ingredients!$C:$C,A107))</f>
        <v/>
      </c>
      <c r="H107" s="12" t="str">
        <f aca="false">IF(A107="","",SUMIFS(Ingredients!$H:$H,Ingredients!$C:$C,A107))</f>
        <v/>
      </c>
      <c r="I107" s="12" t="str">
        <f aca="false">IF(A107="","",IF(G107&gt;0,IF(D107="Yes",100,0)+F107+ROW()/100000,""))</f>
        <v/>
      </c>
      <c r="J107" s="12" t="str">
        <f aca="false">IF(I107="","",COUNTIF($I$4:$I$503,"&lt;"&amp;I107)+1)</f>
        <v/>
      </c>
    </row>
    <row r="108" customFormat="false" ht="15" hidden="false" customHeight="false" outlineLevel="0" collapsed="false">
      <c r="F108" s="12" t="str">
        <f aca="false">IF(A108="","",IFERROR(MATCH(B108,Lists!$A$2:$A$15,0),99))</f>
        <v/>
      </c>
      <c r="G108" s="12" t="str">
        <f aca="false">IF(A108="","",SUMIFS(Ingredients!$G:$G,Ingredients!$C:$C,A108))</f>
        <v/>
      </c>
      <c r="H108" s="12" t="str">
        <f aca="false">IF(A108="","",SUMIFS(Ingredients!$H:$H,Ingredients!$C:$C,A108))</f>
        <v/>
      </c>
      <c r="I108" s="12" t="str">
        <f aca="false">IF(A108="","",IF(G108&gt;0,IF(D108="Yes",100,0)+F108+ROW()/100000,""))</f>
        <v/>
      </c>
      <c r="J108" s="12" t="str">
        <f aca="false">IF(I108="","",COUNTIF($I$4:$I$503,"&lt;"&amp;I108)+1)</f>
        <v/>
      </c>
    </row>
    <row r="109" customFormat="false" ht="15" hidden="false" customHeight="false" outlineLevel="0" collapsed="false">
      <c r="F109" s="12" t="str">
        <f aca="false">IF(A109="","",IFERROR(MATCH(B109,Lists!$A$2:$A$15,0),99))</f>
        <v/>
      </c>
      <c r="G109" s="12" t="str">
        <f aca="false">IF(A109="","",SUMIFS(Ingredients!$G:$G,Ingredients!$C:$C,A109))</f>
        <v/>
      </c>
      <c r="H109" s="12" t="str">
        <f aca="false">IF(A109="","",SUMIFS(Ingredients!$H:$H,Ingredients!$C:$C,A109))</f>
        <v/>
      </c>
      <c r="I109" s="12" t="str">
        <f aca="false">IF(A109="","",IF(G109&gt;0,IF(D109="Yes",100,0)+F109+ROW()/100000,""))</f>
        <v/>
      </c>
      <c r="J109" s="12" t="str">
        <f aca="false">IF(I109="","",COUNTIF($I$4:$I$503,"&lt;"&amp;I109)+1)</f>
        <v/>
      </c>
    </row>
    <row r="110" customFormat="false" ht="15" hidden="false" customHeight="false" outlineLevel="0" collapsed="false">
      <c r="F110" s="12" t="str">
        <f aca="false">IF(A110="","",IFERROR(MATCH(B110,Lists!$A$2:$A$15,0),99))</f>
        <v/>
      </c>
      <c r="G110" s="12" t="str">
        <f aca="false">IF(A110="","",SUMIFS(Ingredients!$G:$G,Ingredients!$C:$C,A110))</f>
        <v/>
      </c>
      <c r="H110" s="12" t="str">
        <f aca="false">IF(A110="","",SUMIFS(Ingredients!$H:$H,Ingredients!$C:$C,A110))</f>
        <v/>
      </c>
      <c r="I110" s="12" t="str">
        <f aca="false">IF(A110="","",IF(G110&gt;0,IF(D110="Yes",100,0)+F110+ROW()/100000,""))</f>
        <v/>
      </c>
      <c r="J110" s="12" t="str">
        <f aca="false">IF(I110="","",COUNTIF($I$4:$I$503,"&lt;"&amp;I110)+1)</f>
        <v/>
      </c>
    </row>
    <row r="111" customFormat="false" ht="15" hidden="false" customHeight="false" outlineLevel="0" collapsed="false">
      <c r="F111" s="12" t="str">
        <f aca="false">IF(A111="","",IFERROR(MATCH(B111,Lists!$A$2:$A$15,0),99))</f>
        <v/>
      </c>
      <c r="G111" s="12" t="str">
        <f aca="false">IF(A111="","",SUMIFS(Ingredients!$G:$G,Ingredients!$C:$C,A111))</f>
        <v/>
      </c>
      <c r="H111" s="12" t="str">
        <f aca="false">IF(A111="","",SUMIFS(Ingredients!$H:$H,Ingredients!$C:$C,A111))</f>
        <v/>
      </c>
      <c r="I111" s="12" t="str">
        <f aca="false">IF(A111="","",IF(G111&gt;0,IF(D111="Yes",100,0)+F111+ROW()/100000,""))</f>
        <v/>
      </c>
      <c r="J111" s="12" t="str">
        <f aca="false">IF(I111="","",COUNTIF($I$4:$I$503,"&lt;"&amp;I111)+1)</f>
        <v/>
      </c>
    </row>
    <row r="112" customFormat="false" ht="15" hidden="false" customHeight="false" outlineLevel="0" collapsed="false">
      <c r="F112" s="12" t="str">
        <f aca="false">IF(A112="","",IFERROR(MATCH(B112,Lists!$A$2:$A$15,0),99))</f>
        <v/>
      </c>
      <c r="G112" s="12" t="str">
        <f aca="false">IF(A112="","",SUMIFS(Ingredients!$G:$G,Ingredients!$C:$C,A112))</f>
        <v/>
      </c>
      <c r="H112" s="12" t="str">
        <f aca="false">IF(A112="","",SUMIFS(Ingredients!$H:$H,Ingredients!$C:$C,A112))</f>
        <v/>
      </c>
      <c r="I112" s="12" t="str">
        <f aca="false">IF(A112="","",IF(G112&gt;0,IF(D112="Yes",100,0)+F112+ROW()/100000,""))</f>
        <v/>
      </c>
      <c r="J112" s="12" t="str">
        <f aca="false">IF(I112="","",COUNTIF($I$4:$I$503,"&lt;"&amp;I112)+1)</f>
        <v/>
      </c>
    </row>
    <row r="113" customFormat="false" ht="15" hidden="false" customHeight="false" outlineLevel="0" collapsed="false">
      <c r="F113" s="12" t="str">
        <f aca="false">IF(A113="","",IFERROR(MATCH(B113,Lists!$A$2:$A$15,0),99))</f>
        <v/>
      </c>
      <c r="G113" s="12" t="str">
        <f aca="false">IF(A113="","",SUMIFS(Ingredients!$G:$G,Ingredients!$C:$C,A113))</f>
        <v/>
      </c>
      <c r="H113" s="12" t="str">
        <f aca="false">IF(A113="","",SUMIFS(Ingredients!$H:$H,Ingredients!$C:$C,A113))</f>
        <v/>
      </c>
      <c r="I113" s="12" t="str">
        <f aca="false">IF(A113="","",IF(G113&gt;0,IF(D113="Yes",100,0)+F113+ROW()/100000,""))</f>
        <v/>
      </c>
      <c r="J113" s="12" t="str">
        <f aca="false">IF(I113="","",COUNTIF($I$4:$I$503,"&lt;"&amp;I113)+1)</f>
        <v/>
      </c>
    </row>
    <row r="114" customFormat="false" ht="15" hidden="false" customHeight="false" outlineLevel="0" collapsed="false">
      <c r="F114" s="12" t="str">
        <f aca="false">IF(A114="","",IFERROR(MATCH(B114,Lists!$A$2:$A$15,0),99))</f>
        <v/>
      </c>
      <c r="G114" s="12" t="str">
        <f aca="false">IF(A114="","",SUMIFS(Ingredients!$G:$G,Ingredients!$C:$C,A114))</f>
        <v/>
      </c>
      <c r="H114" s="12" t="str">
        <f aca="false">IF(A114="","",SUMIFS(Ingredients!$H:$H,Ingredients!$C:$C,A114))</f>
        <v/>
      </c>
      <c r="I114" s="12" t="str">
        <f aca="false">IF(A114="","",IF(G114&gt;0,IF(D114="Yes",100,0)+F114+ROW()/100000,""))</f>
        <v/>
      </c>
      <c r="J114" s="12" t="str">
        <f aca="false">IF(I114="","",COUNTIF($I$4:$I$503,"&lt;"&amp;I114)+1)</f>
        <v/>
      </c>
    </row>
    <row r="115" customFormat="false" ht="15" hidden="false" customHeight="false" outlineLevel="0" collapsed="false">
      <c r="F115" s="12" t="str">
        <f aca="false">IF(A115="","",IFERROR(MATCH(B115,Lists!$A$2:$A$15,0),99))</f>
        <v/>
      </c>
      <c r="G115" s="12" t="str">
        <f aca="false">IF(A115="","",SUMIFS(Ingredients!$G:$G,Ingredients!$C:$C,A115))</f>
        <v/>
      </c>
      <c r="H115" s="12" t="str">
        <f aca="false">IF(A115="","",SUMIFS(Ingredients!$H:$H,Ingredients!$C:$C,A115))</f>
        <v/>
      </c>
      <c r="I115" s="12" t="str">
        <f aca="false">IF(A115="","",IF(G115&gt;0,IF(D115="Yes",100,0)+F115+ROW()/100000,""))</f>
        <v/>
      </c>
      <c r="J115" s="12" t="str">
        <f aca="false">IF(I115="","",COUNTIF($I$4:$I$503,"&lt;"&amp;I115)+1)</f>
        <v/>
      </c>
    </row>
    <row r="116" customFormat="false" ht="15" hidden="false" customHeight="false" outlineLevel="0" collapsed="false">
      <c r="F116" s="12" t="str">
        <f aca="false">IF(A116="","",IFERROR(MATCH(B116,Lists!$A$2:$A$15,0),99))</f>
        <v/>
      </c>
      <c r="G116" s="12" t="str">
        <f aca="false">IF(A116="","",SUMIFS(Ingredients!$G:$G,Ingredients!$C:$C,A116))</f>
        <v/>
      </c>
      <c r="H116" s="12" t="str">
        <f aca="false">IF(A116="","",SUMIFS(Ingredients!$H:$H,Ingredients!$C:$C,A116))</f>
        <v/>
      </c>
      <c r="I116" s="12" t="str">
        <f aca="false">IF(A116="","",IF(G116&gt;0,IF(D116="Yes",100,0)+F116+ROW()/100000,""))</f>
        <v/>
      </c>
      <c r="J116" s="12" t="str">
        <f aca="false">IF(I116="","",COUNTIF($I$4:$I$503,"&lt;"&amp;I116)+1)</f>
        <v/>
      </c>
    </row>
    <row r="117" customFormat="false" ht="15" hidden="false" customHeight="false" outlineLevel="0" collapsed="false">
      <c r="F117" s="12" t="str">
        <f aca="false">IF(A117="","",IFERROR(MATCH(B117,Lists!$A$2:$A$15,0),99))</f>
        <v/>
      </c>
      <c r="G117" s="12" t="str">
        <f aca="false">IF(A117="","",SUMIFS(Ingredients!$G:$G,Ingredients!$C:$C,A117))</f>
        <v/>
      </c>
      <c r="H117" s="12" t="str">
        <f aca="false">IF(A117="","",SUMIFS(Ingredients!$H:$H,Ingredients!$C:$C,A117))</f>
        <v/>
      </c>
      <c r="I117" s="12" t="str">
        <f aca="false">IF(A117="","",IF(G117&gt;0,IF(D117="Yes",100,0)+F117+ROW()/100000,""))</f>
        <v/>
      </c>
      <c r="J117" s="12" t="str">
        <f aca="false">IF(I117="","",COUNTIF($I$4:$I$503,"&lt;"&amp;I117)+1)</f>
        <v/>
      </c>
    </row>
    <row r="118" customFormat="false" ht="15" hidden="false" customHeight="false" outlineLevel="0" collapsed="false">
      <c r="F118" s="12" t="str">
        <f aca="false">IF(A118="","",IFERROR(MATCH(B118,Lists!$A$2:$A$15,0),99))</f>
        <v/>
      </c>
      <c r="G118" s="12" t="str">
        <f aca="false">IF(A118="","",SUMIFS(Ingredients!$G:$G,Ingredients!$C:$C,A118))</f>
        <v/>
      </c>
      <c r="H118" s="12" t="str">
        <f aca="false">IF(A118="","",SUMIFS(Ingredients!$H:$H,Ingredients!$C:$C,A118))</f>
        <v/>
      </c>
      <c r="I118" s="12" t="str">
        <f aca="false">IF(A118="","",IF(G118&gt;0,IF(D118="Yes",100,0)+F118+ROW()/100000,""))</f>
        <v/>
      </c>
      <c r="J118" s="12" t="str">
        <f aca="false">IF(I118="","",COUNTIF($I$4:$I$503,"&lt;"&amp;I118)+1)</f>
        <v/>
      </c>
    </row>
    <row r="119" customFormat="false" ht="15" hidden="false" customHeight="false" outlineLevel="0" collapsed="false">
      <c r="F119" s="12" t="str">
        <f aca="false">IF(A119="","",IFERROR(MATCH(B119,Lists!$A$2:$A$15,0),99))</f>
        <v/>
      </c>
      <c r="G119" s="12" t="str">
        <f aca="false">IF(A119="","",SUMIFS(Ingredients!$G:$G,Ingredients!$C:$C,A119))</f>
        <v/>
      </c>
      <c r="H119" s="12" t="str">
        <f aca="false">IF(A119="","",SUMIFS(Ingredients!$H:$H,Ingredients!$C:$C,A119))</f>
        <v/>
      </c>
      <c r="I119" s="12" t="str">
        <f aca="false">IF(A119="","",IF(G119&gt;0,IF(D119="Yes",100,0)+F119+ROW()/100000,""))</f>
        <v/>
      </c>
      <c r="J119" s="12" t="str">
        <f aca="false">IF(I119="","",COUNTIF($I$4:$I$503,"&lt;"&amp;I119)+1)</f>
        <v/>
      </c>
    </row>
    <row r="120" customFormat="false" ht="15" hidden="false" customHeight="false" outlineLevel="0" collapsed="false">
      <c r="F120" s="12" t="str">
        <f aca="false">IF(A120="","",IFERROR(MATCH(B120,Lists!$A$2:$A$15,0),99))</f>
        <v/>
      </c>
      <c r="G120" s="12" t="str">
        <f aca="false">IF(A120="","",SUMIFS(Ingredients!$G:$G,Ingredients!$C:$C,A120))</f>
        <v/>
      </c>
      <c r="H120" s="12" t="str">
        <f aca="false">IF(A120="","",SUMIFS(Ingredients!$H:$H,Ingredients!$C:$C,A120))</f>
        <v/>
      </c>
      <c r="I120" s="12" t="str">
        <f aca="false">IF(A120="","",IF(G120&gt;0,IF(D120="Yes",100,0)+F120+ROW()/100000,""))</f>
        <v/>
      </c>
      <c r="J120" s="12" t="str">
        <f aca="false">IF(I120="","",COUNTIF($I$4:$I$503,"&lt;"&amp;I120)+1)</f>
        <v/>
      </c>
    </row>
    <row r="121" customFormat="false" ht="15" hidden="false" customHeight="false" outlineLevel="0" collapsed="false">
      <c r="F121" s="12" t="str">
        <f aca="false">IF(A121="","",IFERROR(MATCH(B121,Lists!$A$2:$A$15,0),99))</f>
        <v/>
      </c>
      <c r="G121" s="12" t="str">
        <f aca="false">IF(A121="","",SUMIFS(Ingredients!$G:$G,Ingredients!$C:$C,A121))</f>
        <v/>
      </c>
      <c r="H121" s="12" t="str">
        <f aca="false">IF(A121="","",SUMIFS(Ingredients!$H:$H,Ingredients!$C:$C,A121))</f>
        <v/>
      </c>
      <c r="I121" s="12" t="str">
        <f aca="false">IF(A121="","",IF(G121&gt;0,IF(D121="Yes",100,0)+F121+ROW()/100000,""))</f>
        <v/>
      </c>
      <c r="J121" s="12" t="str">
        <f aca="false">IF(I121="","",COUNTIF($I$4:$I$503,"&lt;"&amp;I121)+1)</f>
        <v/>
      </c>
    </row>
    <row r="122" customFormat="false" ht="15" hidden="false" customHeight="false" outlineLevel="0" collapsed="false">
      <c r="F122" s="12" t="str">
        <f aca="false">IF(A122="","",IFERROR(MATCH(B122,Lists!$A$2:$A$15,0),99))</f>
        <v/>
      </c>
      <c r="G122" s="12" t="str">
        <f aca="false">IF(A122="","",SUMIFS(Ingredients!$G:$G,Ingredients!$C:$C,A122))</f>
        <v/>
      </c>
      <c r="H122" s="12" t="str">
        <f aca="false">IF(A122="","",SUMIFS(Ingredients!$H:$H,Ingredients!$C:$C,A122))</f>
        <v/>
      </c>
      <c r="I122" s="12" t="str">
        <f aca="false">IF(A122="","",IF(G122&gt;0,IF(D122="Yes",100,0)+F122+ROW()/100000,""))</f>
        <v/>
      </c>
      <c r="J122" s="12" t="str">
        <f aca="false">IF(I122="","",COUNTIF($I$4:$I$503,"&lt;"&amp;I122)+1)</f>
        <v/>
      </c>
    </row>
    <row r="123" customFormat="false" ht="15" hidden="false" customHeight="false" outlineLevel="0" collapsed="false">
      <c r="F123" s="12" t="str">
        <f aca="false">IF(A123="","",IFERROR(MATCH(B123,Lists!$A$2:$A$15,0),99))</f>
        <v/>
      </c>
      <c r="G123" s="12" t="str">
        <f aca="false">IF(A123="","",SUMIFS(Ingredients!$G:$G,Ingredients!$C:$C,A123))</f>
        <v/>
      </c>
      <c r="H123" s="12" t="str">
        <f aca="false">IF(A123="","",SUMIFS(Ingredients!$H:$H,Ingredients!$C:$C,A123))</f>
        <v/>
      </c>
      <c r="I123" s="12" t="str">
        <f aca="false">IF(A123="","",IF(G123&gt;0,IF(D123="Yes",100,0)+F123+ROW()/100000,""))</f>
        <v/>
      </c>
      <c r="J123" s="12" t="str">
        <f aca="false">IF(I123="","",COUNTIF($I$4:$I$503,"&lt;"&amp;I123)+1)</f>
        <v/>
      </c>
    </row>
    <row r="124" customFormat="false" ht="15" hidden="false" customHeight="false" outlineLevel="0" collapsed="false">
      <c r="F124" s="12" t="str">
        <f aca="false">IF(A124="","",IFERROR(MATCH(B124,Lists!$A$2:$A$15,0),99))</f>
        <v/>
      </c>
      <c r="G124" s="12" t="str">
        <f aca="false">IF(A124="","",SUMIFS(Ingredients!$G:$G,Ingredients!$C:$C,A124))</f>
        <v/>
      </c>
      <c r="H124" s="12" t="str">
        <f aca="false">IF(A124="","",SUMIFS(Ingredients!$H:$H,Ingredients!$C:$C,A124))</f>
        <v/>
      </c>
      <c r="I124" s="12" t="str">
        <f aca="false">IF(A124="","",IF(G124&gt;0,IF(D124="Yes",100,0)+F124+ROW()/100000,""))</f>
        <v/>
      </c>
      <c r="J124" s="12" t="str">
        <f aca="false">IF(I124="","",COUNTIF($I$4:$I$503,"&lt;"&amp;I124)+1)</f>
        <v/>
      </c>
    </row>
    <row r="125" customFormat="false" ht="15" hidden="false" customHeight="false" outlineLevel="0" collapsed="false">
      <c r="F125" s="12" t="str">
        <f aca="false">IF(A125="","",IFERROR(MATCH(B125,Lists!$A$2:$A$15,0),99))</f>
        <v/>
      </c>
      <c r="G125" s="12" t="str">
        <f aca="false">IF(A125="","",SUMIFS(Ingredients!$G:$G,Ingredients!$C:$C,A125))</f>
        <v/>
      </c>
      <c r="H125" s="12" t="str">
        <f aca="false">IF(A125="","",SUMIFS(Ingredients!$H:$H,Ingredients!$C:$C,A125))</f>
        <v/>
      </c>
      <c r="I125" s="12" t="str">
        <f aca="false">IF(A125="","",IF(G125&gt;0,IF(D125="Yes",100,0)+F125+ROW()/100000,""))</f>
        <v/>
      </c>
      <c r="J125" s="12" t="str">
        <f aca="false">IF(I125="","",COUNTIF($I$4:$I$503,"&lt;"&amp;I125)+1)</f>
        <v/>
      </c>
    </row>
    <row r="126" customFormat="false" ht="15" hidden="false" customHeight="false" outlineLevel="0" collapsed="false">
      <c r="F126" s="12" t="str">
        <f aca="false">IF(A126="","",IFERROR(MATCH(B126,Lists!$A$2:$A$15,0),99))</f>
        <v/>
      </c>
      <c r="G126" s="12" t="str">
        <f aca="false">IF(A126="","",SUMIFS(Ingredients!$G:$G,Ingredients!$C:$C,A126))</f>
        <v/>
      </c>
      <c r="H126" s="12" t="str">
        <f aca="false">IF(A126="","",SUMIFS(Ingredients!$H:$H,Ingredients!$C:$C,A126))</f>
        <v/>
      </c>
      <c r="I126" s="12" t="str">
        <f aca="false">IF(A126="","",IF(G126&gt;0,IF(D126="Yes",100,0)+F126+ROW()/100000,""))</f>
        <v/>
      </c>
      <c r="J126" s="12" t="str">
        <f aca="false">IF(I126="","",COUNTIF($I$4:$I$503,"&lt;"&amp;I126)+1)</f>
        <v/>
      </c>
    </row>
    <row r="127" customFormat="false" ht="15" hidden="false" customHeight="false" outlineLevel="0" collapsed="false">
      <c r="F127" s="12" t="str">
        <f aca="false">IF(A127="","",IFERROR(MATCH(B127,Lists!$A$2:$A$15,0),99))</f>
        <v/>
      </c>
      <c r="G127" s="12" t="str">
        <f aca="false">IF(A127="","",SUMIFS(Ingredients!$G:$G,Ingredients!$C:$C,A127))</f>
        <v/>
      </c>
      <c r="H127" s="12" t="str">
        <f aca="false">IF(A127="","",SUMIFS(Ingredients!$H:$H,Ingredients!$C:$C,A127))</f>
        <v/>
      </c>
      <c r="I127" s="12" t="str">
        <f aca="false">IF(A127="","",IF(G127&gt;0,IF(D127="Yes",100,0)+F127+ROW()/100000,""))</f>
        <v/>
      </c>
      <c r="J127" s="12" t="str">
        <f aca="false">IF(I127="","",COUNTIF($I$4:$I$503,"&lt;"&amp;I127)+1)</f>
        <v/>
      </c>
    </row>
    <row r="128" customFormat="false" ht="15" hidden="false" customHeight="false" outlineLevel="0" collapsed="false">
      <c r="F128" s="12" t="str">
        <f aca="false">IF(A128="","",IFERROR(MATCH(B128,Lists!$A$2:$A$15,0),99))</f>
        <v/>
      </c>
      <c r="G128" s="12" t="str">
        <f aca="false">IF(A128="","",SUMIFS(Ingredients!$G:$G,Ingredients!$C:$C,A128))</f>
        <v/>
      </c>
      <c r="H128" s="12" t="str">
        <f aca="false">IF(A128="","",SUMIFS(Ingredients!$H:$H,Ingredients!$C:$C,A128))</f>
        <v/>
      </c>
      <c r="I128" s="12" t="str">
        <f aca="false">IF(A128="","",IF(G128&gt;0,IF(D128="Yes",100,0)+F128+ROW()/100000,""))</f>
        <v/>
      </c>
      <c r="J128" s="12" t="str">
        <f aca="false">IF(I128="","",COUNTIF($I$4:$I$503,"&lt;"&amp;I128)+1)</f>
        <v/>
      </c>
    </row>
    <row r="129" customFormat="false" ht="15" hidden="false" customHeight="false" outlineLevel="0" collapsed="false">
      <c r="F129" s="12" t="str">
        <f aca="false">IF(A129="","",IFERROR(MATCH(B129,Lists!$A$2:$A$15,0),99))</f>
        <v/>
      </c>
      <c r="G129" s="12" t="str">
        <f aca="false">IF(A129="","",SUMIFS(Ingredients!$G:$G,Ingredients!$C:$C,A129))</f>
        <v/>
      </c>
      <c r="H129" s="12" t="str">
        <f aca="false">IF(A129="","",SUMIFS(Ingredients!$H:$H,Ingredients!$C:$C,A129))</f>
        <v/>
      </c>
      <c r="I129" s="12" t="str">
        <f aca="false">IF(A129="","",IF(G129&gt;0,IF(D129="Yes",100,0)+F129+ROW()/100000,""))</f>
        <v/>
      </c>
      <c r="J129" s="12" t="str">
        <f aca="false">IF(I129="","",COUNTIF($I$4:$I$503,"&lt;"&amp;I129)+1)</f>
        <v/>
      </c>
    </row>
    <row r="130" customFormat="false" ht="15" hidden="false" customHeight="false" outlineLevel="0" collapsed="false">
      <c r="F130" s="12" t="str">
        <f aca="false">IF(A130="","",IFERROR(MATCH(B130,Lists!$A$2:$A$15,0),99))</f>
        <v/>
      </c>
      <c r="G130" s="12" t="str">
        <f aca="false">IF(A130="","",SUMIFS(Ingredients!$G:$G,Ingredients!$C:$C,A130))</f>
        <v/>
      </c>
      <c r="H130" s="12" t="str">
        <f aca="false">IF(A130="","",SUMIFS(Ingredients!$H:$H,Ingredients!$C:$C,A130))</f>
        <v/>
      </c>
      <c r="I130" s="12" t="str">
        <f aca="false">IF(A130="","",IF(G130&gt;0,IF(D130="Yes",100,0)+F130+ROW()/100000,""))</f>
        <v/>
      </c>
      <c r="J130" s="12" t="str">
        <f aca="false">IF(I130="","",COUNTIF($I$4:$I$503,"&lt;"&amp;I130)+1)</f>
        <v/>
      </c>
    </row>
    <row r="131" customFormat="false" ht="15" hidden="false" customHeight="false" outlineLevel="0" collapsed="false">
      <c r="F131" s="12" t="str">
        <f aca="false">IF(A131="","",IFERROR(MATCH(B131,Lists!$A$2:$A$15,0),99))</f>
        <v/>
      </c>
      <c r="G131" s="12" t="str">
        <f aca="false">IF(A131="","",SUMIFS(Ingredients!$G:$G,Ingredients!$C:$C,A131))</f>
        <v/>
      </c>
      <c r="H131" s="12" t="str">
        <f aca="false">IF(A131="","",SUMIFS(Ingredients!$H:$H,Ingredients!$C:$C,A131))</f>
        <v/>
      </c>
      <c r="I131" s="12" t="str">
        <f aca="false">IF(A131="","",IF(G131&gt;0,IF(D131="Yes",100,0)+F131+ROW()/100000,""))</f>
        <v/>
      </c>
      <c r="J131" s="12" t="str">
        <f aca="false">IF(I131="","",COUNTIF($I$4:$I$503,"&lt;"&amp;I131)+1)</f>
        <v/>
      </c>
    </row>
    <row r="132" customFormat="false" ht="15" hidden="false" customHeight="false" outlineLevel="0" collapsed="false">
      <c r="F132" s="12" t="str">
        <f aca="false">IF(A132="","",IFERROR(MATCH(B132,Lists!$A$2:$A$15,0),99))</f>
        <v/>
      </c>
      <c r="G132" s="12" t="str">
        <f aca="false">IF(A132="","",SUMIFS(Ingredients!$G:$G,Ingredients!$C:$C,A132))</f>
        <v/>
      </c>
      <c r="H132" s="12" t="str">
        <f aca="false">IF(A132="","",SUMIFS(Ingredients!$H:$H,Ingredients!$C:$C,A132))</f>
        <v/>
      </c>
      <c r="I132" s="12" t="str">
        <f aca="false">IF(A132="","",IF(G132&gt;0,IF(D132="Yes",100,0)+F132+ROW()/100000,""))</f>
        <v/>
      </c>
      <c r="J132" s="12" t="str">
        <f aca="false">IF(I132="","",COUNTIF($I$4:$I$503,"&lt;"&amp;I132)+1)</f>
        <v/>
      </c>
    </row>
    <row r="133" customFormat="false" ht="15" hidden="false" customHeight="false" outlineLevel="0" collapsed="false">
      <c r="F133" s="12" t="str">
        <f aca="false">IF(A133="","",IFERROR(MATCH(B133,Lists!$A$2:$A$15,0),99))</f>
        <v/>
      </c>
      <c r="G133" s="12" t="str">
        <f aca="false">IF(A133="","",SUMIFS(Ingredients!$G:$G,Ingredients!$C:$C,A133))</f>
        <v/>
      </c>
      <c r="H133" s="12" t="str">
        <f aca="false">IF(A133="","",SUMIFS(Ingredients!$H:$H,Ingredients!$C:$C,A133))</f>
        <v/>
      </c>
      <c r="I133" s="12" t="str">
        <f aca="false">IF(A133="","",IF(G133&gt;0,IF(D133="Yes",100,0)+F133+ROW()/100000,""))</f>
        <v/>
      </c>
      <c r="J133" s="12" t="str">
        <f aca="false">IF(I133="","",COUNTIF($I$4:$I$503,"&lt;"&amp;I133)+1)</f>
        <v/>
      </c>
    </row>
    <row r="134" customFormat="false" ht="15" hidden="false" customHeight="false" outlineLevel="0" collapsed="false">
      <c r="F134" s="12" t="str">
        <f aca="false">IF(A134="","",IFERROR(MATCH(B134,Lists!$A$2:$A$15,0),99))</f>
        <v/>
      </c>
      <c r="G134" s="12" t="str">
        <f aca="false">IF(A134="","",SUMIFS(Ingredients!$G:$G,Ingredients!$C:$C,A134))</f>
        <v/>
      </c>
      <c r="H134" s="12" t="str">
        <f aca="false">IF(A134="","",SUMIFS(Ingredients!$H:$H,Ingredients!$C:$C,A134))</f>
        <v/>
      </c>
      <c r="I134" s="12" t="str">
        <f aca="false">IF(A134="","",IF(G134&gt;0,IF(D134="Yes",100,0)+F134+ROW()/100000,""))</f>
        <v/>
      </c>
      <c r="J134" s="12" t="str">
        <f aca="false">IF(I134="","",COUNTIF($I$4:$I$503,"&lt;"&amp;I134)+1)</f>
        <v/>
      </c>
    </row>
    <row r="135" customFormat="false" ht="15" hidden="false" customHeight="false" outlineLevel="0" collapsed="false">
      <c r="F135" s="12" t="str">
        <f aca="false">IF(A135="","",IFERROR(MATCH(B135,Lists!$A$2:$A$15,0),99))</f>
        <v/>
      </c>
      <c r="G135" s="12" t="str">
        <f aca="false">IF(A135="","",SUMIFS(Ingredients!$G:$G,Ingredients!$C:$C,A135))</f>
        <v/>
      </c>
      <c r="H135" s="12" t="str">
        <f aca="false">IF(A135="","",SUMIFS(Ingredients!$H:$H,Ingredients!$C:$C,A135))</f>
        <v/>
      </c>
      <c r="I135" s="12" t="str">
        <f aca="false">IF(A135="","",IF(G135&gt;0,IF(D135="Yes",100,0)+F135+ROW()/100000,""))</f>
        <v/>
      </c>
      <c r="J135" s="12" t="str">
        <f aca="false">IF(I135="","",COUNTIF($I$4:$I$503,"&lt;"&amp;I135)+1)</f>
        <v/>
      </c>
    </row>
    <row r="136" customFormat="false" ht="15" hidden="false" customHeight="false" outlineLevel="0" collapsed="false">
      <c r="F136" s="12" t="str">
        <f aca="false">IF(A136="","",IFERROR(MATCH(B136,Lists!$A$2:$A$15,0),99))</f>
        <v/>
      </c>
      <c r="G136" s="12" t="str">
        <f aca="false">IF(A136="","",SUMIFS(Ingredients!$G:$G,Ingredients!$C:$C,A136))</f>
        <v/>
      </c>
      <c r="H136" s="12" t="str">
        <f aca="false">IF(A136="","",SUMIFS(Ingredients!$H:$H,Ingredients!$C:$C,A136))</f>
        <v/>
      </c>
      <c r="I136" s="12" t="str">
        <f aca="false">IF(A136="","",IF(G136&gt;0,IF(D136="Yes",100,0)+F136+ROW()/100000,""))</f>
        <v/>
      </c>
      <c r="J136" s="12" t="str">
        <f aca="false">IF(I136="","",COUNTIF($I$4:$I$503,"&lt;"&amp;I136)+1)</f>
        <v/>
      </c>
    </row>
    <row r="137" customFormat="false" ht="15" hidden="false" customHeight="false" outlineLevel="0" collapsed="false">
      <c r="F137" s="12" t="str">
        <f aca="false">IF(A137="","",IFERROR(MATCH(B137,Lists!$A$2:$A$15,0),99))</f>
        <v/>
      </c>
      <c r="G137" s="12" t="str">
        <f aca="false">IF(A137="","",SUMIFS(Ingredients!$G:$G,Ingredients!$C:$C,A137))</f>
        <v/>
      </c>
      <c r="H137" s="12" t="str">
        <f aca="false">IF(A137="","",SUMIFS(Ingredients!$H:$H,Ingredients!$C:$C,A137))</f>
        <v/>
      </c>
      <c r="I137" s="12" t="str">
        <f aca="false">IF(A137="","",IF(G137&gt;0,IF(D137="Yes",100,0)+F137+ROW()/100000,""))</f>
        <v/>
      </c>
      <c r="J137" s="12" t="str">
        <f aca="false">IF(I137="","",COUNTIF($I$4:$I$503,"&lt;"&amp;I137)+1)</f>
        <v/>
      </c>
    </row>
    <row r="138" customFormat="false" ht="15" hidden="false" customHeight="false" outlineLevel="0" collapsed="false">
      <c r="F138" s="12" t="str">
        <f aca="false">IF(A138="","",IFERROR(MATCH(B138,Lists!$A$2:$A$15,0),99))</f>
        <v/>
      </c>
      <c r="G138" s="12" t="str">
        <f aca="false">IF(A138="","",SUMIFS(Ingredients!$G:$G,Ingredients!$C:$C,A138))</f>
        <v/>
      </c>
      <c r="H138" s="12" t="str">
        <f aca="false">IF(A138="","",SUMIFS(Ingredients!$H:$H,Ingredients!$C:$C,A138))</f>
        <v/>
      </c>
      <c r="I138" s="12" t="str">
        <f aca="false">IF(A138="","",IF(G138&gt;0,IF(D138="Yes",100,0)+F138+ROW()/100000,""))</f>
        <v/>
      </c>
      <c r="J138" s="12" t="str">
        <f aca="false">IF(I138="","",COUNTIF($I$4:$I$503,"&lt;"&amp;I138)+1)</f>
        <v/>
      </c>
    </row>
    <row r="139" customFormat="false" ht="15" hidden="false" customHeight="false" outlineLevel="0" collapsed="false">
      <c r="F139" s="12" t="str">
        <f aca="false">IF(A139="","",IFERROR(MATCH(B139,Lists!$A$2:$A$15,0),99))</f>
        <v/>
      </c>
      <c r="G139" s="12" t="str">
        <f aca="false">IF(A139="","",SUMIFS(Ingredients!$G:$G,Ingredients!$C:$C,A139))</f>
        <v/>
      </c>
      <c r="H139" s="12" t="str">
        <f aca="false">IF(A139="","",SUMIFS(Ingredients!$H:$H,Ingredients!$C:$C,A139))</f>
        <v/>
      </c>
      <c r="I139" s="12" t="str">
        <f aca="false">IF(A139="","",IF(G139&gt;0,IF(D139="Yes",100,0)+F139+ROW()/100000,""))</f>
        <v/>
      </c>
      <c r="J139" s="12" t="str">
        <f aca="false">IF(I139="","",COUNTIF($I$4:$I$503,"&lt;"&amp;I139)+1)</f>
        <v/>
      </c>
    </row>
    <row r="140" customFormat="false" ht="15" hidden="false" customHeight="false" outlineLevel="0" collapsed="false">
      <c r="F140" s="12" t="str">
        <f aca="false">IF(A140="","",IFERROR(MATCH(B140,Lists!$A$2:$A$15,0),99))</f>
        <v/>
      </c>
      <c r="G140" s="12" t="str">
        <f aca="false">IF(A140="","",SUMIFS(Ingredients!$G:$G,Ingredients!$C:$C,A140))</f>
        <v/>
      </c>
      <c r="H140" s="12" t="str">
        <f aca="false">IF(A140="","",SUMIFS(Ingredients!$H:$H,Ingredients!$C:$C,A140))</f>
        <v/>
      </c>
      <c r="I140" s="12" t="str">
        <f aca="false">IF(A140="","",IF(G140&gt;0,IF(D140="Yes",100,0)+F140+ROW()/100000,""))</f>
        <v/>
      </c>
      <c r="J140" s="12" t="str">
        <f aca="false">IF(I140="","",COUNTIF($I$4:$I$503,"&lt;"&amp;I140)+1)</f>
        <v/>
      </c>
    </row>
    <row r="141" customFormat="false" ht="15" hidden="false" customHeight="false" outlineLevel="0" collapsed="false">
      <c r="F141" s="12" t="str">
        <f aca="false">IF(A141="","",IFERROR(MATCH(B141,Lists!$A$2:$A$15,0),99))</f>
        <v/>
      </c>
      <c r="G141" s="12" t="str">
        <f aca="false">IF(A141="","",SUMIFS(Ingredients!$G:$G,Ingredients!$C:$C,A141))</f>
        <v/>
      </c>
      <c r="H141" s="12" t="str">
        <f aca="false">IF(A141="","",SUMIFS(Ingredients!$H:$H,Ingredients!$C:$C,A141))</f>
        <v/>
      </c>
      <c r="I141" s="12" t="str">
        <f aca="false">IF(A141="","",IF(G141&gt;0,IF(D141="Yes",100,0)+F141+ROW()/100000,""))</f>
        <v/>
      </c>
      <c r="J141" s="12" t="str">
        <f aca="false">IF(I141="","",COUNTIF($I$4:$I$503,"&lt;"&amp;I141)+1)</f>
        <v/>
      </c>
    </row>
    <row r="142" customFormat="false" ht="15" hidden="false" customHeight="false" outlineLevel="0" collapsed="false">
      <c r="F142" s="12" t="str">
        <f aca="false">IF(A142="","",IFERROR(MATCH(B142,Lists!$A$2:$A$15,0),99))</f>
        <v/>
      </c>
      <c r="G142" s="12" t="str">
        <f aca="false">IF(A142="","",SUMIFS(Ingredients!$G:$G,Ingredients!$C:$C,A142))</f>
        <v/>
      </c>
      <c r="H142" s="12" t="str">
        <f aca="false">IF(A142="","",SUMIFS(Ingredients!$H:$H,Ingredients!$C:$C,A142))</f>
        <v/>
      </c>
      <c r="I142" s="12" t="str">
        <f aca="false">IF(A142="","",IF(G142&gt;0,IF(D142="Yes",100,0)+F142+ROW()/100000,""))</f>
        <v/>
      </c>
      <c r="J142" s="12" t="str">
        <f aca="false">IF(I142="","",COUNTIF($I$4:$I$503,"&lt;"&amp;I142)+1)</f>
        <v/>
      </c>
    </row>
    <row r="143" customFormat="false" ht="15" hidden="false" customHeight="false" outlineLevel="0" collapsed="false">
      <c r="F143" s="12" t="str">
        <f aca="false">IF(A143="","",IFERROR(MATCH(B143,Lists!$A$2:$A$15,0),99))</f>
        <v/>
      </c>
      <c r="G143" s="12" t="str">
        <f aca="false">IF(A143="","",SUMIFS(Ingredients!$G:$G,Ingredients!$C:$C,A143))</f>
        <v/>
      </c>
      <c r="H143" s="12" t="str">
        <f aca="false">IF(A143="","",SUMIFS(Ingredients!$H:$H,Ingredients!$C:$C,A143))</f>
        <v/>
      </c>
      <c r="I143" s="12" t="str">
        <f aca="false">IF(A143="","",IF(G143&gt;0,IF(D143="Yes",100,0)+F143+ROW()/100000,""))</f>
        <v/>
      </c>
      <c r="J143" s="12" t="str">
        <f aca="false">IF(I143="","",COUNTIF($I$4:$I$503,"&lt;"&amp;I143)+1)</f>
        <v/>
      </c>
    </row>
    <row r="144" customFormat="false" ht="15" hidden="false" customHeight="false" outlineLevel="0" collapsed="false">
      <c r="F144" s="12" t="str">
        <f aca="false">IF(A144="","",IFERROR(MATCH(B144,Lists!$A$2:$A$15,0),99))</f>
        <v/>
      </c>
      <c r="G144" s="12" t="str">
        <f aca="false">IF(A144="","",SUMIFS(Ingredients!$G:$G,Ingredients!$C:$C,A144))</f>
        <v/>
      </c>
      <c r="H144" s="12" t="str">
        <f aca="false">IF(A144="","",SUMIFS(Ingredients!$H:$H,Ingredients!$C:$C,A144))</f>
        <v/>
      </c>
      <c r="I144" s="12" t="str">
        <f aca="false">IF(A144="","",IF(G144&gt;0,IF(D144="Yes",100,0)+F144+ROW()/100000,""))</f>
        <v/>
      </c>
      <c r="J144" s="12" t="str">
        <f aca="false">IF(I144="","",COUNTIF($I$4:$I$503,"&lt;"&amp;I144)+1)</f>
        <v/>
      </c>
    </row>
    <row r="145" customFormat="false" ht="15" hidden="false" customHeight="false" outlineLevel="0" collapsed="false">
      <c r="F145" s="12" t="str">
        <f aca="false">IF(A145="","",IFERROR(MATCH(B145,Lists!$A$2:$A$15,0),99))</f>
        <v/>
      </c>
      <c r="G145" s="12" t="str">
        <f aca="false">IF(A145="","",SUMIFS(Ingredients!$G:$G,Ingredients!$C:$C,A145))</f>
        <v/>
      </c>
      <c r="H145" s="12" t="str">
        <f aca="false">IF(A145="","",SUMIFS(Ingredients!$H:$H,Ingredients!$C:$C,A145))</f>
        <v/>
      </c>
      <c r="I145" s="12" t="str">
        <f aca="false">IF(A145="","",IF(G145&gt;0,IF(D145="Yes",100,0)+F145+ROW()/100000,""))</f>
        <v/>
      </c>
      <c r="J145" s="12" t="str">
        <f aca="false">IF(I145="","",COUNTIF($I$4:$I$503,"&lt;"&amp;I145)+1)</f>
        <v/>
      </c>
    </row>
    <row r="146" customFormat="false" ht="15" hidden="false" customHeight="false" outlineLevel="0" collapsed="false">
      <c r="F146" s="12" t="str">
        <f aca="false">IF(A146="","",IFERROR(MATCH(B146,Lists!$A$2:$A$15,0),99))</f>
        <v/>
      </c>
      <c r="G146" s="12" t="str">
        <f aca="false">IF(A146="","",SUMIFS(Ingredients!$G:$G,Ingredients!$C:$C,A146))</f>
        <v/>
      </c>
      <c r="H146" s="12" t="str">
        <f aca="false">IF(A146="","",SUMIFS(Ingredients!$H:$H,Ingredients!$C:$C,A146))</f>
        <v/>
      </c>
      <c r="I146" s="12" t="str">
        <f aca="false">IF(A146="","",IF(G146&gt;0,IF(D146="Yes",100,0)+F146+ROW()/100000,""))</f>
        <v/>
      </c>
      <c r="J146" s="12" t="str">
        <f aca="false">IF(I146="","",COUNTIF($I$4:$I$503,"&lt;"&amp;I146)+1)</f>
        <v/>
      </c>
    </row>
    <row r="147" customFormat="false" ht="15" hidden="false" customHeight="false" outlineLevel="0" collapsed="false">
      <c r="F147" s="12" t="str">
        <f aca="false">IF(A147="","",IFERROR(MATCH(B147,Lists!$A$2:$A$15,0),99))</f>
        <v/>
      </c>
      <c r="G147" s="12" t="str">
        <f aca="false">IF(A147="","",SUMIFS(Ingredients!$G:$G,Ingredients!$C:$C,A147))</f>
        <v/>
      </c>
      <c r="H147" s="12" t="str">
        <f aca="false">IF(A147="","",SUMIFS(Ingredients!$H:$H,Ingredients!$C:$C,A147))</f>
        <v/>
      </c>
      <c r="I147" s="12" t="str">
        <f aca="false">IF(A147="","",IF(G147&gt;0,IF(D147="Yes",100,0)+F147+ROW()/100000,""))</f>
        <v/>
      </c>
      <c r="J147" s="12" t="str">
        <f aca="false">IF(I147="","",COUNTIF($I$4:$I$503,"&lt;"&amp;I147)+1)</f>
        <v/>
      </c>
    </row>
    <row r="148" customFormat="false" ht="15" hidden="false" customHeight="false" outlineLevel="0" collapsed="false">
      <c r="F148" s="12" t="str">
        <f aca="false">IF(A148="","",IFERROR(MATCH(B148,Lists!$A$2:$A$15,0),99))</f>
        <v/>
      </c>
      <c r="G148" s="12" t="str">
        <f aca="false">IF(A148="","",SUMIFS(Ingredients!$G:$G,Ingredients!$C:$C,A148))</f>
        <v/>
      </c>
      <c r="H148" s="12" t="str">
        <f aca="false">IF(A148="","",SUMIFS(Ingredients!$H:$H,Ingredients!$C:$C,A148))</f>
        <v/>
      </c>
      <c r="I148" s="12" t="str">
        <f aca="false">IF(A148="","",IF(G148&gt;0,IF(D148="Yes",100,0)+F148+ROW()/100000,""))</f>
        <v/>
      </c>
      <c r="J148" s="12" t="str">
        <f aca="false">IF(I148="","",COUNTIF($I$4:$I$503,"&lt;"&amp;I148)+1)</f>
        <v/>
      </c>
    </row>
    <row r="149" customFormat="false" ht="15" hidden="false" customHeight="false" outlineLevel="0" collapsed="false">
      <c r="F149" s="12" t="str">
        <f aca="false">IF(A149="","",IFERROR(MATCH(B149,Lists!$A$2:$A$15,0),99))</f>
        <v/>
      </c>
      <c r="G149" s="12" t="str">
        <f aca="false">IF(A149="","",SUMIFS(Ingredients!$G:$G,Ingredients!$C:$C,A149))</f>
        <v/>
      </c>
      <c r="H149" s="12" t="str">
        <f aca="false">IF(A149="","",SUMIFS(Ingredients!$H:$H,Ingredients!$C:$C,A149))</f>
        <v/>
      </c>
      <c r="I149" s="12" t="str">
        <f aca="false">IF(A149="","",IF(G149&gt;0,IF(D149="Yes",100,0)+F149+ROW()/100000,""))</f>
        <v/>
      </c>
      <c r="J149" s="12" t="str">
        <f aca="false">IF(I149="","",COUNTIF($I$4:$I$503,"&lt;"&amp;I149)+1)</f>
        <v/>
      </c>
    </row>
    <row r="150" customFormat="false" ht="15" hidden="false" customHeight="false" outlineLevel="0" collapsed="false">
      <c r="F150" s="12" t="str">
        <f aca="false">IF(A150="","",IFERROR(MATCH(B150,Lists!$A$2:$A$15,0),99))</f>
        <v/>
      </c>
      <c r="G150" s="12" t="str">
        <f aca="false">IF(A150="","",SUMIFS(Ingredients!$G:$G,Ingredients!$C:$C,A150))</f>
        <v/>
      </c>
      <c r="H150" s="12" t="str">
        <f aca="false">IF(A150="","",SUMIFS(Ingredients!$H:$H,Ingredients!$C:$C,A150))</f>
        <v/>
      </c>
      <c r="I150" s="12" t="str">
        <f aca="false">IF(A150="","",IF(G150&gt;0,IF(D150="Yes",100,0)+F150+ROW()/100000,""))</f>
        <v/>
      </c>
      <c r="J150" s="12" t="str">
        <f aca="false">IF(I150="","",COUNTIF($I$4:$I$503,"&lt;"&amp;I150)+1)</f>
        <v/>
      </c>
    </row>
    <row r="151" customFormat="false" ht="15" hidden="false" customHeight="false" outlineLevel="0" collapsed="false">
      <c r="F151" s="12" t="str">
        <f aca="false">IF(A151="","",IFERROR(MATCH(B151,Lists!$A$2:$A$15,0),99))</f>
        <v/>
      </c>
      <c r="G151" s="12" t="str">
        <f aca="false">IF(A151="","",SUMIFS(Ingredients!$G:$G,Ingredients!$C:$C,A151))</f>
        <v/>
      </c>
      <c r="H151" s="12" t="str">
        <f aca="false">IF(A151="","",SUMIFS(Ingredients!$H:$H,Ingredients!$C:$C,A151))</f>
        <v/>
      </c>
      <c r="I151" s="12" t="str">
        <f aca="false">IF(A151="","",IF(G151&gt;0,IF(D151="Yes",100,0)+F151+ROW()/100000,""))</f>
        <v/>
      </c>
      <c r="J151" s="12" t="str">
        <f aca="false">IF(I151="","",COUNTIF($I$4:$I$503,"&lt;"&amp;I151)+1)</f>
        <v/>
      </c>
    </row>
    <row r="152" customFormat="false" ht="15" hidden="false" customHeight="false" outlineLevel="0" collapsed="false">
      <c r="F152" s="12" t="str">
        <f aca="false">IF(A152="","",IFERROR(MATCH(B152,Lists!$A$2:$A$15,0),99))</f>
        <v/>
      </c>
      <c r="G152" s="12" t="str">
        <f aca="false">IF(A152="","",SUMIFS(Ingredients!$G:$G,Ingredients!$C:$C,A152))</f>
        <v/>
      </c>
      <c r="H152" s="12" t="str">
        <f aca="false">IF(A152="","",SUMIFS(Ingredients!$H:$H,Ingredients!$C:$C,A152))</f>
        <v/>
      </c>
      <c r="I152" s="12" t="str">
        <f aca="false">IF(A152="","",IF(G152&gt;0,IF(D152="Yes",100,0)+F152+ROW()/100000,""))</f>
        <v/>
      </c>
      <c r="J152" s="12" t="str">
        <f aca="false">IF(I152="","",COUNTIF($I$4:$I$503,"&lt;"&amp;I152)+1)</f>
        <v/>
      </c>
    </row>
    <row r="153" customFormat="false" ht="15" hidden="false" customHeight="false" outlineLevel="0" collapsed="false">
      <c r="F153" s="12" t="str">
        <f aca="false">IF(A153="","",IFERROR(MATCH(B153,Lists!$A$2:$A$15,0),99))</f>
        <v/>
      </c>
      <c r="G153" s="12" t="str">
        <f aca="false">IF(A153="","",SUMIFS(Ingredients!$G:$G,Ingredients!$C:$C,A153))</f>
        <v/>
      </c>
      <c r="H153" s="12" t="str">
        <f aca="false">IF(A153="","",SUMIFS(Ingredients!$H:$H,Ingredients!$C:$C,A153))</f>
        <v/>
      </c>
      <c r="I153" s="12" t="str">
        <f aca="false">IF(A153="","",IF(G153&gt;0,IF(D153="Yes",100,0)+F153+ROW()/100000,""))</f>
        <v/>
      </c>
      <c r="J153" s="12" t="str">
        <f aca="false">IF(I153="","",COUNTIF($I$4:$I$503,"&lt;"&amp;I153)+1)</f>
        <v/>
      </c>
    </row>
    <row r="154" customFormat="false" ht="15" hidden="false" customHeight="false" outlineLevel="0" collapsed="false">
      <c r="F154" s="12" t="str">
        <f aca="false">IF(A154="","",IFERROR(MATCH(B154,Lists!$A$2:$A$15,0),99))</f>
        <v/>
      </c>
      <c r="G154" s="12" t="str">
        <f aca="false">IF(A154="","",SUMIFS(Ingredients!$G:$G,Ingredients!$C:$C,A154))</f>
        <v/>
      </c>
      <c r="H154" s="12" t="str">
        <f aca="false">IF(A154="","",SUMIFS(Ingredients!$H:$H,Ingredients!$C:$C,A154))</f>
        <v/>
      </c>
      <c r="I154" s="12" t="str">
        <f aca="false">IF(A154="","",IF(G154&gt;0,IF(D154="Yes",100,0)+F154+ROW()/100000,""))</f>
        <v/>
      </c>
      <c r="J154" s="12" t="str">
        <f aca="false">IF(I154="","",COUNTIF($I$4:$I$503,"&lt;"&amp;I154)+1)</f>
        <v/>
      </c>
    </row>
    <row r="155" customFormat="false" ht="15" hidden="false" customHeight="false" outlineLevel="0" collapsed="false">
      <c r="F155" s="12" t="str">
        <f aca="false">IF(A155="","",IFERROR(MATCH(B155,Lists!$A$2:$A$15,0),99))</f>
        <v/>
      </c>
      <c r="G155" s="12" t="str">
        <f aca="false">IF(A155="","",SUMIFS(Ingredients!$G:$G,Ingredients!$C:$C,A155))</f>
        <v/>
      </c>
      <c r="H155" s="12" t="str">
        <f aca="false">IF(A155="","",SUMIFS(Ingredients!$H:$H,Ingredients!$C:$C,A155))</f>
        <v/>
      </c>
      <c r="I155" s="12" t="str">
        <f aca="false">IF(A155="","",IF(G155&gt;0,IF(D155="Yes",100,0)+F155+ROW()/100000,""))</f>
        <v/>
      </c>
      <c r="J155" s="12" t="str">
        <f aca="false">IF(I155="","",COUNTIF($I$4:$I$503,"&lt;"&amp;I155)+1)</f>
        <v/>
      </c>
    </row>
    <row r="156" customFormat="false" ht="15" hidden="false" customHeight="false" outlineLevel="0" collapsed="false">
      <c r="F156" s="12" t="str">
        <f aca="false">IF(A156="","",IFERROR(MATCH(B156,Lists!$A$2:$A$15,0),99))</f>
        <v/>
      </c>
      <c r="G156" s="12" t="str">
        <f aca="false">IF(A156="","",SUMIFS(Ingredients!$G:$G,Ingredients!$C:$C,A156))</f>
        <v/>
      </c>
      <c r="H156" s="12" t="str">
        <f aca="false">IF(A156="","",SUMIFS(Ingredients!$H:$H,Ingredients!$C:$C,A156))</f>
        <v/>
      </c>
      <c r="I156" s="12" t="str">
        <f aca="false">IF(A156="","",IF(G156&gt;0,IF(D156="Yes",100,0)+F156+ROW()/100000,""))</f>
        <v/>
      </c>
      <c r="J156" s="12" t="str">
        <f aca="false">IF(I156="","",COUNTIF($I$4:$I$503,"&lt;"&amp;I156)+1)</f>
        <v/>
      </c>
    </row>
    <row r="157" customFormat="false" ht="15" hidden="false" customHeight="false" outlineLevel="0" collapsed="false">
      <c r="F157" s="12" t="str">
        <f aca="false">IF(A157="","",IFERROR(MATCH(B157,Lists!$A$2:$A$15,0),99))</f>
        <v/>
      </c>
      <c r="G157" s="12" t="str">
        <f aca="false">IF(A157="","",SUMIFS(Ingredients!$G:$G,Ingredients!$C:$C,A157))</f>
        <v/>
      </c>
      <c r="H157" s="12" t="str">
        <f aca="false">IF(A157="","",SUMIFS(Ingredients!$H:$H,Ingredients!$C:$C,A157))</f>
        <v/>
      </c>
      <c r="I157" s="12" t="str">
        <f aca="false">IF(A157="","",IF(G157&gt;0,IF(D157="Yes",100,0)+F157+ROW()/100000,""))</f>
        <v/>
      </c>
      <c r="J157" s="12" t="str">
        <f aca="false">IF(I157="","",COUNTIF($I$4:$I$503,"&lt;"&amp;I157)+1)</f>
        <v/>
      </c>
    </row>
    <row r="158" customFormat="false" ht="15" hidden="false" customHeight="false" outlineLevel="0" collapsed="false">
      <c r="F158" s="12" t="str">
        <f aca="false">IF(A158="","",IFERROR(MATCH(B158,Lists!$A$2:$A$15,0),99))</f>
        <v/>
      </c>
      <c r="G158" s="12" t="str">
        <f aca="false">IF(A158="","",SUMIFS(Ingredients!$G:$G,Ingredients!$C:$C,A158))</f>
        <v/>
      </c>
      <c r="H158" s="12" t="str">
        <f aca="false">IF(A158="","",SUMIFS(Ingredients!$H:$H,Ingredients!$C:$C,A158))</f>
        <v/>
      </c>
      <c r="I158" s="12" t="str">
        <f aca="false">IF(A158="","",IF(G158&gt;0,IF(D158="Yes",100,0)+F158+ROW()/100000,""))</f>
        <v/>
      </c>
      <c r="J158" s="12" t="str">
        <f aca="false">IF(I158="","",COUNTIF($I$4:$I$503,"&lt;"&amp;I158)+1)</f>
        <v/>
      </c>
    </row>
    <row r="159" customFormat="false" ht="15" hidden="false" customHeight="false" outlineLevel="0" collapsed="false">
      <c r="F159" s="12" t="str">
        <f aca="false">IF(A159="","",IFERROR(MATCH(B159,Lists!$A$2:$A$15,0),99))</f>
        <v/>
      </c>
      <c r="G159" s="12" t="str">
        <f aca="false">IF(A159="","",SUMIFS(Ingredients!$G:$G,Ingredients!$C:$C,A159))</f>
        <v/>
      </c>
      <c r="H159" s="12" t="str">
        <f aca="false">IF(A159="","",SUMIFS(Ingredients!$H:$H,Ingredients!$C:$C,A159))</f>
        <v/>
      </c>
      <c r="I159" s="12" t="str">
        <f aca="false">IF(A159="","",IF(G159&gt;0,IF(D159="Yes",100,0)+F159+ROW()/100000,""))</f>
        <v/>
      </c>
      <c r="J159" s="12" t="str">
        <f aca="false">IF(I159="","",COUNTIF($I$4:$I$503,"&lt;"&amp;I159)+1)</f>
        <v/>
      </c>
    </row>
    <row r="160" customFormat="false" ht="15" hidden="false" customHeight="false" outlineLevel="0" collapsed="false">
      <c r="F160" s="12" t="str">
        <f aca="false">IF(A160="","",IFERROR(MATCH(B160,Lists!$A$2:$A$15,0),99))</f>
        <v/>
      </c>
      <c r="G160" s="12" t="str">
        <f aca="false">IF(A160="","",SUMIFS(Ingredients!$G:$G,Ingredients!$C:$C,A160))</f>
        <v/>
      </c>
      <c r="H160" s="12" t="str">
        <f aca="false">IF(A160="","",SUMIFS(Ingredients!$H:$H,Ingredients!$C:$C,A160))</f>
        <v/>
      </c>
      <c r="I160" s="12" t="str">
        <f aca="false">IF(A160="","",IF(G160&gt;0,IF(D160="Yes",100,0)+F160+ROW()/100000,""))</f>
        <v/>
      </c>
      <c r="J160" s="12" t="str">
        <f aca="false">IF(I160="","",COUNTIF($I$4:$I$503,"&lt;"&amp;I160)+1)</f>
        <v/>
      </c>
    </row>
    <row r="161" customFormat="false" ht="15" hidden="false" customHeight="false" outlineLevel="0" collapsed="false">
      <c r="F161" s="12" t="str">
        <f aca="false">IF(A161="","",IFERROR(MATCH(B161,Lists!$A$2:$A$15,0),99))</f>
        <v/>
      </c>
      <c r="G161" s="12" t="str">
        <f aca="false">IF(A161="","",SUMIFS(Ingredients!$G:$G,Ingredients!$C:$C,A161))</f>
        <v/>
      </c>
      <c r="H161" s="12" t="str">
        <f aca="false">IF(A161="","",SUMIFS(Ingredients!$H:$H,Ingredients!$C:$C,A161))</f>
        <v/>
      </c>
      <c r="I161" s="12" t="str">
        <f aca="false">IF(A161="","",IF(G161&gt;0,IF(D161="Yes",100,0)+F161+ROW()/100000,""))</f>
        <v/>
      </c>
      <c r="J161" s="12" t="str">
        <f aca="false">IF(I161="","",COUNTIF($I$4:$I$503,"&lt;"&amp;I161)+1)</f>
        <v/>
      </c>
    </row>
    <row r="162" customFormat="false" ht="15" hidden="false" customHeight="false" outlineLevel="0" collapsed="false">
      <c r="F162" s="12" t="str">
        <f aca="false">IF(A162="","",IFERROR(MATCH(B162,Lists!$A$2:$A$15,0),99))</f>
        <v/>
      </c>
      <c r="G162" s="12" t="str">
        <f aca="false">IF(A162="","",SUMIFS(Ingredients!$G:$G,Ingredients!$C:$C,A162))</f>
        <v/>
      </c>
      <c r="H162" s="12" t="str">
        <f aca="false">IF(A162="","",SUMIFS(Ingredients!$H:$H,Ingredients!$C:$C,A162))</f>
        <v/>
      </c>
      <c r="I162" s="12" t="str">
        <f aca="false">IF(A162="","",IF(G162&gt;0,IF(D162="Yes",100,0)+F162+ROW()/100000,""))</f>
        <v/>
      </c>
      <c r="J162" s="12" t="str">
        <f aca="false">IF(I162="","",COUNTIF($I$4:$I$503,"&lt;"&amp;I162)+1)</f>
        <v/>
      </c>
    </row>
    <row r="163" customFormat="false" ht="15" hidden="false" customHeight="false" outlineLevel="0" collapsed="false">
      <c r="F163" s="12" t="str">
        <f aca="false">IF(A163="","",IFERROR(MATCH(B163,Lists!$A$2:$A$15,0),99))</f>
        <v/>
      </c>
      <c r="G163" s="12" t="str">
        <f aca="false">IF(A163="","",SUMIFS(Ingredients!$G:$G,Ingredients!$C:$C,A163))</f>
        <v/>
      </c>
      <c r="H163" s="12" t="str">
        <f aca="false">IF(A163="","",SUMIFS(Ingredients!$H:$H,Ingredients!$C:$C,A163))</f>
        <v/>
      </c>
      <c r="I163" s="12" t="str">
        <f aca="false">IF(A163="","",IF(G163&gt;0,IF(D163="Yes",100,0)+F163+ROW()/100000,""))</f>
        <v/>
      </c>
      <c r="J163" s="12" t="str">
        <f aca="false">IF(I163="","",COUNTIF($I$4:$I$503,"&lt;"&amp;I163)+1)</f>
        <v/>
      </c>
    </row>
    <row r="164" customFormat="false" ht="15" hidden="false" customHeight="false" outlineLevel="0" collapsed="false">
      <c r="F164" s="12" t="str">
        <f aca="false">IF(A164="","",IFERROR(MATCH(B164,Lists!$A$2:$A$15,0),99))</f>
        <v/>
      </c>
      <c r="G164" s="12" t="str">
        <f aca="false">IF(A164="","",SUMIFS(Ingredients!$G:$G,Ingredients!$C:$C,A164))</f>
        <v/>
      </c>
      <c r="H164" s="12" t="str">
        <f aca="false">IF(A164="","",SUMIFS(Ingredients!$H:$H,Ingredients!$C:$C,A164))</f>
        <v/>
      </c>
      <c r="I164" s="12" t="str">
        <f aca="false">IF(A164="","",IF(G164&gt;0,IF(D164="Yes",100,0)+F164+ROW()/100000,""))</f>
        <v/>
      </c>
      <c r="J164" s="12" t="str">
        <f aca="false">IF(I164="","",COUNTIF($I$4:$I$503,"&lt;"&amp;I164)+1)</f>
        <v/>
      </c>
    </row>
    <row r="165" customFormat="false" ht="15" hidden="false" customHeight="false" outlineLevel="0" collapsed="false">
      <c r="F165" s="12" t="str">
        <f aca="false">IF(A165="","",IFERROR(MATCH(B165,Lists!$A$2:$A$15,0),99))</f>
        <v/>
      </c>
      <c r="G165" s="12" t="str">
        <f aca="false">IF(A165="","",SUMIFS(Ingredients!$G:$G,Ingredients!$C:$C,A165))</f>
        <v/>
      </c>
      <c r="H165" s="12" t="str">
        <f aca="false">IF(A165="","",SUMIFS(Ingredients!$H:$H,Ingredients!$C:$C,A165))</f>
        <v/>
      </c>
      <c r="I165" s="12" t="str">
        <f aca="false">IF(A165="","",IF(G165&gt;0,IF(D165="Yes",100,0)+F165+ROW()/100000,""))</f>
        <v/>
      </c>
      <c r="J165" s="12" t="str">
        <f aca="false">IF(I165="","",COUNTIF($I$4:$I$503,"&lt;"&amp;I165)+1)</f>
        <v/>
      </c>
    </row>
    <row r="166" customFormat="false" ht="15" hidden="false" customHeight="false" outlineLevel="0" collapsed="false">
      <c r="F166" s="12" t="str">
        <f aca="false">IF(A166="","",IFERROR(MATCH(B166,Lists!$A$2:$A$15,0),99))</f>
        <v/>
      </c>
      <c r="G166" s="12" t="str">
        <f aca="false">IF(A166="","",SUMIFS(Ingredients!$G:$G,Ingredients!$C:$C,A166))</f>
        <v/>
      </c>
      <c r="H166" s="12" t="str">
        <f aca="false">IF(A166="","",SUMIFS(Ingredients!$H:$H,Ingredients!$C:$C,A166))</f>
        <v/>
      </c>
      <c r="I166" s="12" t="str">
        <f aca="false">IF(A166="","",IF(G166&gt;0,IF(D166="Yes",100,0)+F166+ROW()/100000,""))</f>
        <v/>
      </c>
      <c r="J166" s="12" t="str">
        <f aca="false">IF(I166="","",COUNTIF($I$4:$I$503,"&lt;"&amp;I166)+1)</f>
        <v/>
      </c>
    </row>
    <row r="167" customFormat="false" ht="15" hidden="false" customHeight="false" outlineLevel="0" collapsed="false">
      <c r="F167" s="12" t="str">
        <f aca="false">IF(A167="","",IFERROR(MATCH(B167,Lists!$A$2:$A$15,0),99))</f>
        <v/>
      </c>
      <c r="G167" s="12" t="str">
        <f aca="false">IF(A167="","",SUMIFS(Ingredients!$G:$G,Ingredients!$C:$C,A167))</f>
        <v/>
      </c>
      <c r="H167" s="12" t="str">
        <f aca="false">IF(A167="","",SUMIFS(Ingredients!$H:$H,Ingredients!$C:$C,A167))</f>
        <v/>
      </c>
      <c r="I167" s="12" t="str">
        <f aca="false">IF(A167="","",IF(G167&gt;0,IF(D167="Yes",100,0)+F167+ROW()/100000,""))</f>
        <v/>
      </c>
      <c r="J167" s="12" t="str">
        <f aca="false">IF(I167="","",COUNTIF($I$4:$I$503,"&lt;"&amp;I167)+1)</f>
        <v/>
      </c>
    </row>
    <row r="168" customFormat="false" ht="15" hidden="false" customHeight="false" outlineLevel="0" collapsed="false">
      <c r="F168" s="12" t="str">
        <f aca="false">IF(A168="","",IFERROR(MATCH(B168,Lists!$A$2:$A$15,0),99))</f>
        <v/>
      </c>
      <c r="G168" s="12" t="str">
        <f aca="false">IF(A168="","",SUMIFS(Ingredients!$G:$G,Ingredients!$C:$C,A168))</f>
        <v/>
      </c>
      <c r="H168" s="12" t="str">
        <f aca="false">IF(A168="","",SUMIFS(Ingredients!$H:$H,Ingredients!$C:$C,A168))</f>
        <v/>
      </c>
      <c r="I168" s="12" t="str">
        <f aca="false">IF(A168="","",IF(G168&gt;0,IF(D168="Yes",100,0)+F168+ROW()/100000,""))</f>
        <v/>
      </c>
      <c r="J168" s="12" t="str">
        <f aca="false">IF(I168="","",COUNTIF($I$4:$I$503,"&lt;"&amp;I168)+1)</f>
        <v/>
      </c>
    </row>
    <row r="169" customFormat="false" ht="15" hidden="false" customHeight="false" outlineLevel="0" collapsed="false">
      <c r="F169" s="12" t="str">
        <f aca="false">IF(A169="","",IFERROR(MATCH(B169,Lists!$A$2:$A$15,0),99))</f>
        <v/>
      </c>
      <c r="G169" s="12" t="str">
        <f aca="false">IF(A169="","",SUMIFS(Ingredients!$G:$G,Ingredients!$C:$C,A169))</f>
        <v/>
      </c>
      <c r="H169" s="12" t="str">
        <f aca="false">IF(A169="","",SUMIFS(Ingredients!$H:$H,Ingredients!$C:$C,A169))</f>
        <v/>
      </c>
      <c r="I169" s="12" t="str">
        <f aca="false">IF(A169="","",IF(G169&gt;0,IF(D169="Yes",100,0)+F169+ROW()/100000,""))</f>
        <v/>
      </c>
      <c r="J169" s="12" t="str">
        <f aca="false">IF(I169="","",COUNTIF($I$4:$I$503,"&lt;"&amp;I169)+1)</f>
        <v/>
      </c>
    </row>
    <row r="170" customFormat="false" ht="15" hidden="false" customHeight="false" outlineLevel="0" collapsed="false">
      <c r="F170" s="12" t="str">
        <f aca="false">IF(A170="","",IFERROR(MATCH(B170,Lists!$A$2:$A$15,0),99))</f>
        <v/>
      </c>
      <c r="G170" s="12" t="str">
        <f aca="false">IF(A170="","",SUMIFS(Ingredients!$G:$G,Ingredients!$C:$C,A170))</f>
        <v/>
      </c>
      <c r="H170" s="12" t="str">
        <f aca="false">IF(A170="","",SUMIFS(Ingredients!$H:$H,Ingredients!$C:$C,A170))</f>
        <v/>
      </c>
      <c r="I170" s="12" t="str">
        <f aca="false">IF(A170="","",IF(G170&gt;0,IF(D170="Yes",100,0)+F170+ROW()/100000,""))</f>
        <v/>
      </c>
      <c r="J170" s="12" t="str">
        <f aca="false">IF(I170="","",COUNTIF($I$4:$I$503,"&lt;"&amp;I170)+1)</f>
        <v/>
      </c>
    </row>
    <row r="171" customFormat="false" ht="15" hidden="false" customHeight="false" outlineLevel="0" collapsed="false">
      <c r="F171" s="12" t="str">
        <f aca="false">IF(A171="","",IFERROR(MATCH(B171,Lists!$A$2:$A$15,0),99))</f>
        <v/>
      </c>
      <c r="G171" s="12" t="str">
        <f aca="false">IF(A171="","",SUMIFS(Ingredients!$G:$G,Ingredients!$C:$C,A171))</f>
        <v/>
      </c>
      <c r="H171" s="12" t="str">
        <f aca="false">IF(A171="","",SUMIFS(Ingredients!$H:$H,Ingredients!$C:$C,A171))</f>
        <v/>
      </c>
      <c r="I171" s="12" t="str">
        <f aca="false">IF(A171="","",IF(G171&gt;0,IF(D171="Yes",100,0)+F171+ROW()/100000,""))</f>
        <v/>
      </c>
      <c r="J171" s="12" t="str">
        <f aca="false">IF(I171="","",COUNTIF($I$4:$I$503,"&lt;"&amp;I171)+1)</f>
        <v/>
      </c>
    </row>
    <row r="172" customFormat="false" ht="15" hidden="false" customHeight="false" outlineLevel="0" collapsed="false">
      <c r="F172" s="12" t="str">
        <f aca="false">IF(A172="","",IFERROR(MATCH(B172,Lists!$A$2:$A$15,0),99))</f>
        <v/>
      </c>
      <c r="G172" s="12" t="str">
        <f aca="false">IF(A172="","",SUMIFS(Ingredients!$G:$G,Ingredients!$C:$C,A172))</f>
        <v/>
      </c>
      <c r="H172" s="12" t="str">
        <f aca="false">IF(A172="","",SUMIFS(Ingredients!$H:$H,Ingredients!$C:$C,A172))</f>
        <v/>
      </c>
      <c r="I172" s="12" t="str">
        <f aca="false">IF(A172="","",IF(G172&gt;0,IF(D172="Yes",100,0)+F172+ROW()/100000,""))</f>
        <v/>
      </c>
      <c r="J172" s="12" t="str">
        <f aca="false">IF(I172="","",COUNTIF($I$4:$I$503,"&lt;"&amp;I172)+1)</f>
        <v/>
      </c>
    </row>
    <row r="173" customFormat="false" ht="15" hidden="false" customHeight="false" outlineLevel="0" collapsed="false">
      <c r="F173" s="12" t="str">
        <f aca="false">IF(A173="","",IFERROR(MATCH(B173,Lists!$A$2:$A$15,0),99))</f>
        <v/>
      </c>
      <c r="G173" s="12" t="str">
        <f aca="false">IF(A173="","",SUMIFS(Ingredients!$G:$G,Ingredients!$C:$C,A173))</f>
        <v/>
      </c>
      <c r="H173" s="12" t="str">
        <f aca="false">IF(A173="","",SUMIFS(Ingredients!$H:$H,Ingredients!$C:$C,A173))</f>
        <v/>
      </c>
      <c r="I173" s="12" t="str">
        <f aca="false">IF(A173="","",IF(G173&gt;0,IF(D173="Yes",100,0)+F173+ROW()/100000,""))</f>
        <v/>
      </c>
      <c r="J173" s="12" t="str">
        <f aca="false">IF(I173="","",COUNTIF($I$4:$I$503,"&lt;"&amp;I173)+1)</f>
        <v/>
      </c>
    </row>
    <row r="174" customFormat="false" ht="15" hidden="false" customHeight="false" outlineLevel="0" collapsed="false">
      <c r="F174" s="12" t="str">
        <f aca="false">IF(A174="","",IFERROR(MATCH(B174,Lists!$A$2:$A$15,0),99))</f>
        <v/>
      </c>
      <c r="G174" s="12" t="str">
        <f aca="false">IF(A174="","",SUMIFS(Ingredients!$G:$G,Ingredients!$C:$C,A174))</f>
        <v/>
      </c>
      <c r="H174" s="12" t="str">
        <f aca="false">IF(A174="","",SUMIFS(Ingredients!$H:$H,Ingredients!$C:$C,A174))</f>
        <v/>
      </c>
      <c r="I174" s="12" t="str">
        <f aca="false">IF(A174="","",IF(G174&gt;0,IF(D174="Yes",100,0)+F174+ROW()/100000,""))</f>
        <v/>
      </c>
      <c r="J174" s="12" t="str">
        <f aca="false">IF(I174="","",COUNTIF($I$4:$I$503,"&lt;"&amp;I174)+1)</f>
        <v/>
      </c>
    </row>
    <row r="175" customFormat="false" ht="15" hidden="false" customHeight="false" outlineLevel="0" collapsed="false">
      <c r="F175" s="12" t="str">
        <f aca="false">IF(A175="","",IFERROR(MATCH(B175,Lists!$A$2:$A$15,0),99))</f>
        <v/>
      </c>
      <c r="G175" s="12" t="str">
        <f aca="false">IF(A175="","",SUMIFS(Ingredients!$G:$G,Ingredients!$C:$C,A175))</f>
        <v/>
      </c>
      <c r="H175" s="12" t="str">
        <f aca="false">IF(A175="","",SUMIFS(Ingredients!$H:$H,Ingredients!$C:$C,A175))</f>
        <v/>
      </c>
      <c r="I175" s="12" t="str">
        <f aca="false">IF(A175="","",IF(G175&gt;0,IF(D175="Yes",100,0)+F175+ROW()/100000,""))</f>
        <v/>
      </c>
      <c r="J175" s="12" t="str">
        <f aca="false">IF(I175="","",COUNTIF($I$4:$I$503,"&lt;"&amp;I175)+1)</f>
        <v/>
      </c>
    </row>
    <row r="176" customFormat="false" ht="15" hidden="false" customHeight="false" outlineLevel="0" collapsed="false">
      <c r="F176" s="12" t="str">
        <f aca="false">IF(A176="","",IFERROR(MATCH(B176,Lists!$A$2:$A$15,0),99))</f>
        <v/>
      </c>
      <c r="G176" s="12" t="str">
        <f aca="false">IF(A176="","",SUMIFS(Ingredients!$G:$G,Ingredients!$C:$C,A176))</f>
        <v/>
      </c>
      <c r="H176" s="12" t="str">
        <f aca="false">IF(A176="","",SUMIFS(Ingredients!$H:$H,Ingredients!$C:$C,A176))</f>
        <v/>
      </c>
      <c r="I176" s="12" t="str">
        <f aca="false">IF(A176="","",IF(G176&gt;0,IF(D176="Yes",100,0)+F176+ROW()/100000,""))</f>
        <v/>
      </c>
      <c r="J176" s="12" t="str">
        <f aca="false">IF(I176="","",COUNTIF($I$4:$I$503,"&lt;"&amp;I176)+1)</f>
        <v/>
      </c>
    </row>
    <row r="177" customFormat="false" ht="15" hidden="false" customHeight="false" outlineLevel="0" collapsed="false">
      <c r="F177" s="12" t="str">
        <f aca="false">IF(A177="","",IFERROR(MATCH(B177,Lists!$A$2:$A$15,0),99))</f>
        <v/>
      </c>
      <c r="G177" s="12" t="str">
        <f aca="false">IF(A177="","",SUMIFS(Ingredients!$G:$G,Ingredients!$C:$C,A177))</f>
        <v/>
      </c>
      <c r="H177" s="12" t="str">
        <f aca="false">IF(A177="","",SUMIFS(Ingredients!$H:$H,Ingredients!$C:$C,A177))</f>
        <v/>
      </c>
      <c r="I177" s="12" t="str">
        <f aca="false">IF(A177="","",IF(G177&gt;0,IF(D177="Yes",100,0)+F177+ROW()/100000,""))</f>
        <v/>
      </c>
      <c r="J177" s="12" t="str">
        <f aca="false">IF(I177="","",COUNTIF($I$4:$I$503,"&lt;"&amp;I177)+1)</f>
        <v/>
      </c>
    </row>
    <row r="178" customFormat="false" ht="15" hidden="false" customHeight="false" outlineLevel="0" collapsed="false">
      <c r="F178" s="12" t="str">
        <f aca="false">IF(A178="","",IFERROR(MATCH(B178,Lists!$A$2:$A$15,0),99))</f>
        <v/>
      </c>
      <c r="G178" s="12" t="str">
        <f aca="false">IF(A178="","",SUMIFS(Ingredients!$G:$G,Ingredients!$C:$C,A178))</f>
        <v/>
      </c>
      <c r="H178" s="12" t="str">
        <f aca="false">IF(A178="","",SUMIFS(Ingredients!$H:$H,Ingredients!$C:$C,A178))</f>
        <v/>
      </c>
      <c r="I178" s="12" t="str">
        <f aca="false">IF(A178="","",IF(G178&gt;0,IF(D178="Yes",100,0)+F178+ROW()/100000,""))</f>
        <v/>
      </c>
      <c r="J178" s="12" t="str">
        <f aca="false">IF(I178="","",COUNTIF($I$4:$I$503,"&lt;"&amp;I178)+1)</f>
        <v/>
      </c>
    </row>
    <row r="179" customFormat="false" ht="15" hidden="false" customHeight="false" outlineLevel="0" collapsed="false">
      <c r="F179" s="12" t="str">
        <f aca="false">IF(A179="","",IFERROR(MATCH(B179,Lists!$A$2:$A$15,0),99))</f>
        <v/>
      </c>
      <c r="G179" s="12" t="str">
        <f aca="false">IF(A179="","",SUMIFS(Ingredients!$G:$G,Ingredients!$C:$C,A179))</f>
        <v/>
      </c>
      <c r="H179" s="12" t="str">
        <f aca="false">IF(A179="","",SUMIFS(Ingredients!$H:$H,Ingredients!$C:$C,A179))</f>
        <v/>
      </c>
      <c r="I179" s="12" t="str">
        <f aca="false">IF(A179="","",IF(G179&gt;0,IF(D179="Yes",100,0)+F179+ROW()/100000,""))</f>
        <v/>
      </c>
      <c r="J179" s="12" t="str">
        <f aca="false">IF(I179="","",COUNTIF($I$4:$I$503,"&lt;"&amp;I179)+1)</f>
        <v/>
      </c>
    </row>
    <row r="180" customFormat="false" ht="15" hidden="false" customHeight="false" outlineLevel="0" collapsed="false">
      <c r="F180" s="12" t="str">
        <f aca="false">IF(A180="","",IFERROR(MATCH(B180,Lists!$A$2:$A$15,0),99))</f>
        <v/>
      </c>
      <c r="G180" s="12" t="str">
        <f aca="false">IF(A180="","",SUMIFS(Ingredients!$G:$G,Ingredients!$C:$C,A180))</f>
        <v/>
      </c>
      <c r="H180" s="12" t="str">
        <f aca="false">IF(A180="","",SUMIFS(Ingredients!$H:$H,Ingredients!$C:$C,A180))</f>
        <v/>
      </c>
      <c r="I180" s="12" t="str">
        <f aca="false">IF(A180="","",IF(G180&gt;0,IF(D180="Yes",100,0)+F180+ROW()/100000,""))</f>
        <v/>
      </c>
      <c r="J180" s="12" t="str">
        <f aca="false">IF(I180="","",COUNTIF($I$4:$I$503,"&lt;"&amp;I180)+1)</f>
        <v/>
      </c>
    </row>
    <row r="181" customFormat="false" ht="15" hidden="false" customHeight="false" outlineLevel="0" collapsed="false">
      <c r="F181" s="12" t="str">
        <f aca="false">IF(A181="","",IFERROR(MATCH(B181,Lists!$A$2:$A$15,0),99))</f>
        <v/>
      </c>
      <c r="G181" s="12" t="str">
        <f aca="false">IF(A181="","",SUMIFS(Ingredients!$G:$G,Ingredients!$C:$C,A181))</f>
        <v/>
      </c>
      <c r="H181" s="12" t="str">
        <f aca="false">IF(A181="","",SUMIFS(Ingredients!$H:$H,Ingredients!$C:$C,A181))</f>
        <v/>
      </c>
      <c r="I181" s="12" t="str">
        <f aca="false">IF(A181="","",IF(G181&gt;0,IF(D181="Yes",100,0)+F181+ROW()/100000,""))</f>
        <v/>
      </c>
      <c r="J181" s="12" t="str">
        <f aca="false">IF(I181="","",COUNTIF($I$4:$I$503,"&lt;"&amp;I181)+1)</f>
        <v/>
      </c>
    </row>
    <row r="182" customFormat="false" ht="15" hidden="false" customHeight="false" outlineLevel="0" collapsed="false">
      <c r="F182" s="12" t="str">
        <f aca="false">IF(A182="","",IFERROR(MATCH(B182,Lists!$A$2:$A$15,0),99))</f>
        <v/>
      </c>
      <c r="G182" s="12" t="str">
        <f aca="false">IF(A182="","",SUMIFS(Ingredients!$G:$G,Ingredients!$C:$C,A182))</f>
        <v/>
      </c>
      <c r="H182" s="12" t="str">
        <f aca="false">IF(A182="","",SUMIFS(Ingredients!$H:$H,Ingredients!$C:$C,A182))</f>
        <v/>
      </c>
      <c r="I182" s="12" t="str">
        <f aca="false">IF(A182="","",IF(G182&gt;0,IF(D182="Yes",100,0)+F182+ROW()/100000,""))</f>
        <v/>
      </c>
      <c r="J182" s="12" t="str">
        <f aca="false">IF(I182="","",COUNTIF($I$4:$I$503,"&lt;"&amp;I182)+1)</f>
        <v/>
      </c>
    </row>
    <row r="183" customFormat="false" ht="15" hidden="false" customHeight="false" outlineLevel="0" collapsed="false">
      <c r="F183" s="12" t="str">
        <f aca="false">IF(A183="","",IFERROR(MATCH(B183,Lists!$A$2:$A$15,0),99))</f>
        <v/>
      </c>
      <c r="G183" s="12" t="str">
        <f aca="false">IF(A183="","",SUMIFS(Ingredients!$G:$G,Ingredients!$C:$C,A183))</f>
        <v/>
      </c>
      <c r="H183" s="12" t="str">
        <f aca="false">IF(A183="","",SUMIFS(Ingredients!$H:$H,Ingredients!$C:$C,A183))</f>
        <v/>
      </c>
      <c r="I183" s="12" t="str">
        <f aca="false">IF(A183="","",IF(G183&gt;0,IF(D183="Yes",100,0)+F183+ROW()/100000,""))</f>
        <v/>
      </c>
      <c r="J183" s="12" t="str">
        <f aca="false">IF(I183="","",COUNTIF($I$4:$I$503,"&lt;"&amp;I183)+1)</f>
        <v/>
      </c>
    </row>
    <row r="184" customFormat="false" ht="15" hidden="false" customHeight="false" outlineLevel="0" collapsed="false">
      <c r="F184" s="12" t="str">
        <f aca="false">IF(A184="","",IFERROR(MATCH(B184,Lists!$A$2:$A$15,0),99))</f>
        <v/>
      </c>
      <c r="G184" s="12" t="str">
        <f aca="false">IF(A184="","",SUMIFS(Ingredients!$G:$G,Ingredients!$C:$C,A184))</f>
        <v/>
      </c>
      <c r="H184" s="12" t="str">
        <f aca="false">IF(A184="","",SUMIFS(Ingredients!$H:$H,Ingredients!$C:$C,A184))</f>
        <v/>
      </c>
      <c r="I184" s="12" t="str">
        <f aca="false">IF(A184="","",IF(G184&gt;0,IF(D184="Yes",100,0)+F184+ROW()/100000,""))</f>
        <v/>
      </c>
      <c r="J184" s="12" t="str">
        <f aca="false">IF(I184="","",COUNTIF($I$4:$I$503,"&lt;"&amp;I184)+1)</f>
        <v/>
      </c>
    </row>
    <row r="185" customFormat="false" ht="15" hidden="false" customHeight="false" outlineLevel="0" collapsed="false">
      <c r="F185" s="12" t="str">
        <f aca="false">IF(A185="","",IFERROR(MATCH(B185,Lists!$A$2:$A$15,0),99))</f>
        <v/>
      </c>
      <c r="G185" s="12" t="str">
        <f aca="false">IF(A185="","",SUMIFS(Ingredients!$G:$G,Ingredients!$C:$C,A185))</f>
        <v/>
      </c>
      <c r="H185" s="12" t="str">
        <f aca="false">IF(A185="","",SUMIFS(Ingredients!$H:$H,Ingredients!$C:$C,A185))</f>
        <v/>
      </c>
      <c r="I185" s="12" t="str">
        <f aca="false">IF(A185="","",IF(G185&gt;0,IF(D185="Yes",100,0)+F185+ROW()/100000,""))</f>
        <v/>
      </c>
      <c r="J185" s="12" t="str">
        <f aca="false">IF(I185="","",COUNTIF($I$4:$I$503,"&lt;"&amp;I185)+1)</f>
        <v/>
      </c>
    </row>
    <row r="186" customFormat="false" ht="15" hidden="false" customHeight="false" outlineLevel="0" collapsed="false">
      <c r="F186" s="12" t="str">
        <f aca="false">IF(A186="","",IFERROR(MATCH(B186,Lists!$A$2:$A$15,0),99))</f>
        <v/>
      </c>
      <c r="G186" s="12" t="str">
        <f aca="false">IF(A186="","",SUMIFS(Ingredients!$G:$G,Ingredients!$C:$C,A186))</f>
        <v/>
      </c>
      <c r="H186" s="12" t="str">
        <f aca="false">IF(A186="","",SUMIFS(Ingredients!$H:$H,Ingredients!$C:$C,A186))</f>
        <v/>
      </c>
      <c r="I186" s="12" t="str">
        <f aca="false">IF(A186="","",IF(G186&gt;0,IF(D186="Yes",100,0)+F186+ROW()/100000,""))</f>
        <v/>
      </c>
      <c r="J186" s="12" t="str">
        <f aca="false">IF(I186="","",COUNTIF($I$4:$I$503,"&lt;"&amp;I186)+1)</f>
        <v/>
      </c>
    </row>
    <row r="187" customFormat="false" ht="15" hidden="false" customHeight="false" outlineLevel="0" collapsed="false">
      <c r="F187" s="12" t="str">
        <f aca="false">IF(A187="","",IFERROR(MATCH(B187,Lists!$A$2:$A$15,0),99))</f>
        <v/>
      </c>
      <c r="G187" s="12" t="str">
        <f aca="false">IF(A187="","",SUMIFS(Ingredients!$G:$G,Ingredients!$C:$C,A187))</f>
        <v/>
      </c>
      <c r="H187" s="12" t="str">
        <f aca="false">IF(A187="","",SUMIFS(Ingredients!$H:$H,Ingredients!$C:$C,A187))</f>
        <v/>
      </c>
      <c r="I187" s="12" t="str">
        <f aca="false">IF(A187="","",IF(G187&gt;0,IF(D187="Yes",100,0)+F187+ROW()/100000,""))</f>
        <v/>
      </c>
      <c r="J187" s="12" t="str">
        <f aca="false">IF(I187="","",COUNTIF($I$4:$I$503,"&lt;"&amp;I187)+1)</f>
        <v/>
      </c>
    </row>
    <row r="188" customFormat="false" ht="15" hidden="false" customHeight="false" outlineLevel="0" collapsed="false">
      <c r="F188" s="12" t="str">
        <f aca="false">IF(A188="","",IFERROR(MATCH(B188,Lists!$A$2:$A$15,0),99))</f>
        <v/>
      </c>
      <c r="G188" s="12" t="str">
        <f aca="false">IF(A188="","",SUMIFS(Ingredients!$G:$G,Ingredients!$C:$C,A188))</f>
        <v/>
      </c>
      <c r="H188" s="12" t="str">
        <f aca="false">IF(A188="","",SUMIFS(Ingredients!$H:$H,Ingredients!$C:$C,A188))</f>
        <v/>
      </c>
      <c r="I188" s="12" t="str">
        <f aca="false">IF(A188="","",IF(G188&gt;0,IF(D188="Yes",100,0)+F188+ROW()/100000,""))</f>
        <v/>
      </c>
      <c r="J188" s="12" t="str">
        <f aca="false">IF(I188="","",COUNTIF($I$4:$I$503,"&lt;"&amp;I188)+1)</f>
        <v/>
      </c>
    </row>
    <row r="189" customFormat="false" ht="15" hidden="false" customHeight="false" outlineLevel="0" collapsed="false">
      <c r="F189" s="12" t="str">
        <f aca="false">IF(A189="","",IFERROR(MATCH(B189,Lists!$A$2:$A$15,0),99))</f>
        <v/>
      </c>
      <c r="G189" s="12" t="str">
        <f aca="false">IF(A189="","",SUMIFS(Ingredients!$G:$G,Ingredients!$C:$C,A189))</f>
        <v/>
      </c>
      <c r="H189" s="12" t="str">
        <f aca="false">IF(A189="","",SUMIFS(Ingredients!$H:$H,Ingredients!$C:$C,A189))</f>
        <v/>
      </c>
      <c r="I189" s="12" t="str">
        <f aca="false">IF(A189="","",IF(G189&gt;0,IF(D189="Yes",100,0)+F189+ROW()/100000,""))</f>
        <v/>
      </c>
      <c r="J189" s="12" t="str">
        <f aca="false">IF(I189="","",COUNTIF($I$4:$I$503,"&lt;"&amp;I189)+1)</f>
        <v/>
      </c>
    </row>
    <row r="190" customFormat="false" ht="15" hidden="false" customHeight="false" outlineLevel="0" collapsed="false">
      <c r="F190" s="12" t="str">
        <f aca="false">IF(A190="","",IFERROR(MATCH(B190,Lists!$A$2:$A$15,0),99))</f>
        <v/>
      </c>
      <c r="G190" s="12" t="str">
        <f aca="false">IF(A190="","",SUMIFS(Ingredients!$G:$G,Ingredients!$C:$C,A190))</f>
        <v/>
      </c>
      <c r="H190" s="12" t="str">
        <f aca="false">IF(A190="","",SUMIFS(Ingredients!$H:$H,Ingredients!$C:$C,A190))</f>
        <v/>
      </c>
      <c r="I190" s="12" t="str">
        <f aca="false">IF(A190="","",IF(G190&gt;0,IF(D190="Yes",100,0)+F190+ROW()/100000,""))</f>
        <v/>
      </c>
      <c r="J190" s="12" t="str">
        <f aca="false">IF(I190="","",COUNTIF($I$4:$I$503,"&lt;"&amp;I190)+1)</f>
        <v/>
      </c>
    </row>
    <row r="191" customFormat="false" ht="15" hidden="false" customHeight="false" outlineLevel="0" collapsed="false">
      <c r="F191" s="12" t="str">
        <f aca="false">IF(A191="","",IFERROR(MATCH(B191,Lists!$A$2:$A$15,0),99))</f>
        <v/>
      </c>
      <c r="G191" s="12" t="str">
        <f aca="false">IF(A191="","",SUMIFS(Ingredients!$G:$G,Ingredients!$C:$C,A191))</f>
        <v/>
      </c>
      <c r="H191" s="12" t="str">
        <f aca="false">IF(A191="","",SUMIFS(Ingredients!$H:$H,Ingredients!$C:$C,A191))</f>
        <v/>
      </c>
      <c r="I191" s="12" t="str">
        <f aca="false">IF(A191="","",IF(G191&gt;0,IF(D191="Yes",100,0)+F191+ROW()/100000,""))</f>
        <v/>
      </c>
      <c r="J191" s="12" t="str">
        <f aca="false">IF(I191="","",COUNTIF($I$4:$I$503,"&lt;"&amp;I191)+1)</f>
        <v/>
      </c>
    </row>
    <row r="192" customFormat="false" ht="15" hidden="false" customHeight="false" outlineLevel="0" collapsed="false">
      <c r="F192" s="12" t="str">
        <f aca="false">IF(A192="","",IFERROR(MATCH(B192,Lists!$A$2:$A$15,0),99))</f>
        <v/>
      </c>
      <c r="G192" s="12" t="str">
        <f aca="false">IF(A192="","",SUMIFS(Ingredients!$G:$G,Ingredients!$C:$C,A192))</f>
        <v/>
      </c>
      <c r="H192" s="12" t="str">
        <f aca="false">IF(A192="","",SUMIFS(Ingredients!$H:$H,Ingredients!$C:$C,A192))</f>
        <v/>
      </c>
      <c r="I192" s="12" t="str">
        <f aca="false">IF(A192="","",IF(G192&gt;0,IF(D192="Yes",100,0)+F192+ROW()/100000,""))</f>
        <v/>
      </c>
      <c r="J192" s="12" t="str">
        <f aca="false">IF(I192="","",COUNTIF($I$4:$I$503,"&lt;"&amp;I192)+1)</f>
        <v/>
      </c>
    </row>
    <row r="193" customFormat="false" ht="15" hidden="false" customHeight="false" outlineLevel="0" collapsed="false">
      <c r="F193" s="12" t="str">
        <f aca="false">IF(A193="","",IFERROR(MATCH(B193,Lists!$A$2:$A$15,0),99))</f>
        <v/>
      </c>
      <c r="G193" s="12" t="str">
        <f aca="false">IF(A193="","",SUMIFS(Ingredients!$G:$G,Ingredients!$C:$C,A193))</f>
        <v/>
      </c>
      <c r="H193" s="12" t="str">
        <f aca="false">IF(A193="","",SUMIFS(Ingredients!$H:$H,Ingredients!$C:$C,A193))</f>
        <v/>
      </c>
      <c r="I193" s="12" t="str">
        <f aca="false">IF(A193="","",IF(G193&gt;0,IF(D193="Yes",100,0)+F193+ROW()/100000,""))</f>
        <v/>
      </c>
      <c r="J193" s="12" t="str">
        <f aca="false">IF(I193="","",COUNTIF($I$4:$I$503,"&lt;"&amp;I193)+1)</f>
        <v/>
      </c>
    </row>
    <row r="194" customFormat="false" ht="15" hidden="false" customHeight="false" outlineLevel="0" collapsed="false">
      <c r="F194" s="12" t="str">
        <f aca="false">IF(A194="","",IFERROR(MATCH(B194,Lists!$A$2:$A$15,0),99))</f>
        <v/>
      </c>
      <c r="G194" s="12" t="str">
        <f aca="false">IF(A194="","",SUMIFS(Ingredients!$G:$G,Ingredients!$C:$C,A194))</f>
        <v/>
      </c>
      <c r="H194" s="12" t="str">
        <f aca="false">IF(A194="","",SUMIFS(Ingredients!$H:$H,Ingredients!$C:$C,A194))</f>
        <v/>
      </c>
      <c r="I194" s="12" t="str">
        <f aca="false">IF(A194="","",IF(G194&gt;0,IF(D194="Yes",100,0)+F194+ROW()/100000,""))</f>
        <v/>
      </c>
      <c r="J194" s="12" t="str">
        <f aca="false">IF(I194="","",COUNTIF($I$4:$I$503,"&lt;"&amp;I194)+1)</f>
        <v/>
      </c>
    </row>
    <row r="195" customFormat="false" ht="15" hidden="false" customHeight="false" outlineLevel="0" collapsed="false">
      <c r="F195" s="12" t="str">
        <f aca="false">IF(A195="","",IFERROR(MATCH(B195,Lists!$A$2:$A$15,0),99))</f>
        <v/>
      </c>
      <c r="G195" s="12" t="str">
        <f aca="false">IF(A195="","",SUMIFS(Ingredients!$G:$G,Ingredients!$C:$C,A195))</f>
        <v/>
      </c>
      <c r="H195" s="12" t="str">
        <f aca="false">IF(A195="","",SUMIFS(Ingredients!$H:$H,Ingredients!$C:$C,A195))</f>
        <v/>
      </c>
      <c r="I195" s="12" t="str">
        <f aca="false">IF(A195="","",IF(G195&gt;0,IF(D195="Yes",100,0)+F195+ROW()/100000,""))</f>
        <v/>
      </c>
      <c r="J195" s="12" t="str">
        <f aca="false">IF(I195="","",COUNTIF($I$4:$I$503,"&lt;"&amp;I195)+1)</f>
        <v/>
      </c>
    </row>
    <row r="196" customFormat="false" ht="15" hidden="false" customHeight="false" outlineLevel="0" collapsed="false">
      <c r="F196" s="12" t="str">
        <f aca="false">IF(A196="","",IFERROR(MATCH(B196,Lists!$A$2:$A$15,0),99))</f>
        <v/>
      </c>
      <c r="G196" s="12" t="str">
        <f aca="false">IF(A196="","",SUMIFS(Ingredients!$G:$G,Ingredients!$C:$C,A196))</f>
        <v/>
      </c>
      <c r="H196" s="12" t="str">
        <f aca="false">IF(A196="","",SUMIFS(Ingredients!$H:$H,Ingredients!$C:$C,A196))</f>
        <v/>
      </c>
      <c r="I196" s="12" t="str">
        <f aca="false">IF(A196="","",IF(G196&gt;0,IF(D196="Yes",100,0)+F196+ROW()/100000,""))</f>
        <v/>
      </c>
      <c r="J196" s="12" t="str">
        <f aca="false">IF(I196="","",COUNTIF($I$4:$I$503,"&lt;"&amp;I196)+1)</f>
        <v/>
      </c>
    </row>
    <row r="197" customFormat="false" ht="15" hidden="false" customHeight="false" outlineLevel="0" collapsed="false">
      <c r="F197" s="12" t="str">
        <f aca="false">IF(A197="","",IFERROR(MATCH(B197,Lists!$A$2:$A$15,0),99))</f>
        <v/>
      </c>
      <c r="G197" s="12" t="str">
        <f aca="false">IF(A197="","",SUMIFS(Ingredients!$G:$G,Ingredients!$C:$C,A197))</f>
        <v/>
      </c>
      <c r="H197" s="12" t="str">
        <f aca="false">IF(A197="","",SUMIFS(Ingredients!$H:$H,Ingredients!$C:$C,A197))</f>
        <v/>
      </c>
      <c r="I197" s="12" t="str">
        <f aca="false">IF(A197="","",IF(G197&gt;0,IF(D197="Yes",100,0)+F197+ROW()/100000,""))</f>
        <v/>
      </c>
      <c r="J197" s="12" t="str">
        <f aca="false">IF(I197="","",COUNTIF($I$4:$I$503,"&lt;"&amp;I197)+1)</f>
        <v/>
      </c>
    </row>
    <row r="198" customFormat="false" ht="15" hidden="false" customHeight="false" outlineLevel="0" collapsed="false">
      <c r="F198" s="12" t="str">
        <f aca="false">IF(A198="","",IFERROR(MATCH(B198,Lists!$A$2:$A$15,0),99))</f>
        <v/>
      </c>
      <c r="G198" s="12" t="str">
        <f aca="false">IF(A198="","",SUMIFS(Ingredients!$G:$G,Ingredients!$C:$C,A198))</f>
        <v/>
      </c>
      <c r="H198" s="12" t="str">
        <f aca="false">IF(A198="","",SUMIFS(Ingredients!$H:$H,Ingredients!$C:$C,A198))</f>
        <v/>
      </c>
      <c r="I198" s="12" t="str">
        <f aca="false">IF(A198="","",IF(G198&gt;0,IF(D198="Yes",100,0)+F198+ROW()/100000,""))</f>
        <v/>
      </c>
      <c r="J198" s="12" t="str">
        <f aca="false">IF(I198="","",COUNTIF($I$4:$I$503,"&lt;"&amp;I198)+1)</f>
        <v/>
      </c>
    </row>
    <row r="199" customFormat="false" ht="15" hidden="false" customHeight="false" outlineLevel="0" collapsed="false">
      <c r="F199" s="12" t="str">
        <f aca="false">IF(A199="","",IFERROR(MATCH(B199,Lists!$A$2:$A$15,0),99))</f>
        <v/>
      </c>
      <c r="G199" s="12" t="str">
        <f aca="false">IF(A199="","",SUMIFS(Ingredients!$G:$G,Ingredients!$C:$C,A199))</f>
        <v/>
      </c>
      <c r="H199" s="12" t="str">
        <f aca="false">IF(A199="","",SUMIFS(Ingredients!$H:$H,Ingredients!$C:$C,A199))</f>
        <v/>
      </c>
      <c r="I199" s="12" t="str">
        <f aca="false">IF(A199="","",IF(G199&gt;0,IF(D199="Yes",100,0)+F199+ROW()/100000,""))</f>
        <v/>
      </c>
      <c r="J199" s="12" t="str">
        <f aca="false">IF(I199="","",COUNTIF($I$4:$I$503,"&lt;"&amp;I199)+1)</f>
        <v/>
      </c>
    </row>
    <row r="200" customFormat="false" ht="15" hidden="false" customHeight="false" outlineLevel="0" collapsed="false">
      <c r="F200" s="12" t="str">
        <f aca="false">IF(A200="","",IFERROR(MATCH(B200,Lists!$A$2:$A$15,0),99))</f>
        <v/>
      </c>
      <c r="G200" s="12" t="str">
        <f aca="false">IF(A200="","",SUMIFS(Ingredients!$G:$G,Ingredients!$C:$C,A200))</f>
        <v/>
      </c>
      <c r="H200" s="12" t="str">
        <f aca="false">IF(A200="","",SUMIFS(Ingredients!$H:$H,Ingredients!$C:$C,A200))</f>
        <v/>
      </c>
      <c r="I200" s="12" t="str">
        <f aca="false">IF(A200="","",IF(G200&gt;0,IF(D200="Yes",100,0)+F200+ROW()/100000,""))</f>
        <v/>
      </c>
      <c r="J200" s="12" t="str">
        <f aca="false">IF(I200="","",COUNTIF($I$4:$I$503,"&lt;"&amp;I200)+1)</f>
        <v/>
      </c>
    </row>
    <row r="201" customFormat="false" ht="15" hidden="false" customHeight="false" outlineLevel="0" collapsed="false">
      <c r="F201" s="12" t="str">
        <f aca="false">IF(A201="","",IFERROR(MATCH(B201,Lists!$A$2:$A$15,0),99))</f>
        <v/>
      </c>
      <c r="G201" s="12" t="str">
        <f aca="false">IF(A201="","",SUMIFS(Ingredients!$G:$G,Ingredients!$C:$C,A201))</f>
        <v/>
      </c>
      <c r="H201" s="12" t="str">
        <f aca="false">IF(A201="","",SUMIFS(Ingredients!$H:$H,Ingredients!$C:$C,A201))</f>
        <v/>
      </c>
      <c r="I201" s="12" t="str">
        <f aca="false">IF(A201="","",IF(G201&gt;0,IF(D201="Yes",100,0)+F201+ROW()/100000,""))</f>
        <v/>
      </c>
      <c r="J201" s="12" t="str">
        <f aca="false">IF(I201="","",COUNTIF($I$4:$I$503,"&lt;"&amp;I201)+1)</f>
        <v/>
      </c>
    </row>
    <row r="202" customFormat="false" ht="15" hidden="false" customHeight="false" outlineLevel="0" collapsed="false">
      <c r="F202" s="12" t="str">
        <f aca="false">IF(A202="","",IFERROR(MATCH(B202,Lists!$A$2:$A$15,0),99))</f>
        <v/>
      </c>
      <c r="G202" s="12" t="str">
        <f aca="false">IF(A202="","",SUMIFS(Ingredients!$G:$G,Ingredients!$C:$C,A202))</f>
        <v/>
      </c>
      <c r="H202" s="12" t="str">
        <f aca="false">IF(A202="","",SUMIFS(Ingredients!$H:$H,Ingredients!$C:$C,A202))</f>
        <v/>
      </c>
      <c r="I202" s="12" t="str">
        <f aca="false">IF(A202="","",IF(G202&gt;0,IF(D202="Yes",100,0)+F202+ROW()/100000,""))</f>
        <v/>
      </c>
      <c r="J202" s="12" t="str">
        <f aca="false">IF(I202="","",COUNTIF($I$4:$I$503,"&lt;"&amp;I202)+1)</f>
        <v/>
      </c>
    </row>
    <row r="203" customFormat="false" ht="15" hidden="false" customHeight="false" outlineLevel="0" collapsed="false">
      <c r="F203" s="12" t="str">
        <f aca="false">IF(A203="","",IFERROR(MATCH(B203,Lists!$A$2:$A$15,0),99))</f>
        <v/>
      </c>
      <c r="G203" s="12" t="str">
        <f aca="false">IF(A203="","",SUMIFS(Ingredients!$G:$G,Ingredients!$C:$C,A203))</f>
        <v/>
      </c>
      <c r="H203" s="12" t="str">
        <f aca="false">IF(A203="","",SUMIFS(Ingredients!$H:$H,Ingredients!$C:$C,A203))</f>
        <v/>
      </c>
      <c r="I203" s="12" t="str">
        <f aca="false">IF(A203="","",IF(G203&gt;0,IF(D203="Yes",100,0)+F203+ROW()/100000,""))</f>
        <v/>
      </c>
      <c r="J203" s="12" t="str">
        <f aca="false">IF(I203="","",COUNTIF($I$4:$I$503,"&lt;"&amp;I203)+1)</f>
        <v/>
      </c>
    </row>
    <row r="204" customFormat="false" ht="15" hidden="false" customHeight="false" outlineLevel="0" collapsed="false">
      <c r="F204" s="12" t="str">
        <f aca="false">IF(A204="","",IFERROR(MATCH(B204,Lists!$A$2:$A$15,0),99))</f>
        <v/>
      </c>
      <c r="G204" s="12" t="str">
        <f aca="false">IF(A204="","",SUMIFS(Ingredients!$G:$G,Ingredients!$C:$C,A204))</f>
        <v/>
      </c>
      <c r="H204" s="12" t="str">
        <f aca="false">IF(A204="","",SUMIFS(Ingredients!$H:$H,Ingredients!$C:$C,A204))</f>
        <v/>
      </c>
      <c r="I204" s="12" t="str">
        <f aca="false">IF(A204="","",IF(G204&gt;0,IF(D204="Yes",100,0)+F204+ROW()/100000,""))</f>
        <v/>
      </c>
      <c r="J204" s="12" t="str">
        <f aca="false">IF(I204="","",COUNTIF($I$4:$I$503,"&lt;"&amp;I204)+1)</f>
        <v/>
      </c>
    </row>
    <row r="205" customFormat="false" ht="15" hidden="false" customHeight="false" outlineLevel="0" collapsed="false">
      <c r="F205" s="12" t="str">
        <f aca="false">IF(A205="","",IFERROR(MATCH(B205,Lists!$A$2:$A$15,0),99))</f>
        <v/>
      </c>
      <c r="G205" s="12" t="str">
        <f aca="false">IF(A205="","",SUMIFS(Ingredients!$G:$G,Ingredients!$C:$C,A205))</f>
        <v/>
      </c>
      <c r="H205" s="12" t="str">
        <f aca="false">IF(A205="","",SUMIFS(Ingredients!$H:$H,Ingredients!$C:$C,A205))</f>
        <v/>
      </c>
      <c r="I205" s="12" t="str">
        <f aca="false">IF(A205="","",IF(G205&gt;0,IF(D205="Yes",100,0)+F205+ROW()/100000,""))</f>
        <v/>
      </c>
      <c r="J205" s="12" t="str">
        <f aca="false">IF(I205="","",COUNTIF($I$4:$I$503,"&lt;"&amp;I205)+1)</f>
        <v/>
      </c>
    </row>
    <row r="206" customFormat="false" ht="15" hidden="false" customHeight="false" outlineLevel="0" collapsed="false">
      <c r="F206" s="12" t="str">
        <f aca="false">IF(A206="","",IFERROR(MATCH(B206,Lists!$A$2:$A$15,0),99))</f>
        <v/>
      </c>
      <c r="G206" s="12" t="str">
        <f aca="false">IF(A206="","",SUMIFS(Ingredients!$G:$G,Ingredients!$C:$C,A206))</f>
        <v/>
      </c>
      <c r="H206" s="12" t="str">
        <f aca="false">IF(A206="","",SUMIFS(Ingredients!$H:$H,Ingredients!$C:$C,A206))</f>
        <v/>
      </c>
      <c r="I206" s="12" t="str">
        <f aca="false">IF(A206="","",IF(G206&gt;0,IF(D206="Yes",100,0)+F206+ROW()/100000,""))</f>
        <v/>
      </c>
      <c r="J206" s="12" t="str">
        <f aca="false">IF(I206="","",COUNTIF($I$4:$I$503,"&lt;"&amp;I206)+1)</f>
        <v/>
      </c>
    </row>
    <row r="207" customFormat="false" ht="15" hidden="false" customHeight="false" outlineLevel="0" collapsed="false">
      <c r="F207" s="12" t="str">
        <f aca="false">IF(A207="","",IFERROR(MATCH(B207,Lists!$A$2:$A$15,0),99))</f>
        <v/>
      </c>
      <c r="G207" s="12" t="str">
        <f aca="false">IF(A207="","",SUMIFS(Ingredients!$G:$G,Ingredients!$C:$C,A207))</f>
        <v/>
      </c>
      <c r="H207" s="12" t="str">
        <f aca="false">IF(A207="","",SUMIFS(Ingredients!$H:$H,Ingredients!$C:$C,A207))</f>
        <v/>
      </c>
      <c r="I207" s="12" t="str">
        <f aca="false">IF(A207="","",IF(G207&gt;0,IF(D207="Yes",100,0)+F207+ROW()/100000,""))</f>
        <v/>
      </c>
      <c r="J207" s="12" t="str">
        <f aca="false">IF(I207="","",COUNTIF($I$4:$I$503,"&lt;"&amp;I207)+1)</f>
        <v/>
      </c>
    </row>
    <row r="208" customFormat="false" ht="15" hidden="false" customHeight="false" outlineLevel="0" collapsed="false">
      <c r="F208" s="12" t="str">
        <f aca="false">IF(A208="","",IFERROR(MATCH(B208,Lists!$A$2:$A$15,0),99))</f>
        <v/>
      </c>
      <c r="G208" s="12" t="str">
        <f aca="false">IF(A208="","",SUMIFS(Ingredients!$G:$G,Ingredients!$C:$C,A208))</f>
        <v/>
      </c>
      <c r="H208" s="12" t="str">
        <f aca="false">IF(A208="","",SUMIFS(Ingredients!$H:$H,Ingredients!$C:$C,A208))</f>
        <v/>
      </c>
      <c r="I208" s="12" t="str">
        <f aca="false">IF(A208="","",IF(G208&gt;0,IF(D208="Yes",100,0)+F208+ROW()/100000,""))</f>
        <v/>
      </c>
      <c r="J208" s="12" t="str">
        <f aca="false">IF(I208="","",COUNTIF($I$4:$I$503,"&lt;"&amp;I208)+1)</f>
        <v/>
      </c>
    </row>
    <row r="209" customFormat="false" ht="15" hidden="false" customHeight="false" outlineLevel="0" collapsed="false">
      <c r="F209" s="12" t="str">
        <f aca="false">IF(A209="","",IFERROR(MATCH(B209,Lists!$A$2:$A$15,0),99))</f>
        <v/>
      </c>
      <c r="G209" s="12" t="str">
        <f aca="false">IF(A209="","",SUMIFS(Ingredients!$G:$G,Ingredients!$C:$C,A209))</f>
        <v/>
      </c>
      <c r="H209" s="12" t="str">
        <f aca="false">IF(A209="","",SUMIFS(Ingredients!$H:$H,Ingredients!$C:$C,A209))</f>
        <v/>
      </c>
      <c r="I209" s="12" t="str">
        <f aca="false">IF(A209="","",IF(G209&gt;0,IF(D209="Yes",100,0)+F209+ROW()/100000,""))</f>
        <v/>
      </c>
      <c r="J209" s="12" t="str">
        <f aca="false">IF(I209="","",COUNTIF($I$4:$I$503,"&lt;"&amp;I209)+1)</f>
        <v/>
      </c>
    </row>
    <row r="210" customFormat="false" ht="15" hidden="false" customHeight="false" outlineLevel="0" collapsed="false">
      <c r="F210" s="12" t="str">
        <f aca="false">IF(A210="","",IFERROR(MATCH(B210,Lists!$A$2:$A$15,0),99))</f>
        <v/>
      </c>
      <c r="G210" s="12" t="str">
        <f aca="false">IF(A210="","",SUMIFS(Ingredients!$G:$G,Ingredients!$C:$C,A210))</f>
        <v/>
      </c>
      <c r="H210" s="12" t="str">
        <f aca="false">IF(A210="","",SUMIFS(Ingredients!$H:$H,Ingredients!$C:$C,A210))</f>
        <v/>
      </c>
      <c r="I210" s="12" t="str">
        <f aca="false">IF(A210="","",IF(G210&gt;0,IF(D210="Yes",100,0)+F210+ROW()/100000,""))</f>
        <v/>
      </c>
      <c r="J210" s="12" t="str">
        <f aca="false">IF(I210="","",COUNTIF($I$4:$I$503,"&lt;"&amp;I210)+1)</f>
        <v/>
      </c>
    </row>
    <row r="211" customFormat="false" ht="15" hidden="false" customHeight="false" outlineLevel="0" collapsed="false">
      <c r="F211" s="12" t="str">
        <f aca="false">IF(A211="","",IFERROR(MATCH(B211,Lists!$A$2:$A$15,0),99))</f>
        <v/>
      </c>
      <c r="G211" s="12" t="str">
        <f aca="false">IF(A211="","",SUMIFS(Ingredients!$G:$G,Ingredients!$C:$C,A211))</f>
        <v/>
      </c>
      <c r="H211" s="12" t="str">
        <f aca="false">IF(A211="","",SUMIFS(Ingredients!$H:$H,Ingredients!$C:$C,A211))</f>
        <v/>
      </c>
      <c r="I211" s="12" t="str">
        <f aca="false">IF(A211="","",IF(G211&gt;0,IF(D211="Yes",100,0)+F211+ROW()/100000,""))</f>
        <v/>
      </c>
      <c r="J211" s="12" t="str">
        <f aca="false">IF(I211="","",COUNTIF($I$4:$I$503,"&lt;"&amp;I211)+1)</f>
        <v/>
      </c>
    </row>
    <row r="212" customFormat="false" ht="15" hidden="false" customHeight="false" outlineLevel="0" collapsed="false">
      <c r="F212" s="12" t="str">
        <f aca="false">IF(A212="","",IFERROR(MATCH(B212,Lists!$A$2:$A$15,0),99))</f>
        <v/>
      </c>
      <c r="G212" s="12" t="str">
        <f aca="false">IF(A212="","",SUMIFS(Ingredients!$G:$G,Ingredients!$C:$C,A212))</f>
        <v/>
      </c>
      <c r="H212" s="12" t="str">
        <f aca="false">IF(A212="","",SUMIFS(Ingredients!$H:$H,Ingredients!$C:$C,A212))</f>
        <v/>
      </c>
      <c r="I212" s="12" t="str">
        <f aca="false">IF(A212="","",IF(G212&gt;0,IF(D212="Yes",100,0)+F212+ROW()/100000,""))</f>
        <v/>
      </c>
      <c r="J212" s="12" t="str">
        <f aca="false">IF(I212="","",COUNTIF($I$4:$I$503,"&lt;"&amp;I212)+1)</f>
        <v/>
      </c>
    </row>
    <row r="213" customFormat="false" ht="15" hidden="false" customHeight="false" outlineLevel="0" collapsed="false">
      <c r="F213" s="12" t="str">
        <f aca="false">IF(A213="","",IFERROR(MATCH(B213,Lists!$A$2:$A$15,0),99))</f>
        <v/>
      </c>
      <c r="G213" s="12" t="str">
        <f aca="false">IF(A213="","",SUMIFS(Ingredients!$G:$G,Ingredients!$C:$C,A213))</f>
        <v/>
      </c>
      <c r="H213" s="12" t="str">
        <f aca="false">IF(A213="","",SUMIFS(Ingredients!$H:$H,Ingredients!$C:$C,A213))</f>
        <v/>
      </c>
      <c r="I213" s="12" t="str">
        <f aca="false">IF(A213="","",IF(G213&gt;0,IF(D213="Yes",100,0)+F213+ROW()/100000,""))</f>
        <v/>
      </c>
      <c r="J213" s="12" t="str">
        <f aca="false">IF(I213="","",COUNTIF($I$4:$I$503,"&lt;"&amp;I213)+1)</f>
        <v/>
      </c>
    </row>
    <row r="214" customFormat="false" ht="15" hidden="false" customHeight="false" outlineLevel="0" collapsed="false">
      <c r="F214" s="12" t="str">
        <f aca="false">IF(A214="","",IFERROR(MATCH(B214,Lists!$A$2:$A$15,0),99))</f>
        <v/>
      </c>
      <c r="G214" s="12" t="str">
        <f aca="false">IF(A214="","",SUMIFS(Ingredients!$G:$G,Ingredients!$C:$C,A214))</f>
        <v/>
      </c>
      <c r="H214" s="12" t="str">
        <f aca="false">IF(A214="","",SUMIFS(Ingredients!$H:$H,Ingredients!$C:$C,A214))</f>
        <v/>
      </c>
      <c r="I214" s="12" t="str">
        <f aca="false">IF(A214="","",IF(G214&gt;0,IF(D214="Yes",100,0)+F214+ROW()/100000,""))</f>
        <v/>
      </c>
      <c r="J214" s="12" t="str">
        <f aca="false">IF(I214="","",COUNTIF($I$4:$I$503,"&lt;"&amp;I214)+1)</f>
        <v/>
      </c>
    </row>
    <row r="215" customFormat="false" ht="15" hidden="false" customHeight="false" outlineLevel="0" collapsed="false">
      <c r="F215" s="12" t="str">
        <f aca="false">IF(A215="","",IFERROR(MATCH(B215,Lists!$A$2:$A$15,0),99))</f>
        <v/>
      </c>
      <c r="G215" s="12" t="str">
        <f aca="false">IF(A215="","",SUMIFS(Ingredients!$G:$G,Ingredients!$C:$C,A215))</f>
        <v/>
      </c>
      <c r="H215" s="12" t="str">
        <f aca="false">IF(A215="","",SUMIFS(Ingredients!$H:$H,Ingredients!$C:$C,A215))</f>
        <v/>
      </c>
      <c r="I215" s="12" t="str">
        <f aca="false">IF(A215="","",IF(G215&gt;0,IF(D215="Yes",100,0)+F215+ROW()/100000,""))</f>
        <v/>
      </c>
      <c r="J215" s="12" t="str">
        <f aca="false">IF(I215="","",COUNTIF($I$4:$I$503,"&lt;"&amp;I215)+1)</f>
        <v/>
      </c>
    </row>
    <row r="216" customFormat="false" ht="15" hidden="false" customHeight="false" outlineLevel="0" collapsed="false">
      <c r="F216" s="12" t="str">
        <f aca="false">IF(A216="","",IFERROR(MATCH(B216,Lists!$A$2:$A$15,0),99))</f>
        <v/>
      </c>
      <c r="G216" s="12" t="str">
        <f aca="false">IF(A216="","",SUMIFS(Ingredients!$G:$G,Ingredients!$C:$C,A216))</f>
        <v/>
      </c>
      <c r="H216" s="12" t="str">
        <f aca="false">IF(A216="","",SUMIFS(Ingredients!$H:$H,Ingredients!$C:$C,A216))</f>
        <v/>
      </c>
      <c r="I216" s="12" t="str">
        <f aca="false">IF(A216="","",IF(G216&gt;0,IF(D216="Yes",100,0)+F216+ROW()/100000,""))</f>
        <v/>
      </c>
      <c r="J216" s="12" t="str">
        <f aca="false">IF(I216="","",COUNTIF($I$4:$I$503,"&lt;"&amp;I216)+1)</f>
        <v/>
      </c>
    </row>
    <row r="217" customFormat="false" ht="15" hidden="false" customHeight="false" outlineLevel="0" collapsed="false">
      <c r="F217" s="12" t="str">
        <f aca="false">IF(A217="","",IFERROR(MATCH(B217,Lists!$A$2:$A$15,0),99))</f>
        <v/>
      </c>
      <c r="G217" s="12" t="str">
        <f aca="false">IF(A217="","",SUMIFS(Ingredients!$G:$G,Ingredients!$C:$C,A217))</f>
        <v/>
      </c>
      <c r="H217" s="12" t="str">
        <f aca="false">IF(A217="","",SUMIFS(Ingredients!$H:$H,Ingredients!$C:$C,A217))</f>
        <v/>
      </c>
      <c r="I217" s="12" t="str">
        <f aca="false">IF(A217="","",IF(G217&gt;0,IF(D217="Yes",100,0)+F217+ROW()/100000,""))</f>
        <v/>
      </c>
      <c r="J217" s="12" t="str">
        <f aca="false">IF(I217="","",COUNTIF($I$4:$I$503,"&lt;"&amp;I217)+1)</f>
        <v/>
      </c>
    </row>
    <row r="218" customFormat="false" ht="15" hidden="false" customHeight="false" outlineLevel="0" collapsed="false">
      <c r="F218" s="12" t="str">
        <f aca="false">IF(A218="","",IFERROR(MATCH(B218,Lists!$A$2:$A$15,0),99))</f>
        <v/>
      </c>
      <c r="G218" s="12" t="str">
        <f aca="false">IF(A218="","",SUMIFS(Ingredients!$G:$G,Ingredients!$C:$C,A218))</f>
        <v/>
      </c>
      <c r="H218" s="12" t="str">
        <f aca="false">IF(A218="","",SUMIFS(Ingredients!$H:$H,Ingredients!$C:$C,A218))</f>
        <v/>
      </c>
      <c r="I218" s="12" t="str">
        <f aca="false">IF(A218="","",IF(G218&gt;0,IF(D218="Yes",100,0)+F218+ROW()/100000,""))</f>
        <v/>
      </c>
      <c r="J218" s="12" t="str">
        <f aca="false">IF(I218="","",COUNTIF($I$4:$I$503,"&lt;"&amp;I218)+1)</f>
        <v/>
      </c>
    </row>
    <row r="219" customFormat="false" ht="15" hidden="false" customHeight="false" outlineLevel="0" collapsed="false">
      <c r="F219" s="12" t="str">
        <f aca="false">IF(A219="","",IFERROR(MATCH(B219,Lists!$A$2:$A$15,0),99))</f>
        <v/>
      </c>
      <c r="G219" s="12" t="str">
        <f aca="false">IF(A219="","",SUMIFS(Ingredients!$G:$G,Ingredients!$C:$C,A219))</f>
        <v/>
      </c>
      <c r="H219" s="12" t="str">
        <f aca="false">IF(A219="","",SUMIFS(Ingredients!$H:$H,Ingredients!$C:$C,A219))</f>
        <v/>
      </c>
      <c r="I219" s="12" t="str">
        <f aca="false">IF(A219="","",IF(G219&gt;0,IF(D219="Yes",100,0)+F219+ROW()/100000,""))</f>
        <v/>
      </c>
      <c r="J219" s="12" t="str">
        <f aca="false">IF(I219="","",COUNTIF($I$4:$I$503,"&lt;"&amp;I219)+1)</f>
        <v/>
      </c>
    </row>
    <row r="220" customFormat="false" ht="15" hidden="false" customHeight="false" outlineLevel="0" collapsed="false">
      <c r="F220" s="12" t="str">
        <f aca="false">IF(A220="","",IFERROR(MATCH(B220,Lists!$A$2:$A$15,0),99))</f>
        <v/>
      </c>
      <c r="G220" s="12" t="str">
        <f aca="false">IF(A220="","",SUMIFS(Ingredients!$G:$G,Ingredients!$C:$C,A220))</f>
        <v/>
      </c>
      <c r="H220" s="12" t="str">
        <f aca="false">IF(A220="","",SUMIFS(Ingredients!$H:$H,Ingredients!$C:$C,A220))</f>
        <v/>
      </c>
      <c r="I220" s="12" t="str">
        <f aca="false">IF(A220="","",IF(G220&gt;0,IF(D220="Yes",100,0)+F220+ROW()/100000,""))</f>
        <v/>
      </c>
      <c r="J220" s="12" t="str">
        <f aca="false">IF(I220="","",COUNTIF($I$4:$I$503,"&lt;"&amp;I220)+1)</f>
        <v/>
      </c>
    </row>
    <row r="221" customFormat="false" ht="15" hidden="false" customHeight="false" outlineLevel="0" collapsed="false">
      <c r="F221" s="12" t="str">
        <f aca="false">IF(A221="","",IFERROR(MATCH(B221,Lists!$A$2:$A$15,0),99))</f>
        <v/>
      </c>
      <c r="G221" s="12" t="str">
        <f aca="false">IF(A221="","",SUMIFS(Ingredients!$G:$G,Ingredients!$C:$C,A221))</f>
        <v/>
      </c>
      <c r="H221" s="12" t="str">
        <f aca="false">IF(A221="","",SUMIFS(Ingredients!$H:$H,Ingredients!$C:$C,A221))</f>
        <v/>
      </c>
      <c r="I221" s="12" t="str">
        <f aca="false">IF(A221="","",IF(G221&gt;0,IF(D221="Yes",100,0)+F221+ROW()/100000,""))</f>
        <v/>
      </c>
      <c r="J221" s="12" t="str">
        <f aca="false">IF(I221="","",COUNTIF($I$4:$I$503,"&lt;"&amp;I221)+1)</f>
        <v/>
      </c>
    </row>
    <row r="222" customFormat="false" ht="15" hidden="false" customHeight="false" outlineLevel="0" collapsed="false">
      <c r="F222" s="12" t="str">
        <f aca="false">IF(A222="","",IFERROR(MATCH(B222,Lists!$A$2:$A$15,0),99))</f>
        <v/>
      </c>
      <c r="G222" s="12" t="str">
        <f aca="false">IF(A222="","",SUMIFS(Ingredients!$G:$G,Ingredients!$C:$C,A222))</f>
        <v/>
      </c>
      <c r="H222" s="12" t="str">
        <f aca="false">IF(A222="","",SUMIFS(Ingredients!$H:$H,Ingredients!$C:$C,A222))</f>
        <v/>
      </c>
      <c r="I222" s="12" t="str">
        <f aca="false">IF(A222="","",IF(G222&gt;0,IF(D222="Yes",100,0)+F222+ROW()/100000,""))</f>
        <v/>
      </c>
      <c r="J222" s="12" t="str">
        <f aca="false">IF(I222="","",COUNTIF($I$4:$I$503,"&lt;"&amp;I222)+1)</f>
        <v/>
      </c>
    </row>
    <row r="223" customFormat="false" ht="15" hidden="false" customHeight="false" outlineLevel="0" collapsed="false">
      <c r="F223" s="12" t="str">
        <f aca="false">IF(A223="","",IFERROR(MATCH(B223,Lists!$A$2:$A$15,0),99))</f>
        <v/>
      </c>
      <c r="G223" s="12" t="str">
        <f aca="false">IF(A223="","",SUMIFS(Ingredients!$G:$G,Ingredients!$C:$C,A223))</f>
        <v/>
      </c>
      <c r="H223" s="12" t="str">
        <f aca="false">IF(A223="","",SUMIFS(Ingredients!$H:$H,Ingredients!$C:$C,A223))</f>
        <v/>
      </c>
      <c r="I223" s="12" t="str">
        <f aca="false">IF(A223="","",IF(G223&gt;0,IF(D223="Yes",100,0)+F223+ROW()/100000,""))</f>
        <v/>
      </c>
      <c r="J223" s="12" t="str">
        <f aca="false">IF(I223="","",COUNTIF($I$4:$I$503,"&lt;"&amp;I223)+1)</f>
        <v/>
      </c>
    </row>
    <row r="224" customFormat="false" ht="15" hidden="false" customHeight="false" outlineLevel="0" collapsed="false">
      <c r="F224" s="12" t="str">
        <f aca="false">IF(A224="","",IFERROR(MATCH(B224,Lists!$A$2:$A$15,0),99))</f>
        <v/>
      </c>
      <c r="G224" s="12" t="str">
        <f aca="false">IF(A224="","",SUMIFS(Ingredients!$G:$G,Ingredients!$C:$C,A224))</f>
        <v/>
      </c>
      <c r="H224" s="12" t="str">
        <f aca="false">IF(A224="","",SUMIFS(Ingredients!$H:$H,Ingredients!$C:$C,A224))</f>
        <v/>
      </c>
      <c r="I224" s="12" t="str">
        <f aca="false">IF(A224="","",IF(G224&gt;0,IF(D224="Yes",100,0)+F224+ROW()/100000,""))</f>
        <v/>
      </c>
      <c r="J224" s="12" t="str">
        <f aca="false">IF(I224="","",COUNTIF($I$4:$I$503,"&lt;"&amp;I224)+1)</f>
        <v/>
      </c>
    </row>
    <row r="225" customFormat="false" ht="15" hidden="false" customHeight="false" outlineLevel="0" collapsed="false">
      <c r="F225" s="12" t="str">
        <f aca="false">IF(A225="","",IFERROR(MATCH(B225,Lists!$A$2:$A$15,0),99))</f>
        <v/>
      </c>
      <c r="G225" s="12" t="str">
        <f aca="false">IF(A225="","",SUMIFS(Ingredients!$G:$G,Ingredients!$C:$C,A225))</f>
        <v/>
      </c>
      <c r="H225" s="12" t="str">
        <f aca="false">IF(A225="","",SUMIFS(Ingredients!$H:$H,Ingredients!$C:$C,A225))</f>
        <v/>
      </c>
      <c r="I225" s="12" t="str">
        <f aca="false">IF(A225="","",IF(G225&gt;0,IF(D225="Yes",100,0)+F225+ROW()/100000,""))</f>
        <v/>
      </c>
      <c r="J225" s="12" t="str">
        <f aca="false">IF(I225="","",COUNTIF($I$4:$I$503,"&lt;"&amp;I225)+1)</f>
        <v/>
      </c>
    </row>
    <row r="226" customFormat="false" ht="15" hidden="false" customHeight="false" outlineLevel="0" collapsed="false">
      <c r="F226" s="12" t="str">
        <f aca="false">IF(A226="","",IFERROR(MATCH(B226,Lists!$A$2:$A$15,0),99))</f>
        <v/>
      </c>
      <c r="G226" s="12" t="str">
        <f aca="false">IF(A226="","",SUMIFS(Ingredients!$G:$G,Ingredients!$C:$C,A226))</f>
        <v/>
      </c>
      <c r="H226" s="12" t="str">
        <f aca="false">IF(A226="","",SUMIFS(Ingredients!$H:$H,Ingredients!$C:$C,A226))</f>
        <v/>
      </c>
      <c r="I226" s="12" t="str">
        <f aca="false">IF(A226="","",IF(G226&gt;0,IF(D226="Yes",100,0)+F226+ROW()/100000,""))</f>
        <v/>
      </c>
      <c r="J226" s="12" t="str">
        <f aca="false">IF(I226="","",COUNTIF($I$4:$I$503,"&lt;"&amp;I226)+1)</f>
        <v/>
      </c>
    </row>
    <row r="227" customFormat="false" ht="15" hidden="false" customHeight="false" outlineLevel="0" collapsed="false">
      <c r="F227" s="12" t="str">
        <f aca="false">IF(A227="","",IFERROR(MATCH(B227,Lists!$A$2:$A$15,0),99))</f>
        <v/>
      </c>
      <c r="G227" s="12" t="str">
        <f aca="false">IF(A227="","",SUMIFS(Ingredients!$G:$G,Ingredients!$C:$C,A227))</f>
        <v/>
      </c>
      <c r="H227" s="12" t="str">
        <f aca="false">IF(A227="","",SUMIFS(Ingredients!$H:$H,Ingredients!$C:$C,A227))</f>
        <v/>
      </c>
      <c r="I227" s="12" t="str">
        <f aca="false">IF(A227="","",IF(G227&gt;0,IF(D227="Yes",100,0)+F227+ROW()/100000,""))</f>
        <v/>
      </c>
      <c r="J227" s="12" t="str">
        <f aca="false">IF(I227="","",COUNTIF($I$4:$I$503,"&lt;"&amp;I227)+1)</f>
        <v/>
      </c>
    </row>
    <row r="228" customFormat="false" ht="15" hidden="false" customHeight="false" outlineLevel="0" collapsed="false">
      <c r="F228" s="12" t="str">
        <f aca="false">IF(A228="","",IFERROR(MATCH(B228,Lists!$A$2:$A$15,0),99))</f>
        <v/>
      </c>
      <c r="G228" s="12" t="str">
        <f aca="false">IF(A228="","",SUMIFS(Ingredients!$G:$G,Ingredients!$C:$C,A228))</f>
        <v/>
      </c>
      <c r="H228" s="12" t="str">
        <f aca="false">IF(A228="","",SUMIFS(Ingredients!$H:$H,Ingredients!$C:$C,A228))</f>
        <v/>
      </c>
      <c r="I228" s="12" t="str">
        <f aca="false">IF(A228="","",IF(G228&gt;0,IF(D228="Yes",100,0)+F228+ROW()/100000,""))</f>
        <v/>
      </c>
      <c r="J228" s="12" t="str">
        <f aca="false">IF(I228="","",COUNTIF($I$4:$I$503,"&lt;"&amp;I228)+1)</f>
        <v/>
      </c>
    </row>
    <row r="229" customFormat="false" ht="15" hidden="false" customHeight="false" outlineLevel="0" collapsed="false">
      <c r="F229" s="12" t="str">
        <f aca="false">IF(A229="","",IFERROR(MATCH(B229,Lists!$A$2:$A$15,0),99))</f>
        <v/>
      </c>
      <c r="G229" s="12" t="str">
        <f aca="false">IF(A229="","",SUMIFS(Ingredients!$G:$G,Ingredients!$C:$C,A229))</f>
        <v/>
      </c>
      <c r="H229" s="12" t="str">
        <f aca="false">IF(A229="","",SUMIFS(Ingredients!$H:$H,Ingredients!$C:$C,A229))</f>
        <v/>
      </c>
      <c r="I229" s="12" t="str">
        <f aca="false">IF(A229="","",IF(G229&gt;0,IF(D229="Yes",100,0)+F229+ROW()/100000,""))</f>
        <v/>
      </c>
      <c r="J229" s="12" t="str">
        <f aca="false">IF(I229="","",COUNTIF($I$4:$I$503,"&lt;"&amp;I229)+1)</f>
        <v/>
      </c>
    </row>
    <row r="230" customFormat="false" ht="15" hidden="false" customHeight="false" outlineLevel="0" collapsed="false">
      <c r="F230" s="12" t="str">
        <f aca="false">IF(A230="","",IFERROR(MATCH(B230,Lists!$A$2:$A$15,0),99))</f>
        <v/>
      </c>
      <c r="G230" s="12" t="str">
        <f aca="false">IF(A230="","",SUMIFS(Ingredients!$G:$G,Ingredients!$C:$C,A230))</f>
        <v/>
      </c>
      <c r="H230" s="12" t="str">
        <f aca="false">IF(A230="","",SUMIFS(Ingredients!$H:$H,Ingredients!$C:$C,A230))</f>
        <v/>
      </c>
      <c r="I230" s="12" t="str">
        <f aca="false">IF(A230="","",IF(G230&gt;0,IF(D230="Yes",100,0)+F230+ROW()/100000,""))</f>
        <v/>
      </c>
      <c r="J230" s="12" t="str">
        <f aca="false">IF(I230="","",COUNTIF($I$4:$I$503,"&lt;"&amp;I230)+1)</f>
        <v/>
      </c>
    </row>
    <row r="231" customFormat="false" ht="15" hidden="false" customHeight="false" outlineLevel="0" collapsed="false">
      <c r="F231" s="12" t="str">
        <f aca="false">IF(A231="","",IFERROR(MATCH(B231,Lists!$A$2:$A$15,0),99))</f>
        <v/>
      </c>
      <c r="G231" s="12" t="str">
        <f aca="false">IF(A231="","",SUMIFS(Ingredients!$G:$G,Ingredients!$C:$C,A231))</f>
        <v/>
      </c>
      <c r="H231" s="12" t="str">
        <f aca="false">IF(A231="","",SUMIFS(Ingredients!$H:$H,Ingredients!$C:$C,A231))</f>
        <v/>
      </c>
      <c r="I231" s="12" t="str">
        <f aca="false">IF(A231="","",IF(G231&gt;0,IF(D231="Yes",100,0)+F231+ROW()/100000,""))</f>
        <v/>
      </c>
      <c r="J231" s="12" t="str">
        <f aca="false">IF(I231="","",COUNTIF($I$4:$I$503,"&lt;"&amp;I231)+1)</f>
        <v/>
      </c>
    </row>
    <row r="232" customFormat="false" ht="15" hidden="false" customHeight="false" outlineLevel="0" collapsed="false">
      <c r="F232" s="12" t="str">
        <f aca="false">IF(A232="","",IFERROR(MATCH(B232,Lists!$A$2:$A$15,0),99))</f>
        <v/>
      </c>
      <c r="G232" s="12" t="str">
        <f aca="false">IF(A232="","",SUMIFS(Ingredients!$G:$G,Ingredients!$C:$C,A232))</f>
        <v/>
      </c>
      <c r="H232" s="12" t="str">
        <f aca="false">IF(A232="","",SUMIFS(Ingredients!$H:$H,Ingredients!$C:$C,A232))</f>
        <v/>
      </c>
      <c r="I232" s="12" t="str">
        <f aca="false">IF(A232="","",IF(G232&gt;0,IF(D232="Yes",100,0)+F232+ROW()/100000,""))</f>
        <v/>
      </c>
      <c r="J232" s="12" t="str">
        <f aca="false">IF(I232="","",COUNTIF($I$4:$I$503,"&lt;"&amp;I232)+1)</f>
        <v/>
      </c>
    </row>
    <row r="233" customFormat="false" ht="15" hidden="false" customHeight="false" outlineLevel="0" collapsed="false">
      <c r="F233" s="12" t="str">
        <f aca="false">IF(A233="","",IFERROR(MATCH(B233,Lists!$A$2:$A$15,0),99))</f>
        <v/>
      </c>
      <c r="G233" s="12" t="str">
        <f aca="false">IF(A233="","",SUMIFS(Ingredients!$G:$G,Ingredients!$C:$C,A233))</f>
        <v/>
      </c>
      <c r="H233" s="12" t="str">
        <f aca="false">IF(A233="","",SUMIFS(Ingredients!$H:$H,Ingredients!$C:$C,A233))</f>
        <v/>
      </c>
      <c r="I233" s="12" t="str">
        <f aca="false">IF(A233="","",IF(G233&gt;0,IF(D233="Yes",100,0)+F233+ROW()/100000,""))</f>
        <v/>
      </c>
      <c r="J233" s="12" t="str">
        <f aca="false">IF(I233="","",COUNTIF($I$4:$I$503,"&lt;"&amp;I233)+1)</f>
        <v/>
      </c>
    </row>
    <row r="234" customFormat="false" ht="15" hidden="false" customHeight="false" outlineLevel="0" collapsed="false">
      <c r="F234" s="12" t="str">
        <f aca="false">IF(A234="","",IFERROR(MATCH(B234,Lists!$A$2:$A$15,0),99))</f>
        <v/>
      </c>
      <c r="G234" s="12" t="str">
        <f aca="false">IF(A234="","",SUMIFS(Ingredients!$G:$G,Ingredients!$C:$C,A234))</f>
        <v/>
      </c>
      <c r="H234" s="12" t="str">
        <f aca="false">IF(A234="","",SUMIFS(Ingredients!$H:$H,Ingredients!$C:$C,A234))</f>
        <v/>
      </c>
      <c r="I234" s="12" t="str">
        <f aca="false">IF(A234="","",IF(G234&gt;0,IF(D234="Yes",100,0)+F234+ROW()/100000,""))</f>
        <v/>
      </c>
      <c r="J234" s="12" t="str">
        <f aca="false">IF(I234="","",COUNTIF($I$4:$I$503,"&lt;"&amp;I234)+1)</f>
        <v/>
      </c>
    </row>
    <row r="235" customFormat="false" ht="15" hidden="false" customHeight="false" outlineLevel="0" collapsed="false">
      <c r="F235" s="12" t="str">
        <f aca="false">IF(A235="","",IFERROR(MATCH(B235,Lists!$A$2:$A$15,0),99))</f>
        <v/>
      </c>
      <c r="G235" s="12" t="str">
        <f aca="false">IF(A235="","",SUMIFS(Ingredients!$G:$G,Ingredients!$C:$C,A235))</f>
        <v/>
      </c>
      <c r="H235" s="12" t="str">
        <f aca="false">IF(A235="","",SUMIFS(Ingredients!$H:$H,Ingredients!$C:$C,A235))</f>
        <v/>
      </c>
      <c r="I235" s="12" t="str">
        <f aca="false">IF(A235="","",IF(G235&gt;0,IF(D235="Yes",100,0)+F235+ROW()/100000,""))</f>
        <v/>
      </c>
      <c r="J235" s="12" t="str">
        <f aca="false">IF(I235="","",COUNTIF($I$4:$I$503,"&lt;"&amp;I235)+1)</f>
        <v/>
      </c>
    </row>
    <row r="236" customFormat="false" ht="15" hidden="false" customHeight="false" outlineLevel="0" collapsed="false">
      <c r="F236" s="12" t="str">
        <f aca="false">IF(A236="","",IFERROR(MATCH(B236,Lists!$A$2:$A$15,0),99))</f>
        <v/>
      </c>
      <c r="G236" s="12" t="str">
        <f aca="false">IF(A236="","",SUMIFS(Ingredients!$G:$G,Ingredients!$C:$C,A236))</f>
        <v/>
      </c>
      <c r="H236" s="12" t="str">
        <f aca="false">IF(A236="","",SUMIFS(Ingredients!$H:$H,Ingredients!$C:$C,A236))</f>
        <v/>
      </c>
      <c r="I236" s="12" t="str">
        <f aca="false">IF(A236="","",IF(G236&gt;0,IF(D236="Yes",100,0)+F236+ROW()/100000,""))</f>
        <v/>
      </c>
      <c r="J236" s="12" t="str">
        <f aca="false">IF(I236="","",COUNTIF($I$4:$I$503,"&lt;"&amp;I236)+1)</f>
        <v/>
      </c>
    </row>
    <row r="237" customFormat="false" ht="15" hidden="false" customHeight="false" outlineLevel="0" collapsed="false">
      <c r="F237" s="12" t="str">
        <f aca="false">IF(A237="","",IFERROR(MATCH(B237,Lists!$A$2:$A$15,0),99))</f>
        <v/>
      </c>
      <c r="G237" s="12" t="str">
        <f aca="false">IF(A237="","",SUMIFS(Ingredients!$G:$G,Ingredients!$C:$C,A237))</f>
        <v/>
      </c>
      <c r="H237" s="12" t="str">
        <f aca="false">IF(A237="","",SUMIFS(Ingredients!$H:$H,Ingredients!$C:$C,A237))</f>
        <v/>
      </c>
      <c r="I237" s="12" t="str">
        <f aca="false">IF(A237="","",IF(G237&gt;0,IF(D237="Yes",100,0)+F237+ROW()/100000,""))</f>
        <v/>
      </c>
      <c r="J237" s="12" t="str">
        <f aca="false">IF(I237="","",COUNTIF($I$4:$I$503,"&lt;"&amp;I237)+1)</f>
        <v/>
      </c>
    </row>
    <row r="238" customFormat="false" ht="15" hidden="false" customHeight="false" outlineLevel="0" collapsed="false">
      <c r="F238" s="12" t="str">
        <f aca="false">IF(A238="","",IFERROR(MATCH(B238,Lists!$A$2:$A$15,0),99))</f>
        <v/>
      </c>
      <c r="G238" s="12" t="str">
        <f aca="false">IF(A238="","",SUMIFS(Ingredients!$G:$G,Ingredients!$C:$C,A238))</f>
        <v/>
      </c>
      <c r="H238" s="12" t="str">
        <f aca="false">IF(A238="","",SUMIFS(Ingredients!$H:$H,Ingredients!$C:$C,A238))</f>
        <v/>
      </c>
      <c r="I238" s="12" t="str">
        <f aca="false">IF(A238="","",IF(G238&gt;0,IF(D238="Yes",100,0)+F238+ROW()/100000,""))</f>
        <v/>
      </c>
      <c r="J238" s="12" t="str">
        <f aca="false">IF(I238="","",COUNTIF($I$4:$I$503,"&lt;"&amp;I238)+1)</f>
        <v/>
      </c>
    </row>
    <row r="239" customFormat="false" ht="15" hidden="false" customHeight="false" outlineLevel="0" collapsed="false">
      <c r="F239" s="12" t="str">
        <f aca="false">IF(A239="","",IFERROR(MATCH(B239,Lists!$A$2:$A$15,0),99))</f>
        <v/>
      </c>
      <c r="G239" s="12" t="str">
        <f aca="false">IF(A239="","",SUMIFS(Ingredients!$G:$G,Ingredients!$C:$C,A239))</f>
        <v/>
      </c>
      <c r="H239" s="12" t="str">
        <f aca="false">IF(A239="","",SUMIFS(Ingredients!$H:$H,Ingredients!$C:$C,A239))</f>
        <v/>
      </c>
      <c r="I239" s="12" t="str">
        <f aca="false">IF(A239="","",IF(G239&gt;0,IF(D239="Yes",100,0)+F239+ROW()/100000,""))</f>
        <v/>
      </c>
      <c r="J239" s="12" t="str">
        <f aca="false">IF(I239="","",COUNTIF($I$4:$I$503,"&lt;"&amp;I239)+1)</f>
        <v/>
      </c>
    </row>
    <row r="240" customFormat="false" ht="15" hidden="false" customHeight="false" outlineLevel="0" collapsed="false">
      <c r="F240" s="12" t="str">
        <f aca="false">IF(A240="","",IFERROR(MATCH(B240,Lists!$A$2:$A$15,0),99))</f>
        <v/>
      </c>
      <c r="G240" s="12" t="str">
        <f aca="false">IF(A240="","",SUMIFS(Ingredients!$G:$G,Ingredients!$C:$C,A240))</f>
        <v/>
      </c>
      <c r="H240" s="12" t="str">
        <f aca="false">IF(A240="","",SUMIFS(Ingredients!$H:$H,Ingredients!$C:$C,A240))</f>
        <v/>
      </c>
      <c r="I240" s="12" t="str">
        <f aca="false">IF(A240="","",IF(G240&gt;0,IF(D240="Yes",100,0)+F240+ROW()/100000,""))</f>
        <v/>
      </c>
      <c r="J240" s="12" t="str">
        <f aca="false">IF(I240="","",COUNTIF($I$4:$I$503,"&lt;"&amp;I240)+1)</f>
        <v/>
      </c>
    </row>
    <row r="241" customFormat="false" ht="15" hidden="false" customHeight="false" outlineLevel="0" collapsed="false">
      <c r="F241" s="12" t="str">
        <f aca="false">IF(A241="","",IFERROR(MATCH(B241,Lists!$A$2:$A$15,0),99))</f>
        <v/>
      </c>
      <c r="G241" s="12" t="str">
        <f aca="false">IF(A241="","",SUMIFS(Ingredients!$G:$G,Ingredients!$C:$C,A241))</f>
        <v/>
      </c>
      <c r="H241" s="12" t="str">
        <f aca="false">IF(A241="","",SUMIFS(Ingredients!$H:$H,Ingredients!$C:$C,A241))</f>
        <v/>
      </c>
      <c r="I241" s="12" t="str">
        <f aca="false">IF(A241="","",IF(G241&gt;0,IF(D241="Yes",100,0)+F241+ROW()/100000,""))</f>
        <v/>
      </c>
      <c r="J241" s="12" t="str">
        <f aca="false">IF(I241="","",COUNTIF($I$4:$I$503,"&lt;"&amp;I241)+1)</f>
        <v/>
      </c>
    </row>
    <row r="242" customFormat="false" ht="15" hidden="false" customHeight="false" outlineLevel="0" collapsed="false">
      <c r="F242" s="12" t="str">
        <f aca="false">IF(A242="","",IFERROR(MATCH(B242,Lists!$A$2:$A$15,0),99))</f>
        <v/>
      </c>
      <c r="G242" s="12" t="str">
        <f aca="false">IF(A242="","",SUMIFS(Ingredients!$G:$G,Ingredients!$C:$C,A242))</f>
        <v/>
      </c>
      <c r="H242" s="12" t="str">
        <f aca="false">IF(A242="","",SUMIFS(Ingredients!$H:$H,Ingredients!$C:$C,A242))</f>
        <v/>
      </c>
      <c r="I242" s="12" t="str">
        <f aca="false">IF(A242="","",IF(G242&gt;0,IF(D242="Yes",100,0)+F242+ROW()/100000,""))</f>
        <v/>
      </c>
      <c r="J242" s="12" t="str">
        <f aca="false">IF(I242="","",COUNTIF($I$4:$I$503,"&lt;"&amp;I242)+1)</f>
        <v/>
      </c>
    </row>
    <row r="243" customFormat="false" ht="15" hidden="false" customHeight="false" outlineLevel="0" collapsed="false">
      <c r="F243" s="12" t="str">
        <f aca="false">IF(A243="","",IFERROR(MATCH(B243,Lists!$A$2:$A$15,0),99))</f>
        <v/>
      </c>
      <c r="G243" s="12" t="str">
        <f aca="false">IF(A243="","",SUMIFS(Ingredients!$G:$G,Ingredients!$C:$C,A243))</f>
        <v/>
      </c>
      <c r="H243" s="12" t="str">
        <f aca="false">IF(A243="","",SUMIFS(Ingredients!$H:$H,Ingredients!$C:$C,A243))</f>
        <v/>
      </c>
      <c r="I243" s="12" t="str">
        <f aca="false">IF(A243="","",IF(G243&gt;0,IF(D243="Yes",100,0)+F243+ROW()/100000,""))</f>
        <v/>
      </c>
      <c r="J243" s="12" t="str">
        <f aca="false">IF(I243="","",COUNTIF($I$4:$I$503,"&lt;"&amp;I243)+1)</f>
        <v/>
      </c>
    </row>
    <row r="244" customFormat="false" ht="15" hidden="false" customHeight="false" outlineLevel="0" collapsed="false">
      <c r="F244" s="12" t="str">
        <f aca="false">IF(A244="","",IFERROR(MATCH(B244,Lists!$A$2:$A$15,0),99))</f>
        <v/>
      </c>
      <c r="G244" s="12" t="str">
        <f aca="false">IF(A244="","",SUMIFS(Ingredients!$G:$G,Ingredients!$C:$C,A244))</f>
        <v/>
      </c>
      <c r="H244" s="12" t="str">
        <f aca="false">IF(A244="","",SUMIFS(Ingredients!$H:$H,Ingredients!$C:$C,A244))</f>
        <v/>
      </c>
      <c r="I244" s="12" t="str">
        <f aca="false">IF(A244="","",IF(G244&gt;0,IF(D244="Yes",100,0)+F244+ROW()/100000,""))</f>
        <v/>
      </c>
      <c r="J244" s="12" t="str">
        <f aca="false">IF(I244="","",COUNTIF($I$4:$I$503,"&lt;"&amp;I244)+1)</f>
        <v/>
      </c>
    </row>
    <row r="245" customFormat="false" ht="15" hidden="false" customHeight="false" outlineLevel="0" collapsed="false">
      <c r="F245" s="12" t="str">
        <f aca="false">IF(A245="","",IFERROR(MATCH(B245,Lists!$A$2:$A$15,0),99))</f>
        <v/>
      </c>
      <c r="G245" s="12" t="str">
        <f aca="false">IF(A245="","",SUMIFS(Ingredients!$G:$G,Ingredients!$C:$C,A245))</f>
        <v/>
      </c>
      <c r="H245" s="12" t="str">
        <f aca="false">IF(A245="","",SUMIFS(Ingredients!$H:$H,Ingredients!$C:$C,A245))</f>
        <v/>
      </c>
      <c r="I245" s="12" t="str">
        <f aca="false">IF(A245="","",IF(G245&gt;0,IF(D245="Yes",100,0)+F245+ROW()/100000,""))</f>
        <v/>
      </c>
      <c r="J245" s="12" t="str">
        <f aca="false">IF(I245="","",COUNTIF($I$4:$I$503,"&lt;"&amp;I245)+1)</f>
        <v/>
      </c>
    </row>
    <row r="246" customFormat="false" ht="15" hidden="false" customHeight="false" outlineLevel="0" collapsed="false">
      <c r="F246" s="12" t="str">
        <f aca="false">IF(A246="","",IFERROR(MATCH(B246,Lists!$A$2:$A$15,0),99))</f>
        <v/>
      </c>
      <c r="G246" s="12" t="str">
        <f aca="false">IF(A246="","",SUMIFS(Ingredients!$G:$G,Ingredients!$C:$C,A246))</f>
        <v/>
      </c>
      <c r="H246" s="12" t="str">
        <f aca="false">IF(A246="","",SUMIFS(Ingredients!$H:$H,Ingredients!$C:$C,A246))</f>
        <v/>
      </c>
      <c r="I246" s="12" t="str">
        <f aca="false">IF(A246="","",IF(G246&gt;0,IF(D246="Yes",100,0)+F246+ROW()/100000,""))</f>
        <v/>
      </c>
      <c r="J246" s="12" t="str">
        <f aca="false">IF(I246="","",COUNTIF($I$4:$I$503,"&lt;"&amp;I246)+1)</f>
        <v/>
      </c>
    </row>
    <row r="247" customFormat="false" ht="15" hidden="false" customHeight="false" outlineLevel="0" collapsed="false">
      <c r="F247" s="12" t="str">
        <f aca="false">IF(A247="","",IFERROR(MATCH(B247,Lists!$A$2:$A$15,0),99))</f>
        <v/>
      </c>
      <c r="G247" s="12" t="str">
        <f aca="false">IF(A247="","",SUMIFS(Ingredients!$G:$G,Ingredients!$C:$C,A247))</f>
        <v/>
      </c>
      <c r="H247" s="12" t="str">
        <f aca="false">IF(A247="","",SUMIFS(Ingredients!$H:$H,Ingredients!$C:$C,A247))</f>
        <v/>
      </c>
      <c r="I247" s="12" t="str">
        <f aca="false">IF(A247="","",IF(G247&gt;0,IF(D247="Yes",100,0)+F247+ROW()/100000,""))</f>
        <v/>
      </c>
      <c r="J247" s="12" t="str">
        <f aca="false">IF(I247="","",COUNTIF($I$4:$I$503,"&lt;"&amp;I247)+1)</f>
        <v/>
      </c>
    </row>
    <row r="248" customFormat="false" ht="15" hidden="false" customHeight="false" outlineLevel="0" collapsed="false">
      <c r="F248" s="12" t="str">
        <f aca="false">IF(A248="","",IFERROR(MATCH(B248,Lists!$A$2:$A$15,0),99))</f>
        <v/>
      </c>
      <c r="G248" s="12" t="str">
        <f aca="false">IF(A248="","",SUMIFS(Ingredients!$G:$G,Ingredients!$C:$C,A248))</f>
        <v/>
      </c>
      <c r="H248" s="12" t="str">
        <f aca="false">IF(A248="","",SUMIFS(Ingredients!$H:$H,Ingredients!$C:$C,A248))</f>
        <v/>
      </c>
      <c r="I248" s="12" t="str">
        <f aca="false">IF(A248="","",IF(G248&gt;0,IF(D248="Yes",100,0)+F248+ROW()/100000,""))</f>
        <v/>
      </c>
      <c r="J248" s="12" t="str">
        <f aca="false">IF(I248="","",COUNTIF($I$4:$I$503,"&lt;"&amp;I248)+1)</f>
        <v/>
      </c>
    </row>
    <row r="249" customFormat="false" ht="15" hidden="false" customHeight="false" outlineLevel="0" collapsed="false">
      <c r="F249" s="12" t="str">
        <f aca="false">IF(A249="","",IFERROR(MATCH(B249,Lists!$A$2:$A$15,0),99))</f>
        <v/>
      </c>
      <c r="G249" s="12" t="str">
        <f aca="false">IF(A249="","",SUMIFS(Ingredients!$G:$G,Ingredients!$C:$C,A249))</f>
        <v/>
      </c>
      <c r="H249" s="12" t="str">
        <f aca="false">IF(A249="","",SUMIFS(Ingredients!$H:$H,Ingredients!$C:$C,A249))</f>
        <v/>
      </c>
      <c r="I249" s="12" t="str">
        <f aca="false">IF(A249="","",IF(G249&gt;0,IF(D249="Yes",100,0)+F249+ROW()/100000,""))</f>
        <v/>
      </c>
      <c r="J249" s="12" t="str">
        <f aca="false">IF(I249="","",COUNTIF($I$4:$I$503,"&lt;"&amp;I249)+1)</f>
        <v/>
      </c>
    </row>
    <row r="250" customFormat="false" ht="15" hidden="false" customHeight="false" outlineLevel="0" collapsed="false">
      <c r="F250" s="12" t="str">
        <f aca="false">IF(A250="","",IFERROR(MATCH(B250,Lists!$A$2:$A$15,0),99))</f>
        <v/>
      </c>
      <c r="G250" s="12" t="str">
        <f aca="false">IF(A250="","",SUMIFS(Ingredients!$G:$G,Ingredients!$C:$C,A250))</f>
        <v/>
      </c>
      <c r="H250" s="12" t="str">
        <f aca="false">IF(A250="","",SUMIFS(Ingredients!$H:$H,Ingredients!$C:$C,A250))</f>
        <v/>
      </c>
      <c r="I250" s="12" t="str">
        <f aca="false">IF(A250="","",IF(G250&gt;0,IF(D250="Yes",100,0)+F250+ROW()/100000,""))</f>
        <v/>
      </c>
      <c r="J250" s="12" t="str">
        <f aca="false">IF(I250="","",COUNTIF($I$4:$I$503,"&lt;"&amp;I250)+1)</f>
        <v/>
      </c>
    </row>
    <row r="251" customFormat="false" ht="15" hidden="false" customHeight="false" outlineLevel="0" collapsed="false">
      <c r="F251" s="12" t="str">
        <f aca="false">IF(A251="","",IFERROR(MATCH(B251,Lists!$A$2:$A$15,0),99))</f>
        <v/>
      </c>
      <c r="G251" s="12" t="str">
        <f aca="false">IF(A251="","",SUMIFS(Ingredients!$G:$G,Ingredients!$C:$C,A251))</f>
        <v/>
      </c>
      <c r="H251" s="12" t="str">
        <f aca="false">IF(A251="","",SUMIFS(Ingredients!$H:$H,Ingredients!$C:$C,A251))</f>
        <v/>
      </c>
      <c r="I251" s="12" t="str">
        <f aca="false">IF(A251="","",IF(G251&gt;0,IF(D251="Yes",100,0)+F251+ROW()/100000,""))</f>
        <v/>
      </c>
      <c r="J251" s="12" t="str">
        <f aca="false">IF(I251="","",COUNTIF($I$4:$I$503,"&lt;"&amp;I251)+1)</f>
        <v/>
      </c>
    </row>
    <row r="252" customFormat="false" ht="15" hidden="false" customHeight="false" outlineLevel="0" collapsed="false">
      <c r="F252" s="12" t="str">
        <f aca="false">IF(A252="","",IFERROR(MATCH(B252,Lists!$A$2:$A$15,0),99))</f>
        <v/>
      </c>
      <c r="G252" s="12" t="str">
        <f aca="false">IF(A252="","",SUMIFS(Ingredients!$G:$G,Ingredients!$C:$C,A252))</f>
        <v/>
      </c>
      <c r="H252" s="12" t="str">
        <f aca="false">IF(A252="","",SUMIFS(Ingredients!$H:$H,Ingredients!$C:$C,A252))</f>
        <v/>
      </c>
      <c r="I252" s="12" t="str">
        <f aca="false">IF(A252="","",IF(G252&gt;0,IF(D252="Yes",100,0)+F252+ROW()/100000,""))</f>
        <v/>
      </c>
      <c r="J252" s="12" t="str">
        <f aca="false">IF(I252="","",COUNTIF($I$4:$I$503,"&lt;"&amp;I252)+1)</f>
        <v/>
      </c>
    </row>
    <row r="253" customFormat="false" ht="15" hidden="false" customHeight="false" outlineLevel="0" collapsed="false">
      <c r="F253" s="12" t="str">
        <f aca="false">IF(A253="","",IFERROR(MATCH(B253,Lists!$A$2:$A$15,0),99))</f>
        <v/>
      </c>
      <c r="G253" s="12" t="str">
        <f aca="false">IF(A253="","",SUMIFS(Ingredients!$G:$G,Ingredients!$C:$C,A253))</f>
        <v/>
      </c>
      <c r="H253" s="12" t="str">
        <f aca="false">IF(A253="","",SUMIFS(Ingredients!$H:$H,Ingredients!$C:$C,A253))</f>
        <v/>
      </c>
      <c r="I253" s="12" t="str">
        <f aca="false">IF(A253="","",IF(G253&gt;0,IF(D253="Yes",100,0)+F253+ROW()/100000,""))</f>
        <v/>
      </c>
      <c r="J253" s="12" t="str">
        <f aca="false">IF(I253="","",COUNTIF($I$4:$I$503,"&lt;"&amp;I253)+1)</f>
        <v/>
      </c>
    </row>
    <row r="254" customFormat="false" ht="15" hidden="false" customHeight="false" outlineLevel="0" collapsed="false">
      <c r="F254" s="12" t="str">
        <f aca="false">IF(A254="","",IFERROR(MATCH(B254,Lists!$A$2:$A$15,0),99))</f>
        <v/>
      </c>
      <c r="G254" s="12" t="str">
        <f aca="false">IF(A254="","",SUMIFS(Ingredients!$G:$G,Ingredients!$C:$C,A254))</f>
        <v/>
      </c>
      <c r="H254" s="12" t="str">
        <f aca="false">IF(A254="","",SUMIFS(Ingredients!$H:$H,Ingredients!$C:$C,A254))</f>
        <v/>
      </c>
      <c r="I254" s="12" t="str">
        <f aca="false">IF(A254="","",IF(G254&gt;0,IF(D254="Yes",100,0)+F254+ROW()/100000,""))</f>
        <v/>
      </c>
      <c r="J254" s="12" t="str">
        <f aca="false">IF(I254="","",COUNTIF($I$4:$I$503,"&lt;"&amp;I254)+1)</f>
        <v/>
      </c>
    </row>
    <row r="255" customFormat="false" ht="15" hidden="false" customHeight="false" outlineLevel="0" collapsed="false">
      <c r="F255" s="12" t="str">
        <f aca="false">IF(A255="","",IFERROR(MATCH(B255,Lists!$A$2:$A$15,0),99))</f>
        <v/>
      </c>
      <c r="G255" s="12" t="str">
        <f aca="false">IF(A255="","",SUMIFS(Ingredients!$G:$G,Ingredients!$C:$C,A255))</f>
        <v/>
      </c>
      <c r="H255" s="12" t="str">
        <f aca="false">IF(A255="","",SUMIFS(Ingredients!$H:$H,Ingredients!$C:$C,A255))</f>
        <v/>
      </c>
      <c r="I255" s="12" t="str">
        <f aca="false">IF(A255="","",IF(G255&gt;0,IF(D255="Yes",100,0)+F255+ROW()/100000,""))</f>
        <v/>
      </c>
      <c r="J255" s="12" t="str">
        <f aca="false">IF(I255="","",COUNTIF($I$4:$I$503,"&lt;"&amp;I255)+1)</f>
        <v/>
      </c>
    </row>
    <row r="256" customFormat="false" ht="15" hidden="false" customHeight="false" outlineLevel="0" collapsed="false">
      <c r="F256" s="12" t="str">
        <f aca="false">IF(A256="","",IFERROR(MATCH(B256,Lists!$A$2:$A$15,0),99))</f>
        <v/>
      </c>
      <c r="G256" s="12" t="str">
        <f aca="false">IF(A256="","",SUMIFS(Ingredients!$G:$G,Ingredients!$C:$C,A256))</f>
        <v/>
      </c>
      <c r="H256" s="12" t="str">
        <f aca="false">IF(A256="","",SUMIFS(Ingredients!$H:$H,Ingredients!$C:$C,A256))</f>
        <v/>
      </c>
      <c r="I256" s="12" t="str">
        <f aca="false">IF(A256="","",IF(G256&gt;0,IF(D256="Yes",100,0)+F256+ROW()/100000,""))</f>
        <v/>
      </c>
      <c r="J256" s="12" t="str">
        <f aca="false">IF(I256="","",COUNTIF($I$4:$I$503,"&lt;"&amp;I256)+1)</f>
        <v/>
      </c>
    </row>
    <row r="257" customFormat="false" ht="15" hidden="false" customHeight="false" outlineLevel="0" collapsed="false">
      <c r="F257" s="12" t="str">
        <f aca="false">IF(A257="","",IFERROR(MATCH(B257,Lists!$A$2:$A$15,0),99))</f>
        <v/>
      </c>
      <c r="G257" s="12" t="str">
        <f aca="false">IF(A257="","",SUMIFS(Ingredients!$G:$G,Ingredients!$C:$C,A257))</f>
        <v/>
      </c>
      <c r="H257" s="12" t="str">
        <f aca="false">IF(A257="","",SUMIFS(Ingredients!$H:$H,Ingredients!$C:$C,A257))</f>
        <v/>
      </c>
      <c r="I257" s="12" t="str">
        <f aca="false">IF(A257="","",IF(G257&gt;0,IF(D257="Yes",100,0)+F257+ROW()/100000,""))</f>
        <v/>
      </c>
      <c r="J257" s="12" t="str">
        <f aca="false">IF(I257="","",COUNTIF($I$4:$I$503,"&lt;"&amp;I257)+1)</f>
        <v/>
      </c>
    </row>
    <row r="258" customFormat="false" ht="15" hidden="false" customHeight="false" outlineLevel="0" collapsed="false">
      <c r="F258" s="12" t="str">
        <f aca="false">IF(A258="","",IFERROR(MATCH(B258,Lists!$A$2:$A$15,0),99))</f>
        <v/>
      </c>
      <c r="G258" s="12" t="str">
        <f aca="false">IF(A258="","",SUMIFS(Ingredients!$G:$G,Ingredients!$C:$C,A258))</f>
        <v/>
      </c>
      <c r="H258" s="12" t="str">
        <f aca="false">IF(A258="","",SUMIFS(Ingredients!$H:$H,Ingredients!$C:$C,A258))</f>
        <v/>
      </c>
      <c r="I258" s="12" t="str">
        <f aca="false">IF(A258="","",IF(G258&gt;0,IF(D258="Yes",100,0)+F258+ROW()/100000,""))</f>
        <v/>
      </c>
      <c r="J258" s="12" t="str">
        <f aca="false">IF(I258="","",COUNTIF($I$4:$I$503,"&lt;"&amp;I258)+1)</f>
        <v/>
      </c>
    </row>
    <row r="259" customFormat="false" ht="15" hidden="false" customHeight="false" outlineLevel="0" collapsed="false">
      <c r="F259" s="12" t="str">
        <f aca="false">IF(A259="","",IFERROR(MATCH(B259,Lists!$A$2:$A$15,0),99))</f>
        <v/>
      </c>
      <c r="G259" s="12" t="str">
        <f aca="false">IF(A259="","",SUMIFS(Ingredients!$G:$G,Ingredients!$C:$C,A259))</f>
        <v/>
      </c>
      <c r="H259" s="12" t="str">
        <f aca="false">IF(A259="","",SUMIFS(Ingredients!$H:$H,Ingredients!$C:$C,A259))</f>
        <v/>
      </c>
      <c r="I259" s="12" t="str">
        <f aca="false">IF(A259="","",IF(G259&gt;0,IF(D259="Yes",100,0)+F259+ROW()/100000,""))</f>
        <v/>
      </c>
      <c r="J259" s="12" t="str">
        <f aca="false">IF(I259="","",COUNTIF($I$4:$I$503,"&lt;"&amp;I259)+1)</f>
        <v/>
      </c>
    </row>
    <row r="260" customFormat="false" ht="15" hidden="false" customHeight="false" outlineLevel="0" collapsed="false">
      <c r="F260" s="12" t="str">
        <f aca="false">IF(A260="","",IFERROR(MATCH(B260,Lists!$A$2:$A$15,0),99))</f>
        <v/>
      </c>
      <c r="G260" s="12" t="str">
        <f aca="false">IF(A260="","",SUMIFS(Ingredients!$G:$G,Ingredients!$C:$C,A260))</f>
        <v/>
      </c>
      <c r="H260" s="12" t="str">
        <f aca="false">IF(A260="","",SUMIFS(Ingredients!$H:$H,Ingredients!$C:$C,A260))</f>
        <v/>
      </c>
      <c r="I260" s="12" t="str">
        <f aca="false">IF(A260="","",IF(G260&gt;0,IF(D260="Yes",100,0)+F260+ROW()/100000,""))</f>
        <v/>
      </c>
      <c r="J260" s="12" t="str">
        <f aca="false">IF(I260="","",COUNTIF($I$4:$I$503,"&lt;"&amp;I260)+1)</f>
        <v/>
      </c>
    </row>
    <row r="261" customFormat="false" ht="15" hidden="false" customHeight="false" outlineLevel="0" collapsed="false">
      <c r="F261" s="12" t="str">
        <f aca="false">IF(A261="","",IFERROR(MATCH(B261,Lists!$A$2:$A$15,0),99))</f>
        <v/>
      </c>
      <c r="G261" s="12" t="str">
        <f aca="false">IF(A261="","",SUMIFS(Ingredients!$G:$G,Ingredients!$C:$C,A261))</f>
        <v/>
      </c>
      <c r="H261" s="12" t="str">
        <f aca="false">IF(A261="","",SUMIFS(Ingredients!$H:$H,Ingredients!$C:$C,A261))</f>
        <v/>
      </c>
      <c r="I261" s="12" t="str">
        <f aca="false">IF(A261="","",IF(G261&gt;0,IF(D261="Yes",100,0)+F261+ROW()/100000,""))</f>
        <v/>
      </c>
      <c r="J261" s="12" t="str">
        <f aca="false">IF(I261="","",COUNTIF($I$4:$I$503,"&lt;"&amp;I261)+1)</f>
        <v/>
      </c>
    </row>
    <row r="262" customFormat="false" ht="15" hidden="false" customHeight="false" outlineLevel="0" collapsed="false">
      <c r="F262" s="12" t="str">
        <f aca="false">IF(A262="","",IFERROR(MATCH(B262,Lists!$A$2:$A$15,0),99))</f>
        <v/>
      </c>
      <c r="G262" s="12" t="str">
        <f aca="false">IF(A262="","",SUMIFS(Ingredients!$G:$G,Ingredients!$C:$C,A262))</f>
        <v/>
      </c>
      <c r="H262" s="12" t="str">
        <f aca="false">IF(A262="","",SUMIFS(Ingredients!$H:$H,Ingredients!$C:$C,A262))</f>
        <v/>
      </c>
      <c r="I262" s="12" t="str">
        <f aca="false">IF(A262="","",IF(G262&gt;0,IF(D262="Yes",100,0)+F262+ROW()/100000,""))</f>
        <v/>
      </c>
      <c r="J262" s="12" t="str">
        <f aca="false">IF(I262="","",COUNTIF($I$4:$I$503,"&lt;"&amp;I262)+1)</f>
        <v/>
      </c>
    </row>
    <row r="263" customFormat="false" ht="15" hidden="false" customHeight="false" outlineLevel="0" collapsed="false">
      <c r="F263" s="12" t="str">
        <f aca="false">IF(A263="","",IFERROR(MATCH(B263,Lists!$A$2:$A$15,0),99))</f>
        <v/>
      </c>
      <c r="G263" s="12" t="str">
        <f aca="false">IF(A263="","",SUMIFS(Ingredients!$G:$G,Ingredients!$C:$C,A263))</f>
        <v/>
      </c>
      <c r="H263" s="12" t="str">
        <f aca="false">IF(A263="","",SUMIFS(Ingredients!$H:$H,Ingredients!$C:$C,A263))</f>
        <v/>
      </c>
      <c r="I263" s="12" t="str">
        <f aca="false">IF(A263="","",IF(G263&gt;0,IF(D263="Yes",100,0)+F263+ROW()/100000,""))</f>
        <v/>
      </c>
      <c r="J263" s="12" t="str">
        <f aca="false">IF(I263="","",COUNTIF($I$4:$I$503,"&lt;"&amp;I263)+1)</f>
        <v/>
      </c>
    </row>
    <row r="264" customFormat="false" ht="15" hidden="false" customHeight="false" outlineLevel="0" collapsed="false">
      <c r="F264" s="12" t="str">
        <f aca="false">IF(A264="","",IFERROR(MATCH(B264,Lists!$A$2:$A$15,0),99))</f>
        <v/>
      </c>
      <c r="G264" s="12" t="str">
        <f aca="false">IF(A264="","",SUMIFS(Ingredients!$G:$G,Ingredients!$C:$C,A264))</f>
        <v/>
      </c>
      <c r="H264" s="12" t="str">
        <f aca="false">IF(A264="","",SUMIFS(Ingredients!$H:$H,Ingredients!$C:$C,A264))</f>
        <v/>
      </c>
      <c r="I264" s="12" t="str">
        <f aca="false">IF(A264="","",IF(G264&gt;0,IF(D264="Yes",100,0)+F264+ROW()/100000,""))</f>
        <v/>
      </c>
      <c r="J264" s="12" t="str">
        <f aca="false">IF(I264="","",COUNTIF($I$4:$I$503,"&lt;"&amp;I264)+1)</f>
        <v/>
      </c>
    </row>
    <row r="265" customFormat="false" ht="15" hidden="false" customHeight="false" outlineLevel="0" collapsed="false">
      <c r="F265" s="12" t="str">
        <f aca="false">IF(A265="","",IFERROR(MATCH(B265,Lists!$A$2:$A$15,0),99))</f>
        <v/>
      </c>
      <c r="G265" s="12" t="str">
        <f aca="false">IF(A265="","",SUMIFS(Ingredients!$G:$G,Ingredients!$C:$C,A265))</f>
        <v/>
      </c>
      <c r="H265" s="12" t="str">
        <f aca="false">IF(A265="","",SUMIFS(Ingredients!$H:$H,Ingredients!$C:$C,A265))</f>
        <v/>
      </c>
      <c r="I265" s="12" t="str">
        <f aca="false">IF(A265="","",IF(G265&gt;0,IF(D265="Yes",100,0)+F265+ROW()/100000,""))</f>
        <v/>
      </c>
      <c r="J265" s="12" t="str">
        <f aca="false">IF(I265="","",COUNTIF($I$4:$I$503,"&lt;"&amp;I265)+1)</f>
        <v/>
      </c>
    </row>
    <row r="266" customFormat="false" ht="15" hidden="false" customHeight="false" outlineLevel="0" collapsed="false">
      <c r="F266" s="12" t="str">
        <f aca="false">IF(A266="","",IFERROR(MATCH(B266,Lists!$A$2:$A$15,0),99))</f>
        <v/>
      </c>
      <c r="G266" s="12" t="str">
        <f aca="false">IF(A266="","",SUMIFS(Ingredients!$G:$G,Ingredients!$C:$C,A266))</f>
        <v/>
      </c>
      <c r="H266" s="12" t="str">
        <f aca="false">IF(A266="","",SUMIFS(Ingredients!$H:$H,Ingredients!$C:$C,A266))</f>
        <v/>
      </c>
      <c r="I266" s="12" t="str">
        <f aca="false">IF(A266="","",IF(G266&gt;0,IF(D266="Yes",100,0)+F266+ROW()/100000,""))</f>
        <v/>
      </c>
      <c r="J266" s="12" t="str">
        <f aca="false">IF(I266="","",COUNTIF($I$4:$I$503,"&lt;"&amp;I266)+1)</f>
        <v/>
      </c>
    </row>
    <row r="267" customFormat="false" ht="15" hidden="false" customHeight="false" outlineLevel="0" collapsed="false">
      <c r="F267" s="12" t="str">
        <f aca="false">IF(A267="","",IFERROR(MATCH(B267,Lists!$A$2:$A$15,0),99))</f>
        <v/>
      </c>
      <c r="G267" s="12" t="str">
        <f aca="false">IF(A267="","",SUMIFS(Ingredients!$G:$G,Ingredients!$C:$C,A267))</f>
        <v/>
      </c>
      <c r="H267" s="12" t="str">
        <f aca="false">IF(A267="","",SUMIFS(Ingredients!$H:$H,Ingredients!$C:$C,A267))</f>
        <v/>
      </c>
      <c r="I267" s="12" t="str">
        <f aca="false">IF(A267="","",IF(G267&gt;0,IF(D267="Yes",100,0)+F267+ROW()/100000,""))</f>
        <v/>
      </c>
      <c r="J267" s="12" t="str">
        <f aca="false">IF(I267="","",COUNTIF($I$4:$I$503,"&lt;"&amp;I267)+1)</f>
        <v/>
      </c>
    </row>
    <row r="268" customFormat="false" ht="15" hidden="false" customHeight="false" outlineLevel="0" collapsed="false">
      <c r="F268" s="12" t="str">
        <f aca="false">IF(A268="","",IFERROR(MATCH(B268,Lists!$A$2:$A$15,0),99))</f>
        <v/>
      </c>
      <c r="G268" s="12" t="str">
        <f aca="false">IF(A268="","",SUMIFS(Ingredients!$G:$G,Ingredients!$C:$C,A268))</f>
        <v/>
      </c>
      <c r="H268" s="12" t="str">
        <f aca="false">IF(A268="","",SUMIFS(Ingredients!$H:$H,Ingredients!$C:$C,A268))</f>
        <v/>
      </c>
      <c r="I268" s="12" t="str">
        <f aca="false">IF(A268="","",IF(G268&gt;0,IF(D268="Yes",100,0)+F268+ROW()/100000,""))</f>
        <v/>
      </c>
      <c r="J268" s="12" t="str">
        <f aca="false">IF(I268="","",COUNTIF($I$4:$I$503,"&lt;"&amp;I268)+1)</f>
        <v/>
      </c>
    </row>
    <row r="269" customFormat="false" ht="15" hidden="false" customHeight="false" outlineLevel="0" collapsed="false">
      <c r="F269" s="12" t="str">
        <f aca="false">IF(A269="","",IFERROR(MATCH(B269,Lists!$A$2:$A$15,0),99))</f>
        <v/>
      </c>
      <c r="G269" s="12" t="str">
        <f aca="false">IF(A269="","",SUMIFS(Ingredients!$G:$G,Ingredients!$C:$C,A269))</f>
        <v/>
      </c>
      <c r="H269" s="12" t="str">
        <f aca="false">IF(A269="","",SUMIFS(Ingredients!$H:$H,Ingredients!$C:$C,A269))</f>
        <v/>
      </c>
      <c r="I269" s="12" t="str">
        <f aca="false">IF(A269="","",IF(G269&gt;0,IF(D269="Yes",100,0)+F269+ROW()/100000,""))</f>
        <v/>
      </c>
      <c r="J269" s="12" t="str">
        <f aca="false">IF(I269="","",COUNTIF($I$4:$I$503,"&lt;"&amp;I269)+1)</f>
        <v/>
      </c>
    </row>
    <row r="270" customFormat="false" ht="15" hidden="false" customHeight="false" outlineLevel="0" collapsed="false">
      <c r="F270" s="12" t="str">
        <f aca="false">IF(A270="","",IFERROR(MATCH(B270,Lists!$A$2:$A$15,0),99))</f>
        <v/>
      </c>
      <c r="G270" s="12" t="str">
        <f aca="false">IF(A270="","",SUMIFS(Ingredients!$G:$G,Ingredients!$C:$C,A270))</f>
        <v/>
      </c>
      <c r="H270" s="12" t="str">
        <f aca="false">IF(A270="","",SUMIFS(Ingredients!$H:$H,Ingredients!$C:$C,A270))</f>
        <v/>
      </c>
      <c r="I270" s="12" t="str">
        <f aca="false">IF(A270="","",IF(G270&gt;0,IF(D270="Yes",100,0)+F270+ROW()/100000,""))</f>
        <v/>
      </c>
      <c r="J270" s="12" t="str">
        <f aca="false">IF(I270="","",COUNTIF($I$4:$I$503,"&lt;"&amp;I270)+1)</f>
        <v/>
      </c>
    </row>
    <row r="271" customFormat="false" ht="15" hidden="false" customHeight="false" outlineLevel="0" collapsed="false">
      <c r="F271" s="12" t="str">
        <f aca="false">IF(A271="","",IFERROR(MATCH(B271,Lists!$A$2:$A$15,0),99))</f>
        <v/>
      </c>
      <c r="G271" s="12" t="str">
        <f aca="false">IF(A271="","",SUMIFS(Ingredients!$G:$G,Ingredients!$C:$C,A271))</f>
        <v/>
      </c>
      <c r="H271" s="12" t="str">
        <f aca="false">IF(A271="","",SUMIFS(Ingredients!$H:$H,Ingredients!$C:$C,A271))</f>
        <v/>
      </c>
      <c r="I271" s="12" t="str">
        <f aca="false">IF(A271="","",IF(G271&gt;0,IF(D271="Yes",100,0)+F271+ROW()/100000,""))</f>
        <v/>
      </c>
      <c r="J271" s="12" t="str">
        <f aca="false">IF(I271="","",COUNTIF($I$4:$I$503,"&lt;"&amp;I271)+1)</f>
        <v/>
      </c>
    </row>
    <row r="272" customFormat="false" ht="15" hidden="false" customHeight="false" outlineLevel="0" collapsed="false">
      <c r="F272" s="12" t="str">
        <f aca="false">IF(A272="","",IFERROR(MATCH(B272,Lists!$A$2:$A$15,0),99))</f>
        <v/>
      </c>
      <c r="G272" s="12" t="str">
        <f aca="false">IF(A272="","",SUMIFS(Ingredients!$G:$G,Ingredients!$C:$C,A272))</f>
        <v/>
      </c>
      <c r="H272" s="12" t="str">
        <f aca="false">IF(A272="","",SUMIFS(Ingredients!$H:$H,Ingredients!$C:$C,A272))</f>
        <v/>
      </c>
      <c r="I272" s="12" t="str">
        <f aca="false">IF(A272="","",IF(G272&gt;0,IF(D272="Yes",100,0)+F272+ROW()/100000,""))</f>
        <v/>
      </c>
      <c r="J272" s="12" t="str">
        <f aca="false">IF(I272="","",COUNTIF($I$4:$I$503,"&lt;"&amp;I272)+1)</f>
        <v/>
      </c>
    </row>
    <row r="273" customFormat="false" ht="15" hidden="false" customHeight="false" outlineLevel="0" collapsed="false">
      <c r="F273" s="12" t="str">
        <f aca="false">IF(A273="","",IFERROR(MATCH(B273,Lists!$A$2:$A$15,0),99))</f>
        <v/>
      </c>
      <c r="G273" s="12" t="str">
        <f aca="false">IF(A273="","",SUMIFS(Ingredients!$G:$G,Ingredients!$C:$C,A273))</f>
        <v/>
      </c>
      <c r="H273" s="12" t="str">
        <f aca="false">IF(A273="","",SUMIFS(Ingredients!$H:$H,Ingredients!$C:$C,A273))</f>
        <v/>
      </c>
      <c r="I273" s="12" t="str">
        <f aca="false">IF(A273="","",IF(G273&gt;0,IF(D273="Yes",100,0)+F273+ROW()/100000,""))</f>
        <v/>
      </c>
      <c r="J273" s="12" t="str">
        <f aca="false">IF(I273="","",COUNTIF($I$4:$I$503,"&lt;"&amp;I273)+1)</f>
        <v/>
      </c>
    </row>
    <row r="274" customFormat="false" ht="15" hidden="false" customHeight="false" outlineLevel="0" collapsed="false">
      <c r="F274" s="12" t="str">
        <f aca="false">IF(A274="","",IFERROR(MATCH(B274,Lists!$A$2:$A$15,0),99))</f>
        <v/>
      </c>
      <c r="G274" s="12" t="str">
        <f aca="false">IF(A274="","",SUMIFS(Ingredients!$G:$G,Ingredients!$C:$C,A274))</f>
        <v/>
      </c>
      <c r="H274" s="12" t="str">
        <f aca="false">IF(A274="","",SUMIFS(Ingredients!$H:$H,Ingredients!$C:$C,A274))</f>
        <v/>
      </c>
      <c r="I274" s="12" t="str">
        <f aca="false">IF(A274="","",IF(G274&gt;0,IF(D274="Yes",100,0)+F274+ROW()/100000,""))</f>
        <v/>
      </c>
      <c r="J274" s="12" t="str">
        <f aca="false">IF(I274="","",COUNTIF($I$4:$I$503,"&lt;"&amp;I274)+1)</f>
        <v/>
      </c>
    </row>
    <row r="275" customFormat="false" ht="15" hidden="false" customHeight="false" outlineLevel="0" collapsed="false">
      <c r="F275" s="12" t="str">
        <f aca="false">IF(A275="","",IFERROR(MATCH(B275,Lists!$A$2:$A$15,0),99))</f>
        <v/>
      </c>
      <c r="G275" s="12" t="str">
        <f aca="false">IF(A275="","",SUMIFS(Ingredients!$G:$G,Ingredients!$C:$C,A275))</f>
        <v/>
      </c>
      <c r="H275" s="12" t="str">
        <f aca="false">IF(A275="","",SUMIFS(Ingredients!$H:$H,Ingredients!$C:$C,A275))</f>
        <v/>
      </c>
      <c r="I275" s="12" t="str">
        <f aca="false">IF(A275="","",IF(G275&gt;0,IF(D275="Yes",100,0)+F275+ROW()/100000,""))</f>
        <v/>
      </c>
      <c r="J275" s="12" t="str">
        <f aca="false">IF(I275="","",COUNTIF($I$4:$I$503,"&lt;"&amp;I275)+1)</f>
        <v/>
      </c>
    </row>
    <row r="276" customFormat="false" ht="15" hidden="false" customHeight="false" outlineLevel="0" collapsed="false">
      <c r="F276" s="12" t="str">
        <f aca="false">IF(A276="","",IFERROR(MATCH(B276,Lists!$A$2:$A$15,0),99))</f>
        <v/>
      </c>
      <c r="G276" s="12" t="str">
        <f aca="false">IF(A276="","",SUMIFS(Ingredients!$G:$G,Ingredients!$C:$C,A276))</f>
        <v/>
      </c>
      <c r="H276" s="12" t="str">
        <f aca="false">IF(A276="","",SUMIFS(Ingredients!$H:$H,Ingredients!$C:$C,A276))</f>
        <v/>
      </c>
      <c r="I276" s="12" t="str">
        <f aca="false">IF(A276="","",IF(G276&gt;0,IF(D276="Yes",100,0)+F276+ROW()/100000,""))</f>
        <v/>
      </c>
      <c r="J276" s="12" t="str">
        <f aca="false">IF(I276="","",COUNTIF($I$4:$I$503,"&lt;"&amp;I276)+1)</f>
        <v/>
      </c>
    </row>
    <row r="277" customFormat="false" ht="15" hidden="false" customHeight="false" outlineLevel="0" collapsed="false">
      <c r="F277" s="12" t="str">
        <f aca="false">IF(A277="","",IFERROR(MATCH(B277,Lists!$A$2:$A$15,0),99))</f>
        <v/>
      </c>
      <c r="G277" s="12" t="str">
        <f aca="false">IF(A277="","",SUMIFS(Ingredients!$G:$G,Ingredients!$C:$C,A277))</f>
        <v/>
      </c>
      <c r="H277" s="12" t="str">
        <f aca="false">IF(A277="","",SUMIFS(Ingredients!$H:$H,Ingredients!$C:$C,A277))</f>
        <v/>
      </c>
      <c r="I277" s="12" t="str">
        <f aca="false">IF(A277="","",IF(G277&gt;0,IF(D277="Yes",100,0)+F277+ROW()/100000,""))</f>
        <v/>
      </c>
      <c r="J277" s="12" t="str">
        <f aca="false">IF(I277="","",COUNTIF($I$4:$I$503,"&lt;"&amp;I277)+1)</f>
        <v/>
      </c>
    </row>
    <row r="278" customFormat="false" ht="15" hidden="false" customHeight="false" outlineLevel="0" collapsed="false">
      <c r="F278" s="12" t="str">
        <f aca="false">IF(A278="","",IFERROR(MATCH(B278,Lists!$A$2:$A$15,0),99))</f>
        <v/>
      </c>
      <c r="G278" s="12" t="str">
        <f aca="false">IF(A278="","",SUMIFS(Ingredients!$G:$G,Ingredients!$C:$C,A278))</f>
        <v/>
      </c>
      <c r="H278" s="12" t="str">
        <f aca="false">IF(A278="","",SUMIFS(Ingredients!$H:$H,Ingredients!$C:$C,A278))</f>
        <v/>
      </c>
      <c r="I278" s="12" t="str">
        <f aca="false">IF(A278="","",IF(G278&gt;0,IF(D278="Yes",100,0)+F278+ROW()/100000,""))</f>
        <v/>
      </c>
      <c r="J278" s="12" t="str">
        <f aca="false">IF(I278="","",COUNTIF($I$4:$I$503,"&lt;"&amp;I278)+1)</f>
        <v/>
      </c>
    </row>
    <row r="279" customFormat="false" ht="15" hidden="false" customHeight="false" outlineLevel="0" collapsed="false">
      <c r="F279" s="12" t="str">
        <f aca="false">IF(A279="","",IFERROR(MATCH(B279,Lists!$A$2:$A$15,0),99))</f>
        <v/>
      </c>
      <c r="G279" s="12" t="str">
        <f aca="false">IF(A279="","",SUMIFS(Ingredients!$G:$G,Ingredients!$C:$C,A279))</f>
        <v/>
      </c>
      <c r="H279" s="12" t="str">
        <f aca="false">IF(A279="","",SUMIFS(Ingredients!$H:$H,Ingredients!$C:$C,A279))</f>
        <v/>
      </c>
      <c r="I279" s="12" t="str">
        <f aca="false">IF(A279="","",IF(G279&gt;0,IF(D279="Yes",100,0)+F279+ROW()/100000,""))</f>
        <v/>
      </c>
      <c r="J279" s="12" t="str">
        <f aca="false">IF(I279="","",COUNTIF($I$4:$I$503,"&lt;"&amp;I279)+1)</f>
        <v/>
      </c>
    </row>
    <row r="280" customFormat="false" ht="15" hidden="false" customHeight="false" outlineLevel="0" collapsed="false">
      <c r="F280" s="12" t="str">
        <f aca="false">IF(A280="","",IFERROR(MATCH(B280,Lists!$A$2:$A$15,0),99))</f>
        <v/>
      </c>
      <c r="G280" s="12" t="str">
        <f aca="false">IF(A280="","",SUMIFS(Ingredients!$G:$G,Ingredients!$C:$C,A280))</f>
        <v/>
      </c>
      <c r="H280" s="12" t="str">
        <f aca="false">IF(A280="","",SUMIFS(Ingredients!$H:$H,Ingredients!$C:$C,A280))</f>
        <v/>
      </c>
      <c r="I280" s="12" t="str">
        <f aca="false">IF(A280="","",IF(G280&gt;0,IF(D280="Yes",100,0)+F280+ROW()/100000,""))</f>
        <v/>
      </c>
      <c r="J280" s="12" t="str">
        <f aca="false">IF(I280="","",COUNTIF($I$4:$I$503,"&lt;"&amp;I280)+1)</f>
        <v/>
      </c>
    </row>
    <row r="281" customFormat="false" ht="15" hidden="false" customHeight="false" outlineLevel="0" collapsed="false">
      <c r="F281" s="12" t="str">
        <f aca="false">IF(A281="","",IFERROR(MATCH(B281,Lists!$A$2:$A$15,0),99))</f>
        <v/>
      </c>
      <c r="G281" s="12" t="str">
        <f aca="false">IF(A281="","",SUMIFS(Ingredients!$G:$G,Ingredients!$C:$C,A281))</f>
        <v/>
      </c>
      <c r="H281" s="12" t="str">
        <f aca="false">IF(A281="","",SUMIFS(Ingredients!$H:$H,Ingredients!$C:$C,A281))</f>
        <v/>
      </c>
      <c r="I281" s="12" t="str">
        <f aca="false">IF(A281="","",IF(G281&gt;0,IF(D281="Yes",100,0)+F281+ROW()/100000,""))</f>
        <v/>
      </c>
      <c r="J281" s="12" t="str">
        <f aca="false">IF(I281="","",COUNTIF($I$4:$I$503,"&lt;"&amp;I281)+1)</f>
        <v/>
      </c>
    </row>
    <row r="282" customFormat="false" ht="15" hidden="false" customHeight="false" outlineLevel="0" collapsed="false">
      <c r="F282" s="12" t="str">
        <f aca="false">IF(A282="","",IFERROR(MATCH(B282,Lists!$A$2:$A$15,0),99))</f>
        <v/>
      </c>
      <c r="G282" s="12" t="str">
        <f aca="false">IF(A282="","",SUMIFS(Ingredients!$G:$G,Ingredients!$C:$C,A282))</f>
        <v/>
      </c>
      <c r="H282" s="12" t="str">
        <f aca="false">IF(A282="","",SUMIFS(Ingredients!$H:$H,Ingredients!$C:$C,A282))</f>
        <v/>
      </c>
      <c r="I282" s="12" t="str">
        <f aca="false">IF(A282="","",IF(G282&gt;0,IF(D282="Yes",100,0)+F282+ROW()/100000,""))</f>
        <v/>
      </c>
      <c r="J282" s="12" t="str">
        <f aca="false">IF(I282="","",COUNTIF($I$4:$I$503,"&lt;"&amp;I282)+1)</f>
        <v/>
      </c>
    </row>
    <row r="283" customFormat="false" ht="15" hidden="false" customHeight="false" outlineLevel="0" collapsed="false">
      <c r="F283" s="12" t="str">
        <f aca="false">IF(A283="","",IFERROR(MATCH(B283,Lists!$A$2:$A$15,0),99))</f>
        <v/>
      </c>
      <c r="G283" s="12" t="str">
        <f aca="false">IF(A283="","",SUMIFS(Ingredients!$G:$G,Ingredients!$C:$C,A283))</f>
        <v/>
      </c>
      <c r="H283" s="12" t="str">
        <f aca="false">IF(A283="","",SUMIFS(Ingredients!$H:$H,Ingredients!$C:$C,A283))</f>
        <v/>
      </c>
      <c r="I283" s="12" t="str">
        <f aca="false">IF(A283="","",IF(G283&gt;0,IF(D283="Yes",100,0)+F283+ROW()/100000,""))</f>
        <v/>
      </c>
      <c r="J283" s="12" t="str">
        <f aca="false">IF(I283="","",COUNTIF($I$4:$I$503,"&lt;"&amp;I283)+1)</f>
        <v/>
      </c>
    </row>
    <row r="284" customFormat="false" ht="15" hidden="false" customHeight="false" outlineLevel="0" collapsed="false">
      <c r="F284" s="12" t="str">
        <f aca="false">IF(A284="","",IFERROR(MATCH(B284,Lists!$A$2:$A$15,0),99))</f>
        <v/>
      </c>
      <c r="G284" s="12" t="str">
        <f aca="false">IF(A284="","",SUMIFS(Ingredients!$G:$G,Ingredients!$C:$C,A284))</f>
        <v/>
      </c>
      <c r="H284" s="12" t="str">
        <f aca="false">IF(A284="","",SUMIFS(Ingredients!$H:$H,Ingredients!$C:$C,A284))</f>
        <v/>
      </c>
      <c r="I284" s="12" t="str">
        <f aca="false">IF(A284="","",IF(G284&gt;0,IF(D284="Yes",100,0)+F284+ROW()/100000,""))</f>
        <v/>
      </c>
      <c r="J284" s="12" t="str">
        <f aca="false">IF(I284="","",COUNTIF($I$4:$I$503,"&lt;"&amp;I284)+1)</f>
        <v/>
      </c>
    </row>
    <row r="285" customFormat="false" ht="15" hidden="false" customHeight="false" outlineLevel="0" collapsed="false">
      <c r="F285" s="12" t="str">
        <f aca="false">IF(A285="","",IFERROR(MATCH(B285,Lists!$A$2:$A$15,0),99))</f>
        <v/>
      </c>
      <c r="G285" s="12" t="str">
        <f aca="false">IF(A285="","",SUMIFS(Ingredients!$G:$G,Ingredients!$C:$C,A285))</f>
        <v/>
      </c>
      <c r="H285" s="12" t="str">
        <f aca="false">IF(A285="","",SUMIFS(Ingredients!$H:$H,Ingredients!$C:$C,A285))</f>
        <v/>
      </c>
      <c r="I285" s="12" t="str">
        <f aca="false">IF(A285="","",IF(G285&gt;0,IF(D285="Yes",100,0)+F285+ROW()/100000,""))</f>
        <v/>
      </c>
      <c r="J285" s="12" t="str">
        <f aca="false">IF(I285="","",COUNTIF($I$4:$I$503,"&lt;"&amp;I285)+1)</f>
        <v/>
      </c>
    </row>
    <row r="286" customFormat="false" ht="15" hidden="false" customHeight="false" outlineLevel="0" collapsed="false">
      <c r="F286" s="12" t="str">
        <f aca="false">IF(A286="","",IFERROR(MATCH(B286,Lists!$A$2:$A$15,0),99))</f>
        <v/>
      </c>
      <c r="G286" s="12" t="str">
        <f aca="false">IF(A286="","",SUMIFS(Ingredients!$G:$G,Ingredients!$C:$C,A286))</f>
        <v/>
      </c>
      <c r="H286" s="12" t="str">
        <f aca="false">IF(A286="","",SUMIFS(Ingredients!$H:$H,Ingredients!$C:$C,A286))</f>
        <v/>
      </c>
      <c r="I286" s="12" t="str">
        <f aca="false">IF(A286="","",IF(G286&gt;0,IF(D286="Yes",100,0)+F286+ROW()/100000,""))</f>
        <v/>
      </c>
      <c r="J286" s="12" t="str">
        <f aca="false">IF(I286="","",COUNTIF($I$4:$I$503,"&lt;"&amp;I286)+1)</f>
        <v/>
      </c>
    </row>
    <row r="287" customFormat="false" ht="15" hidden="false" customHeight="false" outlineLevel="0" collapsed="false">
      <c r="F287" s="12" t="str">
        <f aca="false">IF(A287="","",IFERROR(MATCH(B287,Lists!$A$2:$A$15,0),99))</f>
        <v/>
      </c>
      <c r="G287" s="12" t="str">
        <f aca="false">IF(A287="","",SUMIFS(Ingredients!$G:$G,Ingredients!$C:$C,A287))</f>
        <v/>
      </c>
      <c r="H287" s="12" t="str">
        <f aca="false">IF(A287="","",SUMIFS(Ingredients!$H:$H,Ingredients!$C:$C,A287))</f>
        <v/>
      </c>
      <c r="I287" s="12" t="str">
        <f aca="false">IF(A287="","",IF(G287&gt;0,IF(D287="Yes",100,0)+F287+ROW()/100000,""))</f>
        <v/>
      </c>
      <c r="J287" s="12" t="str">
        <f aca="false">IF(I287="","",COUNTIF($I$4:$I$503,"&lt;"&amp;I287)+1)</f>
        <v/>
      </c>
    </row>
    <row r="288" customFormat="false" ht="15" hidden="false" customHeight="false" outlineLevel="0" collapsed="false">
      <c r="F288" s="12" t="str">
        <f aca="false">IF(A288="","",IFERROR(MATCH(B288,Lists!$A$2:$A$15,0),99))</f>
        <v/>
      </c>
      <c r="G288" s="12" t="str">
        <f aca="false">IF(A288="","",SUMIFS(Ingredients!$G:$G,Ingredients!$C:$C,A288))</f>
        <v/>
      </c>
      <c r="H288" s="12" t="str">
        <f aca="false">IF(A288="","",SUMIFS(Ingredients!$H:$H,Ingredients!$C:$C,A288))</f>
        <v/>
      </c>
      <c r="I288" s="12" t="str">
        <f aca="false">IF(A288="","",IF(G288&gt;0,IF(D288="Yes",100,0)+F288+ROW()/100000,""))</f>
        <v/>
      </c>
      <c r="J288" s="12" t="str">
        <f aca="false">IF(I288="","",COUNTIF($I$4:$I$503,"&lt;"&amp;I288)+1)</f>
        <v/>
      </c>
    </row>
    <row r="289" customFormat="false" ht="15" hidden="false" customHeight="false" outlineLevel="0" collapsed="false">
      <c r="F289" s="12" t="str">
        <f aca="false">IF(A289="","",IFERROR(MATCH(B289,Lists!$A$2:$A$15,0),99))</f>
        <v/>
      </c>
      <c r="G289" s="12" t="str">
        <f aca="false">IF(A289="","",SUMIFS(Ingredients!$G:$G,Ingredients!$C:$C,A289))</f>
        <v/>
      </c>
      <c r="H289" s="12" t="str">
        <f aca="false">IF(A289="","",SUMIFS(Ingredients!$H:$H,Ingredients!$C:$C,A289))</f>
        <v/>
      </c>
      <c r="I289" s="12" t="str">
        <f aca="false">IF(A289="","",IF(G289&gt;0,IF(D289="Yes",100,0)+F289+ROW()/100000,""))</f>
        <v/>
      </c>
      <c r="J289" s="12" t="str">
        <f aca="false">IF(I289="","",COUNTIF($I$4:$I$503,"&lt;"&amp;I289)+1)</f>
        <v/>
      </c>
    </row>
    <row r="290" customFormat="false" ht="15" hidden="false" customHeight="false" outlineLevel="0" collapsed="false">
      <c r="F290" s="12" t="str">
        <f aca="false">IF(A290="","",IFERROR(MATCH(B290,Lists!$A$2:$A$15,0),99))</f>
        <v/>
      </c>
      <c r="G290" s="12" t="str">
        <f aca="false">IF(A290="","",SUMIFS(Ingredients!$G:$G,Ingredients!$C:$C,A290))</f>
        <v/>
      </c>
      <c r="H290" s="12" t="str">
        <f aca="false">IF(A290="","",SUMIFS(Ingredients!$H:$H,Ingredients!$C:$C,A290))</f>
        <v/>
      </c>
      <c r="I290" s="12" t="str">
        <f aca="false">IF(A290="","",IF(G290&gt;0,IF(D290="Yes",100,0)+F290+ROW()/100000,""))</f>
        <v/>
      </c>
      <c r="J290" s="12" t="str">
        <f aca="false">IF(I290="","",COUNTIF($I$4:$I$503,"&lt;"&amp;I290)+1)</f>
        <v/>
      </c>
    </row>
    <row r="291" customFormat="false" ht="15" hidden="false" customHeight="false" outlineLevel="0" collapsed="false">
      <c r="F291" s="12" t="str">
        <f aca="false">IF(A291="","",IFERROR(MATCH(B291,Lists!$A$2:$A$15,0),99))</f>
        <v/>
      </c>
      <c r="G291" s="12" t="str">
        <f aca="false">IF(A291="","",SUMIFS(Ingredients!$G:$G,Ingredients!$C:$C,A291))</f>
        <v/>
      </c>
      <c r="H291" s="12" t="str">
        <f aca="false">IF(A291="","",SUMIFS(Ingredients!$H:$H,Ingredients!$C:$C,A291))</f>
        <v/>
      </c>
      <c r="I291" s="12" t="str">
        <f aca="false">IF(A291="","",IF(G291&gt;0,IF(D291="Yes",100,0)+F291+ROW()/100000,""))</f>
        <v/>
      </c>
      <c r="J291" s="12" t="str">
        <f aca="false">IF(I291="","",COUNTIF($I$4:$I$503,"&lt;"&amp;I291)+1)</f>
        <v/>
      </c>
    </row>
    <row r="292" customFormat="false" ht="15" hidden="false" customHeight="false" outlineLevel="0" collapsed="false">
      <c r="F292" s="12" t="str">
        <f aca="false">IF(A292="","",IFERROR(MATCH(B292,Lists!$A$2:$A$15,0),99))</f>
        <v/>
      </c>
      <c r="G292" s="12" t="str">
        <f aca="false">IF(A292="","",SUMIFS(Ingredients!$G:$G,Ingredients!$C:$C,A292))</f>
        <v/>
      </c>
      <c r="H292" s="12" t="str">
        <f aca="false">IF(A292="","",SUMIFS(Ingredients!$H:$H,Ingredients!$C:$C,A292))</f>
        <v/>
      </c>
      <c r="I292" s="12" t="str">
        <f aca="false">IF(A292="","",IF(G292&gt;0,IF(D292="Yes",100,0)+F292+ROW()/100000,""))</f>
        <v/>
      </c>
      <c r="J292" s="12" t="str">
        <f aca="false">IF(I292="","",COUNTIF($I$4:$I$503,"&lt;"&amp;I292)+1)</f>
        <v/>
      </c>
    </row>
    <row r="293" customFormat="false" ht="15" hidden="false" customHeight="false" outlineLevel="0" collapsed="false">
      <c r="F293" s="12" t="str">
        <f aca="false">IF(A293="","",IFERROR(MATCH(B293,Lists!$A$2:$A$15,0),99))</f>
        <v/>
      </c>
      <c r="G293" s="12" t="str">
        <f aca="false">IF(A293="","",SUMIFS(Ingredients!$G:$G,Ingredients!$C:$C,A293))</f>
        <v/>
      </c>
      <c r="H293" s="12" t="str">
        <f aca="false">IF(A293="","",SUMIFS(Ingredients!$H:$H,Ingredients!$C:$C,A293))</f>
        <v/>
      </c>
      <c r="I293" s="12" t="str">
        <f aca="false">IF(A293="","",IF(G293&gt;0,IF(D293="Yes",100,0)+F293+ROW()/100000,""))</f>
        <v/>
      </c>
      <c r="J293" s="12" t="str">
        <f aca="false">IF(I293="","",COUNTIF($I$4:$I$503,"&lt;"&amp;I293)+1)</f>
        <v/>
      </c>
    </row>
    <row r="294" customFormat="false" ht="15" hidden="false" customHeight="false" outlineLevel="0" collapsed="false">
      <c r="F294" s="12" t="str">
        <f aca="false">IF(A294="","",IFERROR(MATCH(B294,Lists!$A$2:$A$15,0),99))</f>
        <v/>
      </c>
      <c r="G294" s="12" t="str">
        <f aca="false">IF(A294="","",SUMIFS(Ingredients!$G:$G,Ingredients!$C:$C,A294))</f>
        <v/>
      </c>
      <c r="H294" s="12" t="str">
        <f aca="false">IF(A294="","",SUMIFS(Ingredients!$H:$H,Ingredients!$C:$C,A294))</f>
        <v/>
      </c>
      <c r="I294" s="12" t="str">
        <f aca="false">IF(A294="","",IF(G294&gt;0,IF(D294="Yes",100,0)+F294+ROW()/100000,""))</f>
        <v/>
      </c>
      <c r="J294" s="12" t="str">
        <f aca="false">IF(I294="","",COUNTIF($I$4:$I$503,"&lt;"&amp;I294)+1)</f>
        <v/>
      </c>
    </row>
    <row r="295" customFormat="false" ht="15" hidden="false" customHeight="false" outlineLevel="0" collapsed="false">
      <c r="F295" s="12" t="str">
        <f aca="false">IF(A295="","",IFERROR(MATCH(B295,Lists!$A$2:$A$15,0),99))</f>
        <v/>
      </c>
      <c r="G295" s="12" t="str">
        <f aca="false">IF(A295="","",SUMIFS(Ingredients!$G:$G,Ingredients!$C:$C,A295))</f>
        <v/>
      </c>
      <c r="H295" s="12" t="str">
        <f aca="false">IF(A295="","",SUMIFS(Ingredients!$H:$H,Ingredients!$C:$C,A295))</f>
        <v/>
      </c>
      <c r="I295" s="12" t="str">
        <f aca="false">IF(A295="","",IF(G295&gt;0,IF(D295="Yes",100,0)+F295+ROW()/100000,""))</f>
        <v/>
      </c>
      <c r="J295" s="12" t="str">
        <f aca="false">IF(I295="","",COUNTIF($I$4:$I$503,"&lt;"&amp;I295)+1)</f>
        <v/>
      </c>
    </row>
    <row r="296" customFormat="false" ht="15" hidden="false" customHeight="false" outlineLevel="0" collapsed="false">
      <c r="F296" s="12" t="str">
        <f aca="false">IF(A296="","",IFERROR(MATCH(B296,Lists!$A$2:$A$15,0),99))</f>
        <v/>
      </c>
      <c r="G296" s="12" t="str">
        <f aca="false">IF(A296="","",SUMIFS(Ingredients!$G:$G,Ingredients!$C:$C,A296))</f>
        <v/>
      </c>
      <c r="H296" s="12" t="str">
        <f aca="false">IF(A296="","",SUMIFS(Ingredients!$H:$H,Ingredients!$C:$C,A296))</f>
        <v/>
      </c>
      <c r="I296" s="12" t="str">
        <f aca="false">IF(A296="","",IF(G296&gt;0,IF(D296="Yes",100,0)+F296+ROW()/100000,""))</f>
        <v/>
      </c>
      <c r="J296" s="12" t="str">
        <f aca="false">IF(I296="","",COUNTIF($I$4:$I$503,"&lt;"&amp;I296)+1)</f>
        <v/>
      </c>
    </row>
    <row r="297" customFormat="false" ht="15" hidden="false" customHeight="false" outlineLevel="0" collapsed="false">
      <c r="F297" s="12" t="str">
        <f aca="false">IF(A297="","",IFERROR(MATCH(B297,Lists!$A$2:$A$15,0),99))</f>
        <v/>
      </c>
      <c r="G297" s="12" t="str">
        <f aca="false">IF(A297="","",SUMIFS(Ingredients!$G:$G,Ingredients!$C:$C,A297))</f>
        <v/>
      </c>
      <c r="H297" s="12" t="str">
        <f aca="false">IF(A297="","",SUMIFS(Ingredients!$H:$H,Ingredients!$C:$C,A297))</f>
        <v/>
      </c>
      <c r="I297" s="12" t="str">
        <f aca="false">IF(A297="","",IF(G297&gt;0,IF(D297="Yes",100,0)+F297+ROW()/100000,""))</f>
        <v/>
      </c>
      <c r="J297" s="12" t="str">
        <f aca="false">IF(I297="","",COUNTIF($I$4:$I$503,"&lt;"&amp;I297)+1)</f>
        <v/>
      </c>
    </row>
    <row r="298" customFormat="false" ht="15" hidden="false" customHeight="false" outlineLevel="0" collapsed="false">
      <c r="F298" s="12" t="str">
        <f aca="false">IF(A298="","",IFERROR(MATCH(B298,Lists!$A$2:$A$15,0),99))</f>
        <v/>
      </c>
      <c r="G298" s="12" t="str">
        <f aca="false">IF(A298="","",SUMIFS(Ingredients!$G:$G,Ingredients!$C:$C,A298))</f>
        <v/>
      </c>
      <c r="H298" s="12" t="str">
        <f aca="false">IF(A298="","",SUMIFS(Ingredients!$H:$H,Ingredients!$C:$C,A298))</f>
        <v/>
      </c>
      <c r="I298" s="12" t="str">
        <f aca="false">IF(A298="","",IF(G298&gt;0,IF(D298="Yes",100,0)+F298+ROW()/100000,""))</f>
        <v/>
      </c>
      <c r="J298" s="12" t="str">
        <f aca="false">IF(I298="","",COUNTIF($I$4:$I$503,"&lt;"&amp;I298)+1)</f>
        <v/>
      </c>
    </row>
    <row r="299" customFormat="false" ht="15" hidden="false" customHeight="false" outlineLevel="0" collapsed="false">
      <c r="F299" s="12" t="str">
        <f aca="false">IF(A299="","",IFERROR(MATCH(B299,Lists!$A$2:$A$15,0),99))</f>
        <v/>
      </c>
      <c r="G299" s="12" t="str">
        <f aca="false">IF(A299="","",SUMIFS(Ingredients!$G:$G,Ingredients!$C:$C,A299))</f>
        <v/>
      </c>
      <c r="H299" s="12" t="str">
        <f aca="false">IF(A299="","",SUMIFS(Ingredients!$H:$H,Ingredients!$C:$C,A299))</f>
        <v/>
      </c>
      <c r="I299" s="12" t="str">
        <f aca="false">IF(A299="","",IF(G299&gt;0,IF(D299="Yes",100,0)+F299+ROW()/100000,""))</f>
        <v/>
      </c>
      <c r="J299" s="12" t="str">
        <f aca="false">IF(I299="","",COUNTIF($I$4:$I$503,"&lt;"&amp;I299)+1)</f>
        <v/>
      </c>
    </row>
    <row r="300" customFormat="false" ht="15" hidden="false" customHeight="false" outlineLevel="0" collapsed="false">
      <c r="F300" s="12" t="str">
        <f aca="false">IF(A300="","",IFERROR(MATCH(B300,Lists!$A$2:$A$15,0),99))</f>
        <v/>
      </c>
      <c r="G300" s="12" t="str">
        <f aca="false">IF(A300="","",SUMIFS(Ingredients!$G:$G,Ingredients!$C:$C,A300))</f>
        <v/>
      </c>
      <c r="H300" s="12" t="str">
        <f aca="false">IF(A300="","",SUMIFS(Ingredients!$H:$H,Ingredients!$C:$C,A300))</f>
        <v/>
      </c>
      <c r="I300" s="12" t="str">
        <f aca="false">IF(A300="","",IF(G300&gt;0,IF(D300="Yes",100,0)+F300+ROW()/100000,""))</f>
        <v/>
      </c>
      <c r="J300" s="12" t="str">
        <f aca="false">IF(I300="","",COUNTIF($I$4:$I$503,"&lt;"&amp;I300)+1)</f>
        <v/>
      </c>
    </row>
    <row r="301" customFormat="false" ht="15" hidden="false" customHeight="false" outlineLevel="0" collapsed="false">
      <c r="F301" s="12" t="str">
        <f aca="false">IF(A301="","",IFERROR(MATCH(B301,Lists!$A$2:$A$15,0),99))</f>
        <v/>
      </c>
      <c r="G301" s="12" t="str">
        <f aca="false">IF(A301="","",SUMIFS(Ingredients!$G:$G,Ingredients!$C:$C,A301))</f>
        <v/>
      </c>
      <c r="H301" s="12" t="str">
        <f aca="false">IF(A301="","",SUMIFS(Ingredients!$H:$H,Ingredients!$C:$C,A301))</f>
        <v/>
      </c>
      <c r="I301" s="12" t="str">
        <f aca="false">IF(A301="","",IF(G301&gt;0,IF(D301="Yes",100,0)+F301+ROW()/100000,""))</f>
        <v/>
      </c>
      <c r="J301" s="12" t="str">
        <f aca="false">IF(I301="","",COUNTIF($I$4:$I$503,"&lt;"&amp;I301)+1)</f>
        <v/>
      </c>
    </row>
    <row r="302" customFormat="false" ht="15" hidden="false" customHeight="false" outlineLevel="0" collapsed="false">
      <c r="F302" s="12" t="str">
        <f aca="false">IF(A302="","",IFERROR(MATCH(B302,Lists!$A$2:$A$15,0),99))</f>
        <v/>
      </c>
      <c r="G302" s="12" t="str">
        <f aca="false">IF(A302="","",SUMIFS(Ingredients!$G:$G,Ingredients!$C:$C,A302))</f>
        <v/>
      </c>
      <c r="H302" s="12" t="str">
        <f aca="false">IF(A302="","",SUMIFS(Ingredients!$H:$H,Ingredients!$C:$C,A302))</f>
        <v/>
      </c>
      <c r="I302" s="12" t="str">
        <f aca="false">IF(A302="","",IF(G302&gt;0,IF(D302="Yes",100,0)+F302+ROW()/100000,""))</f>
        <v/>
      </c>
      <c r="J302" s="12" t="str">
        <f aca="false">IF(I302="","",COUNTIF($I$4:$I$503,"&lt;"&amp;I302)+1)</f>
        <v/>
      </c>
    </row>
    <row r="303" customFormat="false" ht="15" hidden="false" customHeight="false" outlineLevel="0" collapsed="false">
      <c r="F303" s="12" t="str">
        <f aca="false">IF(A303="","",IFERROR(MATCH(B303,Lists!$A$2:$A$15,0),99))</f>
        <v/>
      </c>
      <c r="G303" s="12" t="str">
        <f aca="false">IF(A303="","",SUMIFS(Ingredients!$G:$G,Ingredients!$C:$C,A303))</f>
        <v/>
      </c>
      <c r="H303" s="12" t="str">
        <f aca="false">IF(A303="","",SUMIFS(Ingredients!$H:$H,Ingredients!$C:$C,A303))</f>
        <v/>
      </c>
      <c r="I303" s="12" t="str">
        <f aca="false">IF(A303="","",IF(G303&gt;0,IF(D303="Yes",100,0)+F303+ROW()/100000,""))</f>
        <v/>
      </c>
      <c r="J303" s="12" t="str">
        <f aca="false">IF(I303="","",COUNTIF($I$4:$I$503,"&lt;"&amp;I303)+1)</f>
        <v/>
      </c>
    </row>
    <row r="304" customFormat="false" ht="15" hidden="false" customHeight="false" outlineLevel="0" collapsed="false">
      <c r="F304" s="12" t="str">
        <f aca="false">IF(A304="","",IFERROR(MATCH(B304,Lists!$A$2:$A$15,0),99))</f>
        <v/>
      </c>
      <c r="G304" s="12" t="str">
        <f aca="false">IF(A304="","",SUMIFS(Ingredients!$G:$G,Ingredients!$C:$C,A304))</f>
        <v/>
      </c>
      <c r="H304" s="12" t="str">
        <f aca="false">IF(A304="","",SUMIFS(Ingredients!$H:$H,Ingredients!$C:$C,A304))</f>
        <v/>
      </c>
      <c r="I304" s="12" t="str">
        <f aca="false">IF(A304="","",IF(G304&gt;0,IF(D304="Yes",100,0)+F304+ROW()/100000,""))</f>
        <v/>
      </c>
      <c r="J304" s="12" t="str">
        <f aca="false">IF(I304="","",COUNTIF($I$4:$I$503,"&lt;"&amp;I304)+1)</f>
        <v/>
      </c>
    </row>
    <row r="305" customFormat="false" ht="15" hidden="false" customHeight="false" outlineLevel="0" collapsed="false">
      <c r="F305" s="12" t="str">
        <f aca="false">IF(A305="","",IFERROR(MATCH(B305,Lists!$A$2:$A$15,0),99))</f>
        <v/>
      </c>
      <c r="G305" s="12" t="str">
        <f aca="false">IF(A305="","",SUMIFS(Ingredients!$G:$G,Ingredients!$C:$C,A305))</f>
        <v/>
      </c>
      <c r="H305" s="12" t="str">
        <f aca="false">IF(A305="","",SUMIFS(Ingredients!$H:$H,Ingredients!$C:$C,A305))</f>
        <v/>
      </c>
      <c r="I305" s="12" t="str">
        <f aca="false">IF(A305="","",IF(G305&gt;0,IF(D305="Yes",100,0)+F305+ROW()/100000,""))</f>
        <v/>
      </c>
      <c r="J305" s="12" t="str">
        <f aca="false">IF(I305="","",COUNTIF($I$4:$I$503,"&lt;"&amp;I305)+1)</f>
        <v/>
      </c>
    </row>
    <row r="306" customFormat="false" ht="15" hidden="false" customHeight="false" outlineLevel="0" collapsed="false">
      <c r="F306" s="12" t="str">
        <f aca="false">IF(A306="","",IFERROR(MATCH(B306,Lists!$A$2:$A$15,0),99))</f>
        <v/>
      </c>
      <c r="G306" s="12" t="str">
        <f aca="false">IF(A306="","",SUMIFS(Ingredients!$G:$G,Ingredients!$C:$C,A306))</f>
        <v/>
      </c>
      <c r="H306" s="12" t="str">
        <f aca="false">IF(A306="","",SUMIFS(Ingredients!$H:$H,Ingredients!$C:$C,A306))</f>
        <v/>
      </c>
      <c r="I306" s="12" t="str">
        <f aca="false">IF(A306="","",IF(G306&gt;0,IF(D306="Yes",100,0)+F306+ROW()/100000,""))</f>
        <v/>
      </c>
      <c r="J306" s="12" t="str">
        <f aca="false">IF(I306="","",COUNTIF($I$4:$I$503,"&lt;"&amp;I306)+1)</f>
        <v/>
      </c>
    </row>
    <row r="307" customFormat="false" ht="15" hidden="false" customHeight="false" outlineLevel="0" collapsed="false">
      <c r="F307" s="12" t="str">
        <f aca="false">IF(A307="","",IFERROR(MATCH(B307,Lists!$A$2:$A$15,0),99))</f>
        <v/>
      </c>
      <c r="G307" s="12" t="str">
        <f aca="false">IF(A307="","",SUMIFS(Ingredients!$G:$G,Ingredients!$C:$C,A307))</f>
        <v/>
      </c>
      <c r="H307" s="12" t="str">
        <f aca="false">IF(A307="","",SUMIFS(Ingredients!$H:$H,Ingredients!$C:$C,A307))</f>
        <v/>
      </c>
      <c r="I307" s="12" t="str">
        <f aca="false">IF(A307="","",IF(G307&gt;0,IF(D307="Yes",100,0)+F307+ROW()/100000,""))</f>
        <v/>
      </c>
      <c r="J307" s="12" t="str">
        <f aca="false">IF(I307="","",COUNTIF($I$4:$I$503,"&lt;"&amp;I307)+1)</f>
        <v/>
      </c>
    </row>
    <row r="308" customFormat="false" ht="15" hidden="false" customHeight="false" outlineLevel="0" collapsed="false">
      <c r="F308" s="12" t="str">
        <f aca="false">IF(A308="","",IFERROR(MATCH(B308,Lists!$A$2:$A$15,0),99))</f>
        <v/>
      </c>
      <c r="G308" s="12" t="str">
        <f aca="false">IF(A308="","",SUMIFS(Ingredients!$G:$G,Ingredients!$C:$C,A308))</f>
        <v/>
      </c>
      <c r="H308" s="12" t="str">
        <f aca="false">IF(A308="","",SUMIFS(Ingredients!$H:$H,Ingredients!$C:$C,A308))</f>
        <v/>
      </c>
      <c r="I308" s="12" t="str">
        <f aca="false">IF(A308="","",IF(G308&gt;0,IF(D308="Yes",100,0)+F308+ROW()/100000,""))</f>
        <v/>
      </c>
      <c r="J308" s="12" t="str">
        <f aca="false">IF(I308="","",COUNTIF($I$4:$I$503,"&lt;"&amp;I308)+1)</f>
        <v/>
      </c>
    </row>
    <row r="309" customFormat="false" ht="15" hidden="false" customHeight="false" outlineLevel="0" collapsed="false">
      <c r="F309" s="12" t="str">
        <f aca="false">IF(A309="","",IFERROR(MATCH(B309,Lists!$A$2:$A$15,0),99))</f>
        <v/>
      </c>
      <c r="G309" s="12" t="str">
        <f aca="false">IF(A309="","",SUMIFS(Ingredients!$G:$G,Ingredients!$C:$C,A309))</f>
        <v/>
      </c>
      <c r="H309" s="12" t="str">
        <f aca="false">IF(A309="","",SUMIFS(Ingredients!$H:$H,Ingredients!$C:$C,A309))</f>
        <v/>
      </c>
      <c r="I309" s="12" t="str">
        <f aca="false">IF(A309="","",IF(G309&gt;0,IF(D309="Yes",100,0)+F309+ROW()/100000,""))</f>
        <v/>
      </c>
      <c r="J309" s="12" t="str">
        <f aca="false">IF(I309="","",COUNTIF($I$4:$I$503,"&lt;"&amp;I309)+1)</f>
        <v/>
      </c>
    </row>
    <row r="310" customFormat="false" ht="15" hidden="false" customHeight="false" outlineLevel="0" collapsed="false">
      <c r="F310" s="12" t="str">
        <f aca="false">IF(A310="","",IFERROR(MATCH(B310,Lists!$A$2:$A$15,0),99))</f>
        <v/>
      </c>
      <c r="G310" s="12" t="str">
        <f aca="false">IF(A310="","",SUMIFS(Ingredients!$G:$G,Ingredients!$C:$C,A310))</f>
        <v/>
      </c>
      <c r="H310" s="12" t="str">
        <f aca="false">IF(A310="","",SUMIFS(Ingredients!$H:$H,Ingredients!$C:$C,A310))</f>
        <v/>
      </c>
      <c r="I310" s="12" t="str">
        <f aca="false">IF(A310="","",IF(G310&gt;0,IF(D310="Yes",100,0)+F310+ROW()/100000,""))</f>
        <v/>
      </c>
      <c r="J310" s="12" t="str">
        <f aca="false">IF(I310="","",COUNTIF($I$4:$I$503,"&lt;"&amp;I310)+1)</f>
        <v/>
      </c>
    </row>
    <row r="311" customFormat="false" ht="15" hidden="false" customHeight="false" outlineLevel="0" collapsed="false">
      <c r="F311" s="12" t="str">
        <f aca="false">IF(A311="","",IFERROR(MATCH(B311,Lists!$A$2:$A$15,0),99))</f>
        <v/>
      </c>
      <c r="G311" s="12" t="str">
        <f aca="false">IF(A311="","",SUMIFS(Ingredients!$G:$G,Ingredients!$C:$C,A311))</f>
        <v/>
      </c>
      <c r="H311" s="12" t="str">
        <f aca="false">IF(A311="","",SUMIFS(Ingredients!$H:$H,Ingredients!$C:$C,A311))</f>
        <v/>
      </c>
      <c r="I311" s="12" t="str">
        <f aca="false">IF(A311="","",IF(G311&gt;0,IF(D311="Yes",100,0)+F311+ROW()/100000,""))</f>
        <v/>
      </c>
      <c r="J311" s="12" t="str">
        <f aca="false">IF(I311="","",COUNTIF($I$4:$I$503,"&lt;"&amp;I311)+1)</f>
        <v/>
      </c>
    </row>
    <row r="312" customFormat="false" ht="15" hidden="false" customHeight="false" outlineLevel="0" collapsed="false">
      <c r="F312" s="12" t="str">
        <f aca="false">IF(A312="","",IFERROR(MATCH(B312,Lists!$A$2:$A$15,0),99))</f>
        <v/>
      </c>
      <c r="G312" s="12" t="str">
        <f aca="false">IF(A312="","",SUMIFS(Ingredients!$G:$G,Ingredients!$C:$C,A312))</f>
        <v/>
      </c>
      <c r="H312" s="12" t="str">
        <f aca="false">IF(A312="","",SUMIFS(Ingredients!$H:$H,Ingredients!$C:$C,A312))</f>
        <v/>
      </c>
      <c r="I312" s="12" t="str">
        <f aca="false">IF(A312="","",IF(G312&gt;0,IF(D312="Yes",100,0)+F312+ROW()/100000,""))</f>
        <v/>
      </c>
      <c r="J312" s="12" t="str">
        <f aca="false">IF(I312="","",COUNTIF($I$4:$I$503,"&lt;"&amp;I312)+1)</f>
        <v/>
      </c>
    </row>
    <row r="313" customFormat="false" ht="15" hidden="false" customHeight="false" outlineLevel="0" collapsed="false">
      <c r="F313" s="12" t="str">
        <f aca="false">IF(A313="","",IFERROR(MATCH(B313,Lists!$A$2:$A$15,0),99))</f>
        <v/>
      </c>
      <c r="G313" s="12" t="str">
        <f aca="false">IF(A313="","",SUMIFS(Ingredients!$G:$G,Ingredients!$C:$C,A313))</f>
        <v/>
      </c>
      <c r="H313" s="12" t="str">
        <f aca="false">IF(A313="","",SUMIFS(Ingredients!$H:$H,Ingredients!$C:$C,A313))</f>
        <v/>
      </c>
      <c r="I313" s="12" t="str">
        <f aca="false">IF(A313="","",IF(G313&gt;0,IF(D313="Yes",100,0)+F313+ROW()/100000,""))</f>
        <v/>
      </c>
      <c r="J313" s="12" t="str">
        <f aca="false">IF(I313="","",COUNTIF($I$4:$I$503,"&lt;"&amp;I313)+1)</f>
        <v/>
      </c>
    </row>
    <row r="314" customFormat="false" ht="15" hidden="false" customHeight="false" outlineLevel="0" collapsed="false">
      <c r="F314" s="12" t="str">
        <f aca="false">IF(A314="","",IFERROR(MATCH(B314,Lists!$A$2:$A$15,0),99))</f>
        <v/>
      </c>
      <c r="G314" s="12" t="str">
        <f aca="false">IF(A314="","",SUMIFS(Ingredients!$G:$G,Ingredients!$C:$C,A314))</f>
        <v/>
      </c>
      <c r="H314" s="12" t="str">
        <f aca="false">IF(A314="","",SUMIFS(Ingredients!$H:$H,Ingredients!$C:$C,A314))</f>
        <v/>
      </c>
      <c r="I314" s="12" t="str">
        <f aca="false">IF(A314="","",IF(G314&gt;0,IF(D314="Yes",100,0)+F314+ROW()/100000,""))</f>
        <v/>
      </c>
      <c r="J314" s="12" t="str">
        <f aca="false">IF(I314="","",COUNTIF($I$4:$I$503,"&lt;"&amp;I314)+1)</f>
        <v/>
      </c>
    </row>
    <row r="315" customFormat="false" ht="15" hidden="false" customHeight="false" outlineLevel="0" collapsed="false">
      <c r="F315" s="12" t="str">
        <f aca="false">IF(A315="","",IFERROR(MATCH(B315,Lists!$A$2:$A$15,0),99))</f>
        <v/>
      </c>
      <c r="G315" s="12" t="str">
        <f aca="false">IF(A315="","",SUMIFS(Ingredients!$G:$G,Ingredients!$C:$C,A315))</f>
        <v/>
      </c>
      <c r="H315" s="12" t="str">
        <f aca="false">IF(A315="","",SUMIFS(Ingredients!$H:$H,Ingredients!$C:$C,A315))</f>
        <v/>
      </c>
      <c r="I315" s="12" t="str">
        <f aca="false">IF(A315="","",IF(G315&gt;0,IF(D315="Yes",100,0)+F315+ROW()/100000,""))</f>
        <v/>
      </c>
      <c r="J315" s="12" t="str">
        <f aca="false">IF(I315="","",COUNTIF($I$4:$I$503,"&lt;"&amp;I315)+1)</f>
        <v/>
      </c>
    </row>
    <row r="316" customFormat="false" ht="15" hidden="false" customHeight="false" outlineLevel="0" collapsed="false">
      <c r="F316" s="12" t="str">
        <f aca="false">IF(A316="","",IFERROR(MATCH(B316,Lists!$A$2:$A$15,0),99))</f>
        <v/>
      </c>
      <c r="G316" s="12" t="str">
        <f aca="false">IF(A316="","",SUMIFS(Ingredients!$G:$G,Ingredients!$C:$C,A316))</f>
        <v/>
      </c>
      <c r="H316" s="12" t="str">
        <f aca="false">IF(A316="","",SUMIFS(Ingredients!$H:$H,Ingredients!$C:$C,A316))</f>
        <v/>
      </c>
      <c r="I316" s="12" t="str">
        <f aca="false">IF(A316="","",IF(G316&gt;0,IF(D316="Yes",100,0)+F316+ROW()/100000,""))</f>
        <v/>
      </c>
      <c r="J316" s="12" t="str">
        <f aca="false">IF(I316="","",COUNTIF($I$4:$I$503,"&lt;"&amp;I316)+1)</f>
        <v/>
      </c>
    </row>
    <row r="317" customFormat="false" ht="15" hidden="false" customHeight="false" outlineLevel="0" collapsed="false">
      <c r="F317" s="12" t="str">
        <f aca="false">IF(A317="","",IFERROR(MATCH(B317,Lists!$A$2:$A$15,0),99))</f>
        <v/>
      </c>
      <c r="G317" s="12" t="str">
        <f aca="false">IF(A317="","",SUMIFS(Ingredients!$G:$G,Ingredients!$C:$C,A317))</f>
        <v/>
      </c>
      <c r="H317" s="12" t="str">
        <f aca="false">IF(A317="","",SUMIFS(Ingredients!$H:$H,Ingredients!$C:$C,A317))</f>
        <v/>
      </c>
      <c r="I317" s="12" t="str">
        <f aca="false">IF(A317="","",IF(G317&gt;0,IF(D317="Yes",100,0)+F317+ROW()/100000,""))</f>
        <v/>
      </c>
      <c r="J317" s="12" t="str">
        <f aca="false">IF(I317="","",COUNTIF($I$4:$I$503,"&lt;"&amp;I317)+1)</f>
        <v/>
      </c>
    </row>
    <row r="318" customFormat="false" ht="15" hidden="false" customHeight="false" outlineLevel="0" collapsed="false">
      <c r="F318" s="12" t="str">
        <f aca="false">IF(A318="","",IFERROR(MATCH(B318,Lists!$A$2:$A$15,0),99))</f>
        <v/>
      </c>
      <c r="G318" s="12" t="str">
        <f aca="false">IF(A318="","",SUMIFS(Ingredients!$G:$G,Ingredients!$C:$C,A318))</f>
        <v/>
      </c>
      <c r="H318" s="12" t="str">
        <f aca="false">IF(A318="","",SUMIFS(Ingredients!$H:$H,Ingredients!$C:$C,A318))</f>
        <v/>
      </c>
      <c r="I318" s="12" t="str">
        <f aca="false">IF(A318="","",IF(G318&gt;0,IF(D318="Yes",100,0)+F318+ROW()/100000,""))</f>
        <v/>
      </c>
      <c r="J318" s="12" t="str">
        <f aca="false">IF(I318="","",COUNTIF($I$4:$I$503,"&lt;"&amp;I318)+1)</f>
        <v/>
      </c>
    </row>
    <row r="319" customFormat="false" ht="15" hidden="false" customHeight="false" outlineLevel="0" collapsed="false">
      <c r="F319" s="12" t="str">
        <f aca="false">IF(A319="","",IFERROR(MATCH(B319,Lists!$A$2:$A$15,0),99))</f>
        <v/>
      </c>
      <c r="G319" s="12" t="str">
        <f aca="false">IF(A319="","",SUMIFS(Ingredients!$G:$G,Ingredients!$C:$C,A319))</f>
        <v/>
      </c>
      <c r="H319" s="12" t="str">
        <f aca="false">IF(A319="","",SUMIFS(Ingredients!$H:$H,Ingredients!$C:$C,A319))</f>
        <v/>
      </c>
      <c r="I319" s="12" t="str">
        <f aca="false">IF(A319="","",IF(G319&gt;0,IF(D319="Yes",100,0)+F319+ROW()/100000,""))</f>
        <v/>
      </c>
      <c r="J319" s="12" t="str">
        <f aca="false">IF(I319="","",COUNTIF($I$4:$I$503,"&lt;"&amp;I319)+1)</f>
        <v/>
      </c>
    </row>
    <row r="320" customFormat="false" ht="15" hidden="false" customHeight="false" outlineLevel="0" collapsed="false">
      <c r="F320" s="12" t="str">
        <f aca="false">IF(A320="","",IFERROR(MATCH(B320,Lists!$A$2:$A$15,0),99))</f>
        <v/>
      </c>
      <c r="G320" s="12" t="str">
        <f aca="false">IF(A320="","",SUMIFS(Ingredients!$G:$G,Ingredients!$C:$C,A320))</f>
        <v/>
      </c>
      <c r="H320" s="12" t="str">
        <f aca="false">IF(A320="","",SUMIFS(Ingredients!$H:$H,Ingredients!$C:$C,A320))</f>
        <v/>
      </c>
      <c r="I320" s="12" t="str">
        <f aca="false">IF(A320="","",IF(G320&gt;0,IF(D320="Yes",100,0)+F320+ROW()/100000,""))</f>
        <v/>
      </c>
      <c r="J320" s="12" t="str">
        <f aca="false">IF(I320="","",COUNTIF($I$4:$I$503,"&lt;"&amp;I320)+1)</f>
        <v/>
      </c>
    </row>
    <row r="321" customFormat="false" ht="15" hidden="false" customHeight="false" outlineLevel="0" collapsed="false">
      <c r="F321" s="12" t="str">
        <f aca="false">IF(A321="","",IFERROR(MATCH(B321,Lists!$A$2:$A$15,0),99))</f>
        <v/>
      </c>
      <c r="G321" s="12" t="str">
        <f aca="false">IF(A321="","",SUMIFS(Ingredients!$G:$G,Ingredients!$C:$C,A321))</f>
        <v/>
      </c>
      <c r="H321" s="12" t="str">
        <f aca="false">IF(A321="","",SUMIFS(Ingredients!$H:$H,Ingredients!$C:$C,A321))</f>
        <v/>
      </c>
      <c r="I321" s="12" t="str">
        <f aca="false">IF(A321="","",IF(G321&gt;0,IF(D321="Yes",100,0)+F321+ROW()/100000,""))</f>
        <v/>
      </c>
      <c r="J321" s="12" t="str">
        <f aca="false">IF(I321="","",COUNTIF($I$4:$I$503,"&lt;"&amp;I321)+1)</f>
        <v/>
      </c>
    </row>
    <row r="322" customFormat="false" ht="15" hidden="false" customHeight="false" outlineLevel="0" collapsed="false">
      <c r="F322" s="12" t="str">
        <f aca="false">IF(A322="","",IFERROR(MATCH(B322,Lists!$A$2:$A$15,0),99))</f>
        <v/>
      </c>
      <c r="G322" s="12" t="str">
        <f aca="false">IF(A322="","",SUMIFS(Ingredients!$G:$G,Ingredients!$C:$C,A322))</f>
        <v/>
      </c>
      <c r="H322" s="12" t="str">
        <f aca="false">IF(A322="","",SUMIFS(Ingredients!$H:$H,Ingredients!$C:$C,A322))</f>
        <v/>
      </c>
      <c r="I322" s="12" t="str">
        <f aca="false">IF(A322="","",IF(G322&gt;0,IF(D322="Yes",100,0)+F322+ROW()/100000,""))</f>
        <v/>
      </c>
      <c r="J322" s="12" t="str">
        <f aca="false">IF(I322="","",COUNTIF($I$4:$I$503,"&lt;"&amp;I322)+1)</f>
        <v/>
      </c>
    </row>
    <row r="323" customFormat="false" ht="15" hidden="false" customHeight="false" outlineLevel="0" collapsed="false">
      <c r="F323" s="12" t="str">
        <f aca="false">IF(A323="","",IFERROR(MATCH(B323,Lists!$A$2:$A$15,0),99))</f>
        <v/>
      </c>
      <c r="G323" s="12" t="str">
        <f aca="false">IF(A323="","",SUMIFS(Ingredients!$G:$G,Ingredients!$C:$C,A323))</f>
        <v/>
      </c>
      <c r="H323" s="12" t="str">
        <f aca="false">IF(A323="","",SUMIFS(Ingredients!$H:$H,Ingredients!$C:$C,A323))</f>
        <v/>
      </c>
      <c r="I323" s="12" t="str">
        <f aca="false">IF(A323="","",IF(G323&gt;0,IF(D323="Yes",100,0)+F323+ROW()/100000,""))</f>
        <v/>
      </c>
      <c r="J323" s="12" t="str">
        <f aca="false">IF(I323="","",COUNTIF($I$4:$I$503,"&lt;"&amp;I323)+1)</f>
        <v/>
      </c>
    </row>
    <row r="324" customFormat="false" ht="15" hidden="false" customHeight="false" outlineLevel="0" collapsed="false">
      <c r="F324" s="12" t="str">
        <f aca="false">IF(A324="","",IFERROR(MATCH(B324,Lists!$A$2:$A$15,0),99))</f>
        <v/>
      </c>
      <c r="G324" s="12" t="str">
        <f aca="false">IF(A324="","",SUMIFS(Ingredients!$G:$G,Ingredients!$C:$C,A324))</f>
        <v/>
      </c>
      <c r="H324" s="12" t="str">
        <f aca="false">IF(A324="","",SUMIFS(Ingredients!$H:$H,Ingredients!$C:$C,A324))</f>
        <v/>
      </c>
      <c r="I324" s="12" t="str">
        <f aca="false">IF(A324="","",IF(G324&gt;0,IF(D324="Yes",100,0)+F324+ROW()/100000,""))</f>
        <v/>
      </c>
      <c r="J324" s="12" t="str">
        <f aca="false">IF(I324="","",COUNTIF($I$4:$I$503,"&lt;"&amp;I324)+1)</f>
        <v/>
      </c>
    </row>
    <row r="325" customFormat="false" ht="15" hidden="false" customHeight="false" outlineLevel="0" collapsed="false">
      <c r="F325" s="12" t="str">
        <f aca="false">IF(A325="","",IFERROR(MATCH(B325,Lists!$A$2:$A$15,0),99))</f>
        <v/>
      </c>
      <c r="G325" s="12" t="str">
        <f aca="false">IF(A325="","",SUMIFS(Ingredients!$G:$G,Ingredients!$C:$C,A325))</f>
        <v/>
      </c>
      <c r="H325" s="12" t="str">
        <f aca="false">IF(A325="","",SUMIFS(Ingredients!$H:$H,Ingredients!$C:$C,A325))</f>
        <v/>
      </c>
      <c r="I325" s="12" t="str">
        <f aca="false">IF(A325="","",IF(G325&gt;0,IF(D325="Yes",100,0)+F325+ROW()/100000,""))</f>
        <v/>
      </c>
      <c r="J325" s="12" t="str">
        <f aca="false">IF(I325="","",COUNTIF($I$4:$I$503,"&lt;"&amp;I325)+1)</f>
        <v/>
      </c>
    </row>
    <row r="326" customFormat="false" ht="15" hidden="false" customHeight="false" outlineLevel="0" collapsed="false">
      <c r="F326" s="12" t="str">
        <f aca="false">IF(A326="","",IFERROR(MATCH(B326,Lists!$A$2:$A$15,0),99))</f>
        <v/>
      </c>
      <c r="G326" s="12" t="str">
        <f aca="false">IF(A326="","",SUMIFS(Ingredients!$G:$G,Ingredients!$C:$C,A326))</f>
        <v/>
      </c>
      <c r="H326" s="12" t="str">
        <f aca="false">IF(A326="","",SUMIFS(Ingredients!$H:$H,Ingredients!$C:$C,A326))</f>
        <v/>
      </c>
      <c r="I326" s="12" t="str">
        <f aca="false">IF(A326="","",IF(G326&gt;0,IF(D326="Yes",100,0)+F326+ROW()/100000,""))</f>
        <v/>
      </c>
      <c r="J326" s="12" t="str">
        <f aca="false">IF(I326="","",COUNTIF($I$4:$I$503,"&lt;"&amp;I326)+1)</f>
        <v/>
      </c>
    </row>
    <row r="327" customFormat="false" ht="15" hidden="false" customHeight="false" outlineLevel="0" collapsed="false">
      <c r="F327" s="12" t="str">
        <f aca="false">IF(A327="","",IFERROR(MATCH(B327,Lists!$A$2:$A$15,0),99))</f>
        <v/>
      </c>
      <c r="G327" s="12" t="str">
        <f aca="false">IF(A327="","",SUMIFS(Ingredients!$G:$G,Ingredients!$C:$C,A327))</f>
        <v/>
      </c>
      <c r="H327" s="12" t="str">
        <f aca="false">IF(A327="","",SUMIFS(Ingredients!$H:$H,Ingredients!$C:$C,A327))</f>
        <v/>
      </c>
      <c r="I327" s="12" t="str">
        <f aca="false">IF(A327="","",IF(G327&gt;0,IF(D327="Yes",100,0)+F327+ROW()/100000,""))</f>
        <v/>
      </c>
      <c r="J327" s="12" t="str">
        <f aca="false">IF(I327="","",COUNTIF($I$4:$I$503,"&lt;"&amp;I327)+1)</f>
        <v/>
      </c>
    </row>
    <row r="328" customFormat="false" ht="15" hidden="false" customHeight="false" outlineLevel="0" collapsed="false">
      <c r="F328" s="12" t="str">
        <f aca="false">IF(A328="","",IFERROR(MATCH(B328,Lists!$A$2:$A$15,0),99))</f>
        <v/>
      </c>
      <c r="G328" s="12" t="str">
        <f aca="false">IF(A328="","",SUMIFS(Ingredients!$G:$G,Ingredients!$C:$C,A328))</f>
        <v/>
      </c>
      <c r="H328" s="12" t="str">
        <f aca="false">IF(A328="","",SUMIFS(Ingredients!$H:$H,Ingredients!$C:$C,A328))</f>
        <v/>
      </c>
      <c r="I328" s="12" t="str">
        <f aca="false">IF(A328="","",IF(G328&gt;0,IF(D328="Yes",100,0)+F328+ROW()/100000,""))</f>
        <v/>
      </c>
      <c r="J328" s="12" t="str">
        <f aca="false">IF(I328="","",COUNTIF($I$4:$I$503,"&lt;"&amp;I328)+1)</f>
        <v/>
      </c>
    </row>
    <row r="329" customFormat="false" ht="15" hidden="false" customHeight="false" outlineLevel="0" collapsed="false">
      <c r="F329" s="12" t="str">
        <f aca="false">IF(A329="","",IFERROR(MATCH(B329,Lists!$A$2:$A$15,0),99))</f>
        <v/>
      </c>
      <c r="G329" s="12" t="str">
        <f aca="false">IF(A329="","",SUMIFS(Ingredients!$G:$G,Ingredients!$C:$C,A329))</f>
        <v/>
      </c>
      <c r="H329" s="12" t="str">
        <f aca="false">IF(A329="","",SUMIFS(Ingredients!$H:$H,Ingredients!$C:$C,A329))</f>
        <v/>
      </c>
      <c r="I329" s="12" t="str">
        <f aca="false">IF(A329="","",IF(G329&gt;0,IF(D329="Yes",100,0)+F329+ROW()/100000,""))</f>
        <v/>
      </c>
      <c r="J329" s="12" t="str">
        <f aca="false">IF(I329="","",COUNTIF($I$4:$I$503,"&lt;"&amp;I329)+1)</f>
        <v/>
      </c>
    </row>
    <row r="330" customFormat="false" ht="15" hidden="false" customHeight="false" outlineLevel="0" collapsed="false">
      <c r="F330" s="12" t="str">
        <f aca="false">IF(A330="","",IFERROR(MATCH(B330,Lists!$A$2:$A$15,0),99))</f>
        <v/>
      </c>
      <c r="G330" s="12" t="str">
        <f aca="false">IF(A330="","",SUMIFS(Ingredients!$G:$G,Ingredients!$C:$C,A330))</f>
        <v/>
      </c>
      <c r="H330" s="12" t="str">
        <f aca="false">IF(A330="","",SUMIFS(Ingredients!$H:$H,Ingredients!$C:$C,A330))</f>
        <v/>
      </c>
      <c r="I330" s="12" t="str">
        <f aca="false">IF(A330="","",IF(G330&gt;0,IF(D330="Yes",100,0)+F330+ROW()/100000,""))</f>
        <v/>
      </c>
      <c r="J330" s="12" t="str">
        <f aca="false">IF(I330="","",COUNTIF($I$4:$I$503,"&lt;"&amp;I330)+1)</f>
        <v/>
      </c>
    </row>
    <row r="331" customFormat="false" ht="15" hidden="false" customHeight="false" outlineLevel="0" collapsed="false">
      <c r="F331" s="12" t="str">
        <f aca="false">IF(A331="","",IFERROR(MATCH(B331,Lists!$A$2:$A$15,0),99))</f>
        <v/>
      </c>
      <c r="G331" s="12" t="str">
        <f aca="false">IF(A331="","",SUMIFS(Ingredients!$G:$G,Ingredients!$C:$C,A331))</f>
        <v/>
      </c>
      <c r="H331" s="12" t="str">
        <f aca="false">IF(A331="","",SUMIFS(Ingredients!$H:$H,Ingredients!$C:$C,A331))</f>
        <v/>
      </c>
      <c r="I331" s="12" t="str">
        <f aca="false">IF(A331="","",IF(G331&gt;0,IF(D331="Yes",100,0)+F331+ROW()/100000,""))</f>
        <v/>
      </c>
      <c r="J331" s="12" t="str">
        <f aca="false">IF(I331="","",COUNTIF($I$4:$I$503,"&lt;"&amp;I331)+1)</f>
        <v/>
      </c>
    </row>
    <row r="332" customFormat="false" ht="15" hidden="false" customHeight="false" outlineLevel="0" collapsed="false">
      <c r="F332" s="12" t="str">
        <f aca="false">IF(A332="","",IFERROR(MATCH(B332,Lists!$A$2:$A$15,0),99))</f>
        <v/>
      </c>
      <c r="G332" s="12" t="str">
        <f aca="false">IF(A332="","",SUMIFS(Ingredients!$G:$G,Ingredients!$C:$C,A332))</f>
        <v/>
      </c>
      <c r="H332" s="12" t="str">
        <f aca="false">IF(A332="","",SUMIFS(Ingredients!$H:$H,Ingredients!$C:$C,A332))</f>
        <v/>
      </c>
      <c r="I332" s="12" t="str">
        <f aca="false">IF(A332="","",IF(G332&gt;0,IF(D332="Yes",100,0)+F332+ROW()/100000,""))</f>
        <v/>
      </c>
      <c r="J332" s="12" t="str">
        <f aca="false">IF(I332="","",COUNTIF($I$4:$I$503,"&lt;"&amp;I332)+1)</f>
        <v/>
      </c>
    </row>
    <row r="333" customFormat="false" ht="15" hidden="false" customHeight="false" outlineLevel="0" collapsed="false">
      <c r="F333" s="12" t="str">
        <f aca="false">IF(A333="","",IFERROR(MATCH(B333,Lists!$A$2:$A$15,0),99))</f>
        <v/>
      </c>
      <c r="G333" s="12" t="str">
        <f aca="false">IF(A333="","",SUMIFS(Ingredients!$G:$G,Ingredients!$C:$C,A333))</f>
        <v/>
      </c>
      <c r="H333" s="12" t="str">
        <f aca="false">IF(A333="","",SUMIFS(Ingredients!$H:$H,Ingredients!$C:$C,A333))</f>
        <v/>
      </c>
      <c r="I333" s="12" t="str">
        <f aca="false">IF(A333="","",IF(G333&gt;0,IF(D333="Yes",100,0)+F333+ROW()/100000,""))</f>
        <v/>
      </c>
      <c r="J333" s="12" t="str">
        <f aca="false">IF(I333="","",COUNTIF($I$4:$I$503,"&lt;"&amp;I333)+1)</f>
        <v/>
      </c>
    </row>
    <row r="334" customFormat="false" ht="15" hidden="false" customHeight="false" outlineLevel="0" collapsed="false">
      <c r="F334" s="12" t="str">
        <f aca="false">IF(A334="","",IFERROR(MATCH(B334,Lists!$A$2:$A$15,0),99))</f>
        <v/>
      </c>
      <c r="G334" s="12" t="str">
        <f aca="false">IF(A334="","",SUMIFS(Ingredients!$G:$G,Ingredients!$C:$C,A334))</f>
        <v/>
      </c>
      <c r="H334" s="12" t="str">
        <f aca="false">IF(A334="","",SUMIFS(Ingredients!$H:$H,Ingredients!$C:$C,A334))</f>
        <v/>
      </c>
      <c r="I334" s="12" t="str">
        <f aca="false">IF(A334="","",IF(G334&gt;0,IF(D334="Yes",100,0)+F334+ROW()/100000,""))</f>
        <v/>
      </c>
      <c r="J334" s="12" t="str">
        <f aca="false">IF(I334="","",COUNTIF($I$4:$I$503,"&lt;"&amp;I334)+1)</f>
        <v/>
      </c>
    </row>
    <row r="335" customFormat="false" ht="15" hidden="false" customHeight="false" outlineLevel="0" collapsed="false">
      <c r="F335" s="12" t="str">
        <f aca="false">IF(A335="","",IFERROR(MATCH(B335,Lists!$A$2:$A$15,0),99))</f>
        <v/>
      </c>
      <c r="G335" s="12" t="str">
        <f aca="false">IF(A335="","",SUMIFS(Ingredients!$G:$G,Ingredients!$C:$C,A335))</f>
        <v/>
      </c>
      <c r="H335" s="12" t="str">
        <f aca="false">IF(A335="","",SUMIFS(Ingredients!$H:$H,Ingredients!$C:$C,A335))</f>
        <v/>
      </c>
      <c r="I335" s="12" t="str">
        <f aca="false">IF(A335="","",IF(G335&gt;0,IF(D335="Yes",100,0)+F335+ROW()/100000,""))</f>
        <v/>
      </c>
      <c r="J335" s="12" t="str">
        <f aca="false">IF(I335="","",COUNTIF($I$4:$I$503,"&lt;"&amp;I335)+1)</f>
        <v/>
      </c>
    </row>
    <row r="336" customFormat="false" ht="15" hidden="false" customHeight="false" outlineLevel="0" collapsed="false">
      <c r="F336" s="12" t="str">
        <f aca="false">IF(A336="","",IFERROR(MATCH(B336,Lists!$A$2:$A$15,0),99))</f>
        <v/>
      </c>
      <c r="G336" s="12" t="str">
        <f aca="false">IF(A336="","",SUMIFS(Ingredients!$G:$G,Ingredients!$C:$C,A336))</f>
        <v/>
      </c>
      <c r="H336" s="12" t="str">
        <f aca="false">IF(A336="","",SUMIFS(Ingredients!$H:$H,Ingredients!$C:$C,A336))</f>
        <v/>
      </c>
      <c r="I336" s="12" t="str">
        <f aca="false">IF(A336="","",IF(G336&gt;0,IF(D336="Yes",100,0)+F336+ROW()/100000,""))</f>
        <v/>
      </c>
      <c r="J336" s="12" t="str">
        <f aca="false">IF(I336="","",COUNTIF($I$4:$I$503,"&lt;"&amp;I336)+1)</f>
        <v/>
      </c>
    </row>
    <row r="337" customFormat="false" ht="15" hidden="false" customHeight="false" outlineLevel="0" collapsed="false">
      <c r="F337" s="12" t="str">
        <f aca="false">IF(A337="","",IFERROR(MATCH(B337,Lists!$A$2:$A$15,0),99))</f>
        <v/>
      </c>
      <c r="G337" s="12" t="str">
        <f aca="false">IF(A337="","",SUMIFS(Ingredients!$G:$G,Ingredients!$C:$C,A337))</f>
        <v/>
      </c>
      <c r="H337" s="12" t="str">
        <f aca="false">IF(A337="","",SUMIFS(Ingredients!$H:$H,Ingredients!$C:$C,A337))</f>
        <v/>
      </c>
      <c r="I337" s="12" t="str">
        <f aca="false">IF(A337="","",IF(G337&gt;0,IF(D337="Yes",100,0)+F337+ROW()/100000,""))</f>
        <v/>
      </c>
      <c r="J337" s="12" t="str">
        <f aca="false">IF(I337="","",COUNTIF($I$4:$I$503,"&lt;"&amp;I337)+1)</f>
        <v/>
      </c>
    </row>
    <row r="338" customFormat="false" ht="15" hidden="false" customHeight="false" outlineLevel="0" collapsed="false">
      <c r="F338" s="12" t="str">
        <f aca="false">IF(A338="","",IFERROR(MATCH(B338,Lists!$A$2:$A$15,0),99))</f>
        <v/>
      </c>
      <c r="G338" s="12" t="str">
        <f aca="false">IF(A338="","",SUMIFS(Ingredients!$G:$G,Ingredients!$C:$C,A338))</f>
        <v/>
      </c>
      <c r="H338" s="12" t="str">
        <f aca="false">IF(A338="","",SUMIFS(Ingredients!$H:$H,Ingredients!$C:$C,A338))</f>
        <v/>
      </c>
      <c r="I338" s="12" t="str">
        <f aca="false">IF(A338="","",IF(G338&gt;0,IF(D338="Yes",100,0)+F338+ROW()/100000,""))</f>
        <v/>
      </c>
      <c r="J338" s="12" t="str">
        <f aca="false">IF(I338="","",COUNTIF($I$4:$I$503,"&lt;"&amp;I338)+1)</f>
        <v/>
      </c>
    </row>
    <row r="339" customFormat="false" ht="15" hidden="false" customHeight="false" outlineLevel="0" collapsed="false">
      <c r="F339" s="12" t="str">
        <f aca="false">IF(A339="","",IFERROR(MATCH(B339,Lists!$A$2:$A$15,0),99))</f>
        <v/>
      </c>
      <c r="G339" s="12" t="str">
        <f aca="false">IF(A339="","",SUMIFS(Ingredients!$G:$G,Ingredients!$C:$C,A339))</f>
        <v/>
      </c>
      <c r="H339" s="12" t="str">
        <f aca="false">IF(A339="","",SUMIFS(Ingredients!$H:$H,Ingredients!$C:$C,A339))</f>
        <v/>
      </c>
      <c r="I339" s="12" t="str">
        <f aca="false">IF(A339="","",IF(G339&gt;0,IF(D339="Yes",100,0)+F339+ROW()/100000,""))</f>
        <v/>
      </c>
      <c r="J339" s="12" t="str">
        <f aca="false">IF(I339="","",COUNTIF($I$4:$I$503,"&lt;"&amp;I339)+1)</f>
        <v/>
      </c>
    </row>
    <row r="340" customFormat="false" ht="15" hidden="false" customHeight="false" outlineLevel="0" collapsed="false">
      <c r="F340" s="12" t="str">
        <f aca="false">IF(A340="","",IFERROR(MATCH(B340,Lists!$A$2:$A$15,0),99))</f>
        <v/>
      </c>
      <c r="G340" s="12" t="str">
        <f aca="false">IF(A340="","",SUMIFS(Ingredients!$G:$G,Ingredients!$C:$C,A340))</f>
        <v/>
      </c>
      <c r="H340" s="12" t="str">
        <f aca="false">IF(A340="","",SUMIFS(Ingredients!$H:$H,Ingredients!$C:$C,A340))</f>
        <v/>
      </c>
      <c r="I340" s="12" t="str">
        <f aca="false">IF(A340="","",IF(G340&gt;0,IF(D340="Yes",100,0)+F340+ROW()/100000,""))</f>
        <v/>
      </c>
      <c r="J340" s="12" t="str">
        <f aca="false">IF(I340="","",COUNTIF($I$4:$I$503,"&lt;"&amp;I340)+1)</f>
        <v/>
      </c>
    </row>
    <row r="341" customFormat="false" ht="15" hidden="false" customHeight="false" outlineLevel="0" collapsed="false">
      <c r="F341" s="12" t="str">
        <f aca="false">IF(A341="","",IFERROR(MATCH(B341,Lists!$A$2:$A$15,0),99))</f>
        <v/>
      </c>
      <c r="G341" s="12" t="str">
        <f aca="false">IF(A341="","",SUMIFS(Ingredients!$G:$G,Ingredients!$C:$C,A341))</f>
        <v/>
      </c>
      <c r="H341" s="12" t="str">
        <f aca="false">IF(A341="","",SUMIFS(Ingredients!$H:$H,Ingredients!$C:$C,A341))</f>
        <v/>
      </c>
      <c r="I341" s="12" t="str">
        <f aca="false">IF(A341="","",IF(G341&gt;0,IF(D341="Yes",100,0)+F341+ROW()/100000,""))</f>
        <v/>
      </c>
      <c r="J341" s="12" t="str">
        <f aca="false">IF(I341="","",COUNTIF($I$4:$I$503,"&lt;"&amp;I341)+1)</f>
        <v/>
      </c>
    </row>
    <row r="342" customFormat="false" ht="15" hidden="false" customHeight="false" outlineLevel="0" collapsed="false">
      <c r="F342" s="12" t="str">
        <f aca="false">IF(A342="","",IFERROR(MATCH(B342,Lists!$A$2:$A$15,0),99))</f>
        <v/>
      </c>
      <c r="G342" s="12" t="str">
        <f aca="false">IF(A342="","",SUMIFS(Ingredients!$G:$G,Ingredients!$C:$C,A342))</f>
        <v/>
      </c>
      <c r="H342" s="12" t="str">
        <f aca="false">IF(A342="","",SUMIFS(Ingredients!$H:$H,Ingredients!$C:$C,A342))</f>
        <v/>
      </c>
      <c r="I342" s="12" t="str">
        <f aca="false">IF(A342="","",IF(G342&gt;0,IF(D342="Yes",100,0)+F342+ROW()/100000,""))</f>
        <v/>
      </c>
      <c r="J342" s="12" t="str">
        <f aca="false">IF(I342="","",COUNTIF($I$4:$I$503,"&lt;"&amp;I342)+1)</f>
        <v/>
      </c>
    </row>
    <row r="343" customFormat="false" ht="15" hidden="false" customHeight="false" outlineLevel="0" collapsed="false">
      <c r="F343" s="12" t="str">
        <f aca="false">IF(A343="","",IFERROR(MATCH(B343,Lists!$A$2:$A$15,0),99))</f>
        <v/>
      </c>
      <c r="G343" s="12" t="str">
        <f aca="false">IF(A343="","",SUMIFS(Ingredients!$G:$G,Ingredients!$C:$C,A343))</f>
        <v/>
      </c>
      <c r="H343" s="12" t="str">
        <f aca="false">IF(A343="","",SUMIFS(Ingredients!$H:$H,Ingredients!$C:$C,A343))</f>
        <v/>
      </c>
      <c r="I343" s="12" t="str">
        <f aca="false">IF(A343="","",IF(G343&gt;0,IF(D343="Yes",100,0)+F343+ROW()/100000,""))</f>
        <v/>
      </c>
      <c r="J343" s="12" t="str">
        <f aca="false">IF(I343="","",COUNTIF($I$4:$I$503,"&lt;"&amp;I343)+1)</f>
        <v/>
      </c>
    </row>
    <row r="344" customFormat="false" ht="15" hidden="false" customHeight="false" outlineLevel="0" collapsed="false">
      <c r="F344" s="12" t="str">
        <f aca="false">IF(A344="","",IFERROR(MATCH(B344,Lists!$A$2:$A$15,0),99))</f>
        <v/>
      </c>
      <c r="G344" s="12" t="str">
        <f aca="false">IF(A344="","",SUMIFS(Ingredients!$G:$G,Ingredients!$C:$C,A344))</f>
        <v/>
      </c>
      <c r="H344" s="12" t="str">
        <f aca="false">IF(A344="","",SUMIFS(Ingredients!$H:$H,Ingredients!$C:$C,A344))</f>
        <v/>
      </c>
      <c r="I344" s="12" t="str">
        <f aca="false">IF(A344="","",IF(G344&gt;0,IF(D344="Yes",100,0)+F344+ROW()/100000,""))</f>
        <v/>
      </c>
      <c r="J344" s="12" t="str">
        <f aca="false">IF(I344="","",COUNTIF($I$4:$I$503,"&lt;"&amp;I344)+1)</f>
        <v/>
      </c>
    </row>
    <row r="345" customFormat="false" ht="15" hidden="false" customHeight="false" outlineLevel="0" collapsed="false">
      <c r="F345" s="12" t="str">
        <f aca="false">IF(A345="","",IFERROR(MATCH(B345,Lists!$A$2:$A$15,0),99))</f>
        <v/>
      </c>
      <c r="G345" s="12" t="str">
        <f aca="false">IF(A345="","",SUMIFS(Ingredients!$G:$G,Ingredients!$C:$C,A345))</f>
        <v/>
      </c>
      <c r="H345" s="12" t="str">
        <f aca="false">IF(A345="","",SUMIFS(Ingredients!$H:$H,Ingredients!$C:$C,A345))</f>
        <v/>
      </c>
      <c r="I345" s="12" t="str">
        <f aca="false">IF(A345="","",IF(G345&gt;0,IF(D345="Yes",100,0)+F345+ROW()/100000,""))</f>
        <v/>
      </c>
      <c r="J345" s="12" t="str">
        <f aca="false">IF(I345="","",COUNTIF($I$4:$I$503,"&lt;"&amp;I345)+1)</f>
        <v/>
      </c>
    </row>
    <row r="346" customFormat="false" ht="15" hidden="false" customHeight="false" outlineLevel="0" collapsed="false">
      <c r="F346" s="12" t="str">
        <f aca="false">IF(A346="","",IFERROR(MATCH(B346,Lists!$A$2:$A$15,0),99))</f>
        <v/>
      </c>
      <c r="G346" s="12" t="str">
        <f aca="false">IF(A346="","",SUMIFS(Ingredients!$G:$G,Ingredients!$C:$C,A346))</f>
        <v/>
      </c>
      <c r="H346" s="12" t="str">
        <f aca="false">IF(A346="","",SUMIFS(Ingredients!$H:$H,Ingredients!$C:$C,A346))</f>
        <v/>
      </c>
      <c r="I346" s="12" t="str">
        <f aca="false">IF(A346="","",IF(G346&gt;0,IF(D346="Yes",100,0)+F346+ROW()/100000,""))</f>
        <v/>
      </c>
      <c r="J346" s="12" t="str">
        <f aca="false">IF(I346="","",COUNTIF($I$4:$I$503,"&lt;"&amp;I346)+1)</f>
        <v/>
      </c>
    </row>
    <row r="347" customFormat="false" ht="15" hidden="false" customHeight="false" outlineLevel="0" collapsed="false">
      <c r="F347" s="12" t="str">
        <f aca="false">IF(A347="","",IFERROR(MATCH(B347,Lists!$A$2:$A$15,0),99))</f>
        <v/>
      </c>
      <c r="G347" s="12" t="str">
        <f aca="false">IF(A347="","",SUMIFS(Ingredients!$G:$G,Ingredients!$C:$C,A347))</f>
        <v/>
      </c>
      <c r="H347" s="12" t="str">
        <f aca="false">IF(A347="","",SUMIFS(Ingredients!$H:$H,Ingredients!$C:$C,A347))</f>
        <v/>
      </c>
      <c r="I347" s="12" t="str">
        <f aca="false">IF(A347="","",IF(G347&gt;0,IF(D347="Yes",100,0)+F347+ROW()/100000,""))</f>
        <v/>
      </c>
      <c r="J347" s="12" t="str">
        <f aca="false">IF(I347="","",COUNTIF($I$4:$I$503,"&lt;"&amp;I347)+1)</f>
        <v/>
      </c>
    </row>
    <row r="348" customFormat="false" ht="15" hidden="false" customHeight="false" outlineLevel="0" collapsed="false">
      <c r="F348" s="12" t="str">
        <f aca="false">IF(A348="","",IFERROR(MATCH(B348,Lists!$A$2:$A$15,0),99))</f>
        <v/>
      </c>
      <c r="G348" s="12" t="str">
        <f aca="false">IF(A348="","",SUMIFS(Ingredients!$G:$G,Ingredients!$C:$C,A348))</f>
        <v/>
      </c>
      <c r="H348" s="12" t="str">
        <f aca="false">IF(A348="","",SUMIFS(Ingredients!$H:$H,Ingredients!$C:$C,A348))</f>
        <v/>
      </c>
      <c r="I348" s="12" t="str">
        <f aca="false">IF(A348="","",IF(G348&gt;0,IF(D348="Yes",100,0)+F348+ROW()/100000,""))</f>
        <v/>
      </c>
      <c r="J348" s="12" t="str">
        <f aca="false">IF(I348="","",COUNTIF($I$4:$I$503,"&lt;"&amp;I348)+1)</f>
        <v/>
      </c>
    </row>
    <row r="349" customFormat="false" ht="15" hidden="false" customHeight="false" outlineLevel="0" collapsed="false">
      <c r="F349" s="12" t="str">
        <f aca="false">IF(A349="","",IFERROR(MATCH(B349,Lists!$A$2:$A$15,0),99))</f>
        <v/>
      </c>
      <c r="G349" s="12" t="str">
        <f aca="false">IF(A349="","",SUMIFS(Ingredients!$G:$G,Ingredients!$C:$C,A349))</f>
        <v/>
      </c>
      <c r="H349" s="12" t="str">
        <f aca="false">IF(A349="","",SUMIFS(Ingredients!$H:$H,Ingredients!$C:$C,A349))</f>
        <v/>
      </c>
      <c r="I349" s="12" t="str">
        <f aca="false">IF(A349="","",IF(G349&gt;0,IF(D349="Yes",100,0)+F349+ROW()/100000,""))</f>
        <v/>
      </c>
      <c r="J349" s="12" t="str">
        <f aca="false">IF(I349="","",COUNTIF($I$4:$I$503,"&lt;"&amp;I349)+1)</f>
        <v/>
      </c>
    </row>
    <row r="350" customFormat="false" ht="15" hidden="false" customHeight="false" outlineLevel="0" collapsed="false">
      <c r="F350" s="12" t="str">
        <f aca="false">IF(A350="","",IFERROR(MATCH(B350,Lists!$A$2:$A$15,0),99))</f>
        <v/>
      </c>
      <c r="G350" s="12" t="str">
        <f aca="false">IF(A350="","",SUMIFS(Ingredients!$G:$G,Ingredients!$C:$C,A350))</f>
        <v/>
      </c>
      <c r="H350" s="12" t="str">
        <f aca="false">IF(A350="","",SUMIFS(Ingredients!$H:$H,Ingredients!$C:$C,A350))</f>
        <v/>
      </c>
      <c r="I350" s="12" t="str">
        <f aca="false">IF(A350="","",IF(G350&gt;0,IF(D350="Yes",100,0)+F350+ROW()/100000,""))</f>
        <v/>
      </c>
      <c r="J350" s="12" t="str">
        <f aca="false">IF(I350="","",COUNTIF($I$4:$I$503,"&lt;"&amp;I350)+1)</f>
        <v/>
      </c>
    </row>
    <row r="351" customFormat="false" ht="15" hidden="false" customHeight="false" outlineLevel="0" collapsed="false">
      <c r="F351" s="12" t="str">
        <f aca="false">IF(A351="","",IFERROR(MATCH(B351,Lists!$A$2:$A$15,0),99))</f>
        <v/>
      </c>
      <c r="G351" s="12" t="str">
        <f aca="false">IF(A351="","",SUMIFS(Ingredients!$G:$G,Ingredients!$C:$C,A351))</f>
        <v/>
      </c>
      <c r="H351" s="12" t="str">
        <f aca="false">IF(A351="","",SUMIFS(Ingredients!$H:$H,Ingredients!$C:$C,A351))</f>
        <v/>
      </c>
      <c r="I351" s="12" t="str">
        <f aca="false">IF(A351="","",IF(G351&gt;0,IF(D351="Yes",100,0)+F351+ROW()/100000,""))</f>
        <v/>
      </c>
      <c r="J351" s="12" t="str">
        <f aca="false">IF(I351="","",COUNTIF($I$4:$I$503,"&lt;"&amp;I351)+1)</f>
        <v/>
      </c>
    </row>
    <row r="352" customFormat="false" ht="15" hidden="false" customHeight="false" outlineLevel="0" collapsed="false">
      <c r="F352" s="12" t="str">
        <f aca="false">IF(A352="","",IFERROR(MATCH(B352,Lists!$A$2:$A$15,0),99))</f>
        <v/>
      </c>
      <c r="G352" s="12" t="str">
        <f aca="false">IF(A352="","",SUMIFS(Ingredients!$G:$G,Ingredients!$C:$C,A352))</f>
        <v/>
      </c>
      <c r="H352" s="12" t="str">
        <f aca="false">IF(A352="","",SUMIFS(Ingredients!$H:$H,Ingredients!$C:$C,A352))</f>
        <v/>
      </c>
      <c r="I352" s="12" t="str">
        <f aca="false">IF(A352="","",IF(G352&gt;0,IF(D352="Yes",100,0)+F352+ROW()/100000,""))</f>
        <v/>
      </c>
      <c r="J352" s="12" t="str">
        <f aca="false">IF(I352="","",COUNTIF($I$4:$I$503,"&lt;"&amp;I352)+1)</f>
        <v/>
      </c>
    </row>
    <row r="353" customFormat="false" ht="15" hidden="false" customHeight="false" outlineLevel="0" collapsed="false">
      <c r="F353" s="12" t="str">
        <f aca="false">IF(A353="","",IFERROR(MATCH(B353,Lists!$A$2:$A$15,0),99))</f>
        <v/>
      </c>
      <c r="G353" s="12" t="str">
        <f aca="false">IF(A353="","",SUMIFS(Ingredients!$G:$G,Ingredients!$C:$C,A353))</f>
        <v/>
      </c>
      <c r="H353" s="12" t="str">
        <f aca="false">IF(A353="","",SUMIFS(Ingredients!$H:$H,Ingredients!$C:$C,A353))</f>
        <v/>
      </c>
      <c r="I353" s="12" t="str">
        <f aca="false">IF(A353="","",IF(G353&gt;0,IF(D353="Yes",100,0)+F353+ROW()/100000,""))</f>
        <v/>
      </c>
      <c r="J353" s="12" t="str">
        <f aca="false">IF(I353="","",COUNTIF($I$4:$I$503,"&lt;"&amp;I353)+1)</f>
        <v/>
      </c>
    </row>
    <row r="354" customFormat="false" ht="15" hidden="false" customHeight="false" outlineLevel="0" collapsed="false">
      <c r="F354" s="12" t="str">
        <f aca="false">IF(A354="","",IFERROR(MATCH(B354,Lists!$A$2:$A$15,0),99))</f>
        <v/>
      </c>
      <c r="G354" s="12" t="str">
        <f aca="false">IF(A354="","",SUMIFS(Ingredients!$G:$G,Ingredients!$C:$C,A354))</f>
        <v/>
      </c>
      <c r="H354" s="12" t="str">
        <f aca="false">IF(A354="","",SUMIFS(Ingredients!$H:$H,Ingredients!$C:$C,A354))</f>
        <v/>
      </c>
      <c r="I354" s="12" t="str">
        <f aca="false">IF(A354="","",IF(G354&gt;0,IF(D354="Yes",100,0)+F354+ROW()/100000,""))</f>
        <v/>
      </c>
      <c r="J354" s="12" t="str">
        <f aca="false">IF(I354="","",COUNTIF($I$4:$I$503,"&lt;"&amp;I354)+1)</f>
        <v/>
      </c>
    </row>
    <row r="355" customFormat="false" ht="15" hidden="false" customHeight="false" outlineLevel="0" collapsed="false">
      <c r="F355" s="12" t="str">
        <f aca="false">IF(A355="","",IFERROR(MATCH(B355,Lists!$A$2:$A$15,0),99))</f>
        <v/>
      </c>
      <c r="G355" s="12" t="str">
        <f aca="false">IF(A355="","",SUMIFS(Ingredients!$G:$G,Ingredients!$C:$C,A355))</f>
        <v/>
      </c>
      <c r="H355" s="12" t="str">
        <f aca="false">IF(A355="","",SUMIFS(Ingredients!$H:$H,Ingredients!$C:$C,A355))</f>
        <v/>
      </c>
      <c r="I355" s="12" t="str">
        <f aca="false">IF(A355="","",IF(G355&gt;0,IF(D355="Yes",100,0)+F355+ROW()/100000,""))</f>
        <v/>
      </c>
      <c r="J355" s="12" t="str">
        <f aca="false">IF(I355="","",COUNTIF($I$4:$I$503,"&lt;"&amp;I355)+1)</f>
        <v/>
      </c>
    </row>
    <row r="356" customFormat="false" ht="15" hidden="false" customHeight="false" outlineLevel="0" collapsed="false">
      <c r="F356" s="12" t="str">
        <f aca="false">IF(A356="","",IFERROR(MATCH(B356,Lists!$A$2:$A$15,0),99))</f>
        <v/>
      </c>
      <c r="G356" s="12" t="str">
        <f aca="false">IF(A356="","",SUMIFS(Ingredients!$G:$G,Ingredients!$C:$C,A356))</f>
        <v/>
      </c>
      <c r="H356" s="12" t="str">
        <f aca="false">IF(A356="","",SUMIFS(Ingredients!$H:$H,Ingredients!$C:$C,A356))</f>
        <v/>
      </c>
      <c r="I356" s="12" t="str">
        <f aca="false">IF(A356="","",IF(G356&gt;0,IF(D356="Yes",100,0)+F356+ROW()/100000,""))</f>
        <v/>
      </c>
      <c r="J356" s="12" t="str">
        <f aca="false">IF(I356="","",COUNTIF($I$4:$I$503,"&lt;"&amp;I356)+1)</f>
        <v/>
      </c>
    </row>
    <row r="357" customFormat="false" ht="15" hidden="false" customHeight="false" outlineLevel="0" collapsed="false">
      <c r="F357" s="12" t="str">
        <f aca="false">IF(A357="","",IFERROR(MATCH(B357,Lists!$A$2:$A$15,0),99))</f>
        <v/>
      </c>
      <c r="G357" s="12" t="str">
        <f aca="false">IF(A357="","",SUMIFS(Ingredients!$G:$G,Ingredients!$C:$C,A357))</f>
        <v/>
      </c>
      <c r="H357" s="12" t="str">
        <f aca="false">IF(A357="","",SUMIFS(Ingredients!$H:$H,Ingredients!$C:$C,A357))</f>
        <v/>
      </c>
      <c r="I357" s="12" t="str">
        <f aca="false">IF(A357="","",IF(G357&gt;0,IF(D357="Yes",100,0)+F357+ROW()/100000,""))</f>
        <v/>
      </c>
      <c r="J357" s="12" t="str">
        <f aca="false">IF(I357="","",COUNTIF($I$4:$I$503,"&lt;"&amp;I357)+1)</f>
        <v/>
      </c>
    </row>
    <row r="358" customFormat="false" ht="15" hidden="false" customHeight="false" outlineLevel="0" collapsed="false">
      <c r="F358" s="12" t="str">
        <f aca="false">IF(A358="","",IFERROR(MATCH(B358,Lists!$A$2:$A$15,0),99))</f>
        <v/>
      </c>
      <c r="G358" s="12" t="str">
        <f aca="false">IF(A358="","",SUMIFS(Ingredients!$G:$G,Ingredients!$C:$C,A358))</f>
        <v/>
      </c>
      <c r="H358" s="12" t="str">
        <f aca="false">IF(A358="","",SUMIFS(Ingredients!$H:$H,Ingredients!$C:$C,A358))</f>
        <v/>
      </c>
      <c r="I358" s="12" t="str">
        <f aca="false">IF(A358="","",IF(G358&gt;0,IF(D358="Yes",100,0)+F358+ROW()/100000,""))</f>
        <v/>
      </c>
      <c r="J358" s="12" t="str">
        <f aca="false">IF(I358="","",COUNTIF($I$4:$I$503,"&lt;"&amp;I358)+1)</f>
        <v/>
      </c>
    </row>
    <row r="359" customFormat="false" ht="15" hidden="false" customHeight="false" outlineLevel="0" collapsed="false">
      <c r="F359" s="12" t="str">
        <f aca="false">IF(A359="","",IFERROR(MATCH(B359,Lists!$A$2:$A$15,0),99))</f>
        <v/>
      </c>
      <c r="G359" s="12" t="str">
        <f aca="false">IF(A359="","",SUMIFS(Ingredients!$G:$G,Ingredients!$C:$C,A359))</f>
        <v/>
      </c>
      <c r="H359" s="12" t="str">
        <f aca="false">IF(A359="","",SUMIFS(Ingredients!$H:$H,Ingredients!$C:$C,A359))</f>
        <v/>
      </c>
      <c r="I359" s="12" t="str">
        <f aca="false">IF(A359="","",IF(G359&gt;0,IF(D359="Yes",100,0)+F359+ROW()/100000,""))</f>
        <v/>
      </c>
      <c r="J359" s="12" t="str">
        <f aca="false">IF(I359="","",COUNTIF($I$4:$I$503,"&lt;"&amp;I359)+1)</f>
        <v/>
      </c>
    </row>
    <row r="360" customFormat="false" ht="15" hidden="false" customHeight="false" outlineLevel="0" collapsed="false">
      <c r="F360" s="12" t="str">
        <f aca="false">IF(A360="","",IFERROR(MATCH(B360,Lists!$A$2:$A$15,0),99))</f>
        <v/>
      </c>
      <c r="G360" s="12" t="str">
        <f aca="false">IF(A360="","",SUMIFS(Ingredients!$G:$G,Ingredients!$C:$C,A360))</f>
        <v/>
      </c>
      <c r="H360" s="12" t="str">
        <f aca="false">IF(A360="","",SUMIFS(Ingredients!$H:$H,Ingredients!$C:$C,A360))</f>
        <v/>
      </c>
      <c r="I360" s="12" t="str">
        <f aca="false">IF(A360="","",IF(G360&gt;0,IF(D360="Yes",100,0)+F360+ROW()/100000,""))</f>
        <v/>
      </c>
      <c r="J360" s="12" t="str">
        <f aca="false">IF(I360="","",COUNTIF($I$4:$I$503,"&lt;"&amp;I360)+1)</f>
        <v/>
      </c>
    </row>
    <row r="361" customFormat="false" ht="15" hidden="false" customHeight="false" outlineLevel="0" collapsed="false">
      <c r="F361" s="12" t="str">
        <f aca="false">IF(A361="","",IFERROR(MATCH(B361,Lists!$A$2:$A$15,0),99))</f>
        <v/>
      </c>
      <c r="G361" s="12" t="str">
        <f aca="false">IF(A361="","",SUMIFS(Ingredients!$G:$G,Ingredients!$C:$C,A361))</f>
        <v/>
      </c>
      <c r="H361" s="12" t="str">
        <f aca="false">IF(A361="","",SUMIFS(Ingredients!$H:$H,Ingredients!$C:$C,A361))</f>
        <v/>
      </c>
      <c r="I361" s="12" t="str">
        <f aca="false">IF(A361="","",IF(G361&gt;0,IF(D361="Yes",100,0)+F361+ROW()/100000,""))</f>
        <v/>
      </c>
      <c r="J361" s="12" t="str">
        <f aca="false">IF(I361="","",COUNTIF($I$4:$I$503,"&lt;"&amp;I361)+1)</f>
        <v/>
      </c>
    </row>
    <row r="362" customFormat="false" ht="15" hidden="false" customHeight="false" outlineLevel="0" collapsed="false">
      <c r="F362" s="12" t="str">
        <f aca="false">IF(A362="","",IFERROR(MATCH(B362,Lists!$A$2:$A$15,0),99))</f>
        <v/>
      </c>
      <c r="G362" s="12" t="str">
        <f aca="false">IF(A362="","",SUMIFS(Ingredients!$G:$G,Ingredients!$C:$C,A362))</f>
        <v/>
      </c>
      <c r="H362" s="12" t="str">
        <f aca="false">IF(A362="","",SUMIFS(Ingredients!$H:$H,Ingredients!$C:$C,A362))</f>
        <v/>
      </c>
      <c r="I362" s="12" t="str">
        <f aca="false">IF(A362="","",IF(G362&gt;0,IF(D362="Yes",100,0)+F362+ROW()/100000,""))</f>
        <v/>
      </c>
      <c r="J362" s="12" t="str">
        <f aca="false">IF(I362="","",COUNTIF($I$4:$I$503,"&lt;"&amp;I362)+1)</f>
        <v/>
      </c>
    </row>
    <row r="363" customFormat="false" ht="15" hidden="false" customHeight="false" outlineLevel="0" collapsed="false">
      <c r="F363" s="12" t="str">
        <f aca="false">IF(A363="","",IFERROR(MATCH(B363,Lists!$A$2:$A$15,0),99))</f>
        <v/>
      </c>
      <c r="G363" s="12" t="str">
        <f aca="false">IF(A363="","",SUMIFS(Ingredients!$G:$G,Ingredients!$C:$C,A363))</f>
        <v/>
      </c>
      <c r="H363" s="12" t="str">
        <f aca="false">IF(A363="","",SUMIFS(Ingredients!$H:$H,Ingredients!$C:$C,A363))</f>
        <v/>
      </c>
      <c r="I363" s="12" t="str">
        <f aca="false">IF(A363="","",IF(G363&gt;0,IF(D363="Yes",100,0)+F363+ROW()/100000,""))</f>
        <v/>
      </c>
      <c r="J363" s="12" t="str">
        <f aca="false">IF(I363="","",COUNTIF($I$4:$I$503,"&lt;"&amp;I363)+1)</f>
        <v/>
      </c>
    </row>
    <row r="364" customFormat="false" ht="15" hidden="false" customHeight="false" outlineLevel="0" collapsed="false">
      <c r="F364" s="12" t="str">
        <f aca="false">IF(A364="","",IFERROR(MATCH(B364,Lists!$A$2:$A$15,0),99))</f>
        <v/>
      </c>
      <c r="G364" s="12" t="str">
        <f aca="false">IF(A364="","",SUMIFS(Ingredients!$G:$G,Ingredients!$C:$C,A364))</f>
        <v/>
      </c>
      <c r="H364" s="12" t="str">
        <f aca="false">IF(A364="","",SUMIFS(Ingredients!$H:$H,Ingredients!$C:$C,A364))</f>
        <v/>
      </c>
      <c r="I364" s="12" t="str">
        <f aca="false">IF(A364="","",IF(G364&gt;0,IF(D364="Yes",100,0)+F364+ROW()/100000,""))</f>
        <v/>
      </c>
      <c r="J364" s="12" t="str">
        <f aca="false">IF(I364="","",COUNTIF($I$4:$I$503,"&lt;"&amp;I364)+1)</f>
        <v/>
      </c>
    </row>
    <row r="365" customFormat="false" ht="15" hidden="false" customHeight="false" outlineLevel="0" collapsed="false">
      <c r="F365" s="12" t="str">
        <f aca="false">IF(A365="","",IFERROR(MATCH(B365,Lists!$A$2:$A$15,0),99))</f>
        <v/>
      </c>
      <c r="G365" s="12" t="str">
        <f aca="false">IF(A365="","",SUMIFS(Ingredients!$G:$G,Ingredients!$C:$C,A365))</f>
        <v/>
      </c>
      <c r="H365" s="12" t="str">
        <f aca="false">IF(A365="","",SUMIFS(Ingredients!$H:$H,Ingredients!$C:$C,A365))</f>
        <v/>
      </c>
      <c r="I365" s="12" t="str">
        <f aca="false">IF(A365="","",IF(G365&gt;0,IF(D365="Yes",100,0)+F365+ROW()/100000,""))</f>
        <v/>
      </c>
      <c r="J365" s="12" t="str">
        <f aca="false">IF(I365="","",COUNTIF($I$4:$I$503,"&lt;"&amp;I365)+1)</f>
        <v/>
      </c>
    </row>
    <row r="366" customFormat="false" ht="15" hidden="false" customHeight="false" outlineLevel="0" collapsed="false">
      <c r="F366" s="12" t="str">
        <f aca="false">IF(A366="","",IFERROR(MATCH(B366,Lists!$A$2:$A$15,0),99))</f>
        <v/>
      </c>
      <c r="G366" s="12" t="str">
        <f aca="false">IF(A366="","",SUMIFS(Ingredients!$G:$G,Ingredients!$C:$C,A366))</f>
        <v/>
      </c>
      <c r="H366" s="12" t="str">
        <f aca="false">IF(A366="","",SUMIFS(Ingredients!$H:$H,Ingredients!$C:$C,A366))</f>
        <v/>
      </c>
      <c r="I366" s="12" t="str">
        <f aca="false">IF(A366="","",IF(G366&gt;0,IF(D366="Yes",100,0)+F366+ROW()/100000,""))</f>
        <v/>
      </c>
      <c r="J366" s="12" t="str">
        <f aca="false">IF(I366="","",COUNTIF($I$4:$I$503,"&lt;"&amp;I366)+1)</f>
        <v/>
      </c>
    </row>
    <row r="367" customFormat="false" ht="15" hidden="false" customHeight="false" outlineLevel="0" collapsed="false">
      <c r="F367" s="12" t="str">
        <f aca="false">IF(A367="","",IFERROR(MATCH(B367,Lists!$A$2:$A$15,0),99))</f>
        <v/>
      </c>
      <c r="G367" s="12" t="str">
        <f aca="false">IF(A367="","",SUMIFS(Ingredients!$G:$G,Ingredients!$C:$C,A367))</f>
        <v/>
      </c>
      <c r="H367" s="12" t="str">
        <f aca="false">IF(A367="","",SUMIFS(Ingredients!$H:$H,Ingredients!$C:$C,A367))</f>
        <v/>
      </c>
      <c r="I367" s="12" t="str">
        <f aca="false">IF(A367="","",IF(G367&gt;0,IF(D367="Yes",100,0)+F367+ROW()/100000,""))</f>
        <v/>
      </c>
      <c r="J367" s="12" t="str">
        <f aca="false">IF(I367="","",COUNTIF($I$4:$I$503,"&lt;"&amp;I367)+1)</f>
        <v/>
      </c>
    </row>
    <row r="368" customFormat="false" ht="15" hidden="false" customHeight="false" outlineLevel="0" collapsed="false">
      <c r="F368" s="12" t="str">
        <f aca="false">IF(A368="","",IFERROR(MATCH(B368,Lists!$A$2:$A$15,0),99))</f>
        <v/>
      </c>
      <c r="G368" s="12" t="str">
        <f aca="false">IF(A368="","",SUMIFS(Ingredients!$G:$G,Ingredients!$C:$C,A368))</f>
        <v/>
      </c>
      <c r="H368" s="12" t="str">
        <f aca="false">IF(A368="","",SUMIFS(Ingredients!$H:$H,Ingredients!$C:$C,A368))</f>
        <v/>
      </c>
      <c r="I368" s="12" t="str">
        <f aca="false">IF(A368="","",IF(G368&gt;0,IF(D368="Yes",100,0)+F368+ROW()/100000,""))</f>
        <v/>
      </c>
      <c r="J368" s="12" t="str">
        <f aca="false">IF(I368="","",COUNTIF($I$4:$I$503,"&lt;"&amp;I368)+1)</f>
        <v/>
      </c>
    </row>
    <row r="369" customFormat="false" ht="15" hidden="false" customHeight="false" outlineLevel="0" collapsed="false">
      <c r="F369" s="12" t="str">
        <f aca="false">IF(A369="","",IFERROR(MATCH(B369,Lists!$A$2:$A$15,0),99))</f>
        <v/>
      </c>
      <c r="G369" s="12" t="str">
        <f aca="false">IF(A369="","",SUMIFS(Ingredients!$G:$G,Ingredients!$C:$C,A369))</f>
        <v/>
      </c>
      <c r="H369" s="12" t="str">
        <f aca="false">IF(A369="","",SUMIFS(Ingredients!$H:$H,Ingredients!$C:$C,A369))</f>
        <v/>
      </c>
      <c r="I369" s="12" t="str">
        <f aca="false">IF(A369="","",IF(G369&gt;0,IF(D369="Yes",100,0)+F369+ROW()/100000,""))</f>
        <v/>
      </c>
      <c r="J369" s="12" t="str">
        <f aca="false">IF(I369="","",COUNTIF($I$4:$I$503,"&lt;"&amp;I369)+1)</f>
        <v/>
      </c>
    </row>
    <row r="370" customFormat="false" ht="15" hidden="false" customHeight="false" outlineLevel="0" collapsed="false">
      <c r="F370" s="12" t="str">
        <f aca="false">IF(A370="","",IFERROR(MATCH(B370,Lists!$A$2:$A$15,0),99))</f>
        <v/>
      </c>
      <c r="G370" s="12" t="str">
        <f aca="false">IF(A370="","",SUMIFS(Ingredients!$G:$G,Ingredients!$C:$C,A370))</f>
        <v/>
      </c>
      <c r="H370" s="12" t="str">
        <f aca="false">IF(A370="","",SUMIFS(Ingredients!$H:$H,Ingredients!$C:$C,A370))</f>
        <v/>
      </c>
      <c r="I370" s="12" t="str">
        <f aca="false">IF(A370="","",IF(G370&gt;0,IF(D370="Yes",100,0)+F370+ROW()/100000,""))</f>
        <v/>
      </c>
      <c r="J370" s="12" t="str">
        <f aca="false">IF(I370="","",COUNTIF($I$4:$I$503,"&lt;"&amp;I370)+1)</f>
        <v/>
      </c>
    </row>
    <row r="371" customFormat="false" ht="15" hidden="false" customHeight="false" outlineLevel="0" collapsed="false">
      <c r="F371" s="12" t="str">
        <f aca="false">IF(A371="","",IFERROR(MATCH(B371,Lists!$A$2:$A$15,0),99))</f>
        <v/>
      </c>
      <c r="G371" s="12" t="str">
        <f aca="false">IF(A371="","",SUMIFS(Ingredients!$G:$G,Ingredients!$C:$C,A371))</f>
        <v/>
      </c>
      <c r="H371" s="12" t="str">
        <f aca="false">IF(A371="","",SUMIFS(Ingredients!$H:$H,Ingredients!$C:$C,A371))</f>
        <v/>
      </c>
      <c r="I371" s="12" t="str">
        <f aca="false">IF(A371="","",IF(G371&gt;0,IF(D371="Yes",100,0)+F371+ROW()/100000,""))</f>
        <v/>
      </c>
      <c r="J371" s="12" t="str">
        <f aca="false">IF(I371="","",COUNTIF($I$4:$I$503,"&lt;"&amp;I371)+1)</f>
        <v/>
      </c>
    </row>
    <row r="372" customFormat="false" ht="15" hidden="false" customHeight="false" outlineLevel="0" collapsed="false">
      <c r="F372" s="12" t="str">
        <f aca="false">IF(A372="","",IFERROR(MATCH(B372,Lists!$A$2:$A$15,0),99))</f>
        <v/>
      </c>
      <c r="G372" s="12" t="str">
        <f aca="false">IF(A372="","",SUMIFS(Ingredients!$G:$G,Ingredients!$C:$C,A372))</f>
        <v/>
      </c>
      <c r="H372" s="12" t="str">
        <f aca="false">IF(A372="","",SUMIFS(Ingredients!$H:$H,Ingredients!$C:$C,A372))</f>
        <v/>
      </c>
      <c r="I372" s="12" t="str">
        <f aca="false">IF(A372="","",IF(G372&gt;0,IF(D372="Yes",100,0)+F372+ROW()/100000,""))</f>
        <v/>
      </c>
      <c r="J372" s="12" t="str">
        <f aca="false">IF(I372="","",COUNTIF($I$4:$I$503,"&lt;"&amp;I372)+1)</f>
        <v/>
      </c>
    </row>
    <row r="373" customFormat="false" ht="15" hidden="false" customHeight="false" outlineLevel="0" collapsed="false">
      <c r="F373" s="12" t="str">
        <f aca="false">IF(A373="","",IFERROR(MATCH(B373,Lists!$A$2:$A$15,0),99))</f>
        <v/>
      </c>
      <c r="G373" s="12" t="str">
        <f aca="false">IF(A373="","",SUMIFS(Ingredients!$G:$G,Ingredients!$C:$C,A373))</f>
        <v/>
      </c>
      <c r="H373" s="12" t="str">
        <f aca="false">IF(A373="","",SUMIFS(Ingredients!$H:$H,Ingredients!$C:$C,A373))</f>
        <v/>
      </c>
      <c r="I373" s="12" t="str">
        <f aca="false">IF(A373="","",IF(G373&gt;0,IF(D373="Yes",100,0)+F373+ROW()/100000,""))</f>
        <v/>
      </c>
      <c r="J373" s="12" t="str">
        <f aca="false">IF(I373="","",COUNTIF($I$4:$I$503,"&lt;"&amp;I373)+1)</f>
        <v/>
      </c>
    </row>
    <row r="374" customFormat="false" ht="15" hidden="false" customHeight="false" outlineLevel="0" collapsed="false">
      <c r="F374" s="12" t="str">
        <f aca="false">IF(A374="","",IFERROR(MATCH(B374,Lists!$A$2:$A$15,0),99))</f>
        <v/>
      </c>
      <c r="G374" s="12" t="str">
        <f aca="false">IF(A374="","",SUMIFS(Ingredients!$G:$G,Ingredients!$C:$C,A374))</f>
        <v/>
      </c>
      <c r="H374" s="12" t="str">
        <f aca="false">IF(A374="","",SUMIFS(Ingredients!$H:$H,Ingredients!$C:$C,A374))</f>
        <v/>
      </c>
      <c r="I374" s="12" t="str">
        <f aca="false">IF(A374="","",IF(G374&gt;0,IF(D374="Yes",100,0)+F374+ROW()/100000,""))</f>
        <v/>
      </c>
      <c r="J374" s="12" t="str">
        <f aca="false">IF(I374="","",COUNTIF($I$4:$I$503,"&lt;"&amp;I374)+1)</f>
        <v/>
      </c>
    </row>
    <row r="375" customFormat="false" ht="15" hidden="false" customHeight="false" outlineLevel="0" collapsed="false">
      <c r="F375" s="12" t="str">
        <f aca="false">IF(A375="","",IFERROR(MATCH(B375,Lists!$A$2:$A$15,0),99))</f>
        <v/>
      </c>
      <c r="G375" s="12" t="str">
        <f aca="false">IF(A375="","",SUMIFS(Ingredients!$G:$G,Ingredients!$C:$C,A375))</f>
        <v/>
      </c>
      <c r="H375" s="12" t="str">
        <f aca="false">IF(A375="","",SUMIFS(Ingredients!$H:$H,Ingredients!$C:$C,A375))</f>
        <v/>
      </c>
      <c r="I375" s="12" t="str">
        <f aca="false">IF(A375="","",IF(G375&gt;0,IF(D375="Yes",100,0)+F375+ROW()/100000,""))</f>
        <v/>
      </c>
      <c r="J375" s="12" t="str">
        <f aca="false">IF(I375="","",COUNTIF($I$4:$I$503,"&lt;"&amp;I375)+1)</f>
        <v/>
      </c>
    </row>
    <row r="376" customFormat="false" ht="15" hidden="false" customHeight="false" outlineLevel="0" collapsed="false">
      <c r="F376" s="12" t="str">
        <f aca="false">IF(A376="","",IFERROR(MATCH(B376,Lists!$A$2:$A$15,0),99))</f>
        <v/>
      </c>
      <c r="G376" s="12" t="str">
        <f aca="false">IF(A376="","",SUMIFS(Ingredients!$G:$G,Ingredients!$C:$C,A376))</f>
        <v/>
      </c>
      <c r="H376" s="12" t="str">
        <f aca="false">IF(A376="","",SUMIFS(Ingredients!$H:$H,Ingredients!$C:$C,A376))</f>
        <v/>
      </c>
      <c r="I376" s="12" t="str">
        <f aca="false">IF(A376="","",IF(G376&gt;0,IF(D376="Yes",100,0)+F376+ROW()/100000,""))</f>
        <v/>
      </c>
      <c r="J376" s="12" t="str">
        <f aca="false">IF(I376="","",COUNTIF($I$4:$I$503,"&lt;"&amp;I376)+1)</f>
        <v/>
      </c>
    </row>
    <row r="377" customFormat="false" ht="15" hidden="false" customHeight="false" outlineLevel="0" collapsed="false">
      <c r="F377" s="12" t="str">
        <f aca="false">IF(A377="","",IFERROR(MATCH(B377,Lists!$A$2:$A$15,0),99))</f>
        <v/>
      </c>
      <c r="G377" s="12" t="str">
        <f aca="false">IF(A377="","",SUMIFS(Ingredients!$G:$G,Ingredients!$C:$C,A377))</f>
        <v/>
      </c>
      <c r="H377" s="12" t="str">
        <f aca="false">IF(A377="","",SUMIFS(Ingredients!$H:$H,Ingredients!$C:$C,A377))</f>
        <v/>
      </c>
      <c r="I377" s="12" t="str">
        <f aca="false">IF(A377="","",IF(G377&gt;0,IF(D377="Yes",100,0)+F377+ROW()/100000,""))</f>
        <v/>
      </c>
      <c r="J377" s="12" t="str">
        <f aca="false">IF(I377="","",COUNTIF($I$4:$I$503,"&lt;"&amp;I377)+1)</f>
        <v/>
      </c>
    </row>
    <row r="378" customFormat="false" ht="15" hidden="false" customHeight="false" outlineLevel="0" collapsed="false">
      <c r="F378" s="12" t="str">
        <f aca="false">IF(A378="","",IFERROR(MATCH(B378,Lists!$A$2:$A$15,0),99))</f>
        <v/>
      </c>
      <c r="G378" s="12" t="str">
        <f aca="false">IF(A378="","",SUMIFS(Ingredients!$G:$G,Ingredients!$C:$C,A378))</f>
        <v/>
      </c>
      <c r="H378" s="12" t="str">
        <f aca="false">IF(A378="","",SUMIFS(Ingredients!$H:$H,Ingredients!$C:$C,A378))</f>
        <v/>
      </c>
      <c r="I378" s="12" t="str">
        <f aca="false">IF(A378="","",IF(G378&gt;0,IF(D378="Yes",100,0)+F378+ROW()/100000,""))</f>
        <v/>
      </c>
      <c r="J378" s="12" t="str">
        <f aca="false">IF(I378="","",COUNTIF($I$4:$I$503,"&lt;"&amp;I378)+1)</f>
        <v/>
      </c>
    </row>
    <row r="379" customFormat="false" ht="15" hidden="false" customHeight="false" outlineLevel="0" collapsed="false">
      <c r="F379" s="12" t="str">
        <f aca="false">IF(A379="","",IFERROR(MATCH(B379,Lists!$A$2:$A$15,0),99))</f>
        <v/>
      </c>
      <c r="G379" s="12" t="str">
        <f aca="false">IF(A379="","",SUMIFS(Ingredients!$G:$G,Ingredients!$C:$C,A379))</f>
        <v/>
      </c>
      <c r="H379" s="12" t="str">
        <f aca="false">IF(A379="","",SUMIFS(Ingredients!$H:$H,Ingredients!$C:$C,A379))</f>
        <v/>
      </c>
      <c r="I379" s="12" t="str">
        <f aca="false">IF(A379="","",IF(G379&gt;0,IF(D379="Yes",100,0)+F379+ROW()/100000,""))</f>
        <v/>
      </c>
      <c r="J379" s="12" t="str">
        <f aca="false">IF(I379="","",COUNTIF($I$4:$I$503,"&lt;"&amp;I379)+1)</f>
        <v/>
      </c>
    </row>
    <row r="380" customFormat="false" ht="15" hidden="false" customHeight="false" outlineLevel="0" collapsed="false">
      <c r="F380" s="12" t="str">
        <f aca="false">IF(A380="","",IFERROR(MATCH(B380,Lists!$A$2:$A$15,0),99))</f>
        <v/>
      </c>
      <c r="G380" s="12" t="str">
        <f aca="false">IF(A380="","",SUMIFS(Ingredients!$G:$G,Ingredients!$C:$C,A380))</f>
        <v/>
      </c>
      <c r="H380" s="12" t="str">
        <f aca="false">IF(A380="","",SUMIFS(Ingredients!$H:$H,Ingredients!$C:$C,A380))</f>
        <v/>
      </c>
      <c r="I380" s="12" t="str">
        <f aca="false">IF(A380="","",IF(G380&gt;0,IF(D380="Yes",100,0)+F380+ROW()/100000,""))</f>
        <v/>
      </c>
      <c r="J380" s="12" t="str">
        <f aca="false">IF(I380="","",COUNTIF($I$4:$I$503,"&lt;"&amp;I380)+1)</f>
        <v/>
      </c>
    </row>
    <row r="381" customFormat="false" ht="15" hidden="false" customHeight="false" outlineLevel="0" collapsed="false">
      <c r="F381" s="12" t="str">
        <f aca="false">IF(A381="","",IFERROR(MATCH(B381,Lists!$A$2:$A$15,0),99))</f>
        <v/>
      </c>
      <c r="G381" s="12" t="str">
        <f aca="false">IF(A381="","",SUMIFS(Ingredients!$G:$G,Ingredients!$C:$C,A381))</f>
        <v/>
      </c>
      <c r="H381" s="12" t="str">
        <f aca="false">IF(A381="","",SUMIFS(Ingredients!$H:$H,Ingredients!$C:$C,A381))</f>
        <v/>
      </c>
      <c r="I381" s="12" t="str">
        <f aca="false">IF(A381="","",IF(G381&gt;0,IF(D381="Yes",100,0)+F381+ROW()/100000,""))</f>
        <v/>
      </c>
      <c r="J381" s="12" t="str">
        <f aca="false">IF(I381="","",COUNTIF($I$4:$I$503,"&lt;"&amp;I381)+1)</f>
        <v/>
      </c>
    </row>
    <row r="382" customFormat="false" ht="15" hidden="false" customHeight="false" outlineLevel="0" collapsed="false">
      <c r="F382" s="12" t="str">
        <f aca="false">IF(A382="","",IFERROR(MATCH(B382,Lists!$A$2:$A$15,0),99))</f>
        <v/>
      </c>
      <c r="G382" s="12" t="str">
        <f aca="false">IF(A382="","",SUMIFS(Ingredients!$G:$G,Ingredients!$C:$C,A382))</f>
        <v/>
      </c>
      <c r="H382" s="12" t="str">
        <f aca="false">IF(A382="","",SUMIFS(Ingredients!$H:$H,Ingredients!$C:$C,A382))</f>
        <v/>
      </c>
      <c r="I382" s="12" t="str">
        <f aca="false">IF(A382="","",IF(G382&gt;0,IF(D382="Yes",100,0)+F382+ROW()/100000,""))</f>
        <v/>
      </c>
      <c r="J382" s="12" t="str">
        <f aca="false">IF(I382="","",COUNTIF($I$4:$I$503,"&lt;"&amp;I382)+1)</f>
        <v/>
      </c>
    </row>
    <row r="383" customFormat="false" ht="15" hidden="false" customHeight="false" outlineLevel="0" collapsed="false">
      <c r="F383" s="12" t="str">
        <f aca="false">IF(A383="","",IFERROR(MATCH(B383,Lists!$A$2:$A$15,0),99))</f>
        <v/>
      </c>
      <c r="G383" s="12" t="str">
        <f aca="false">IF(A383="","",SUMIFS(Ingredients!$G:$G,Ingredients!$C:$C,A383))</f>
        <v/>
      </c>
      <c r="H383" s="12" t="str">
        <f aca="false">IF(A383="","",SUMIFS(Ingredients!$H:$H,Ingredients!$C:$C,A383))</f>
        <v/>
      </c>
      <c r="I383" s="12" t="str">
        <f aca="false">IF(A383="","",IF(G383&gt;0,IF(D383="Yes",100,0)+F383+ROW()/100000,""))</f>
        <v/>
      </c>
      <c r="J383" s="12" t="str">
        <f aca="false">IF(I383="","",COUNTIF($I$4:$I$503,"&lt;"&amp;I383)+1)</f>
        <v/>
      </c>
    </row>
    <row r="384" customFormat="false" ht="15" hidden="false" customHeight="false" outlineLevel="0" collapsed="false">
      <c r="F384" s="12" t="str">
        <f aca="false">IF(A384="","",IFERROR(MATCH(B384,Lists!$A$2:$A$15,0),99))</f>
        <v/>
      </c>
      <c r="G384" s="12" t="str">
        <f aca="false">IF(A384="","",SUMIFS(Ingredients!$G:$G,Ingredients!$C:$C,A384))</f>
        <v/>
      </c>
      <c r="H384" s="12" t="str">
        <f aca="false">IF(A384="","",SUMIFS(Ingredients!$H:$H,Ingredients!$C:$C,A384))</f>
        <v/>
      </c>
      <c r="I384" s="12" t="str">
        <f aca="false">IF(A384="","",IF(G384&gt;0,IF(D384="Yes",100,0)+F384+ROW()/100000,""))</f>
        <v/>
      </c>
      <c r="J384" s="12" t="str">
        <f aca="false">IF(I384="","",COUNTIF($I$4:$I$503,"&lt;"&amp;I384)+1)</f>
        <v/>
      </c>
    </row>
    <row r="385" customFormat="false" ht="15" hidden="false" customHeight="false" outlineLevel="0" collapsed="false">
      <c r="F385" s="12" t="str">
        <f aca="false">IF(A385="","",IFERROR(MATCH(B385,Lists!$A$2:$A$15,0),99))</f>
        <v/>
      </c>
      <c r="G385" s="12" t="str">
        <f aca="false">IF(A385="","",SUMIFS(Ingredients!$G:$G,Ingredients!$C:$C,A385))</f>
        <v/>
      </c>
      <c r="H385" s="12" t="str">
        <f aca="false">IF(A385="","",SUMIFS(Ingredients!$H:$H,Ingredients!$C:$C,A385))</f>
        <v/>
      </c>
      <c r="I385" s="12" t="str">
        <f aca="false">IF(A385="","",IF(G385&gt;0,IF(D385="Yes",100,0)+F385+ROW()/100000,""))</f>
        <v/>
      </c>
      <c r="J385" s="12" t="str">
        <f aca="false">IF(I385="","",COUNTIF($I$4:$I$503,"&lt;"&amp;I385)+1)</f>
        <v/>
      </c>
    </row>
    <row r="386" customFormat="false" ht="15" hidden="false" customHeight="false" outlineLevel="0" collapsed="false">
      <c r="F386" s="12" t="str">
        <f aca="false">IF(A386="","",IFERROR(MATCH(B386,Lists!$A$2:$A$15,0),99))</f>
        <v/>
      </c>
      <c r="G386" s="12" t="str">
        <f aca="false">IF(A386="","",SUMIFS(Ingredients!$G:$G,Ingredients!$C:$C,A386))</f>
        <v/>
      </c>
      <c r="H386" s="12" t="str">
        <f aca="false">IF(A386="","",SUMIFS(Ingredients!$H:$H,Ingredients!$C:$C,A386))</f>
        <v/>
      </c>
      <c r="I386" s="12" t="str">
        <f aca="false">IF(A386="","",IF(G386&gt;0,IF(D386="Yes",100,0)+F386+ROW()/100000,""))</f>
        <v/>
      </c>
      <c r="J386" s="12" t="str">
        <f aca="false">IF(I386="","",COUNTIF($I$4:$I$503,"&lt;"&amp;I386)+1)</f>
        <v/>
      </c>
    </row>
    <row r="387" customFormat="false" ht="15" hidden="false" customHeight="false" outlineLevel="0" collapsed="false">
      <c r="F387" s="12" t="str">
        <f aca="false">IF(A387="","",IFERROR(MATCH(B387,Lists!$A$2:$A$15,0),99))</f>
        <v/>
      </c>
      <c r="G387" s="12" t="str">
        <f aca="false">IF(A387="","",SUMIFS(Ingredients!$G:$G,Ingredients!$C:$C,A387))</f>
        <v/>
      </c>
      <c r="H387" s="12" t="str">
        <f aca="false">IF(A387="","",SUMIFS(Ingredients!$H:$H,Ingredients!$C:$C,A387))</f>
        <v/>
      </c>
      <c r="I387" s="12" t="str">
        <f aca="false">IF(A387="","",IF(G387&gt;0,IF(D387="Yes",100,0)+F387+ROW()/100000,""))</f>
        <v/>
      </c>
      <c r="J387" s="12" t="str">
        <f aca="false">IF(I387="","",COUNTIF($I$4:$I$503,"&lt;"&amp;I387)+1)</f>
        <v/>
      </c>
    </row>
    <row r="388" customFormat="false" ht="15" hidden="false" customHeight="false" outlineLevel="0" collapsed="false">
      <c r="F388" s="12" t="str">
        <f aca="false">IF(A388="","",IFERROR(MATCH(B388,Lists!$A$2:$A$15,0),99))</f>
        <v/>
      </c>
      <c r="G388" s="12" t="str">
        <f aca="false">IF(A388="","",SUMIFS(Ingredients!$G:$G,Ingredients!$C:$C,A388))</f>
        <v/>
      </c>
      <c r="H388" s="12" t="str">
        <f aca="false">IF(A388="","",SUMIFS(Ingredients!$H:$H,Ingredients!$C:$C,A388))</f>
        <v/>
      </c>
      <c r="I388" s="12" t="str">
        <f aca="false">IF(A388="","",IF(G388&gt;0,IF(D388="Yes",100,0)+F388+ROW()/100000,""))</f>
        <v/>
      </c>
      <c r="J388" s="12" t="str">
        <f aca="false">IF(I388="","",COUNTIF($I$4:$I$503,"&lt;"&amp;I388)+1)</f>
        <v/>
      </c>
    </row>
    <row r="389" customFormat="false" ht="15" hidden="false" customHeight="false" outlineLevel="0" collapsed="false">
      <c r="F389" s="12" t="str">
        <f aca="false">IF(A389="","",IFERROR(MATCH(B389,Lists!$A$2:$A$15,0),99))</f>
        <v/>
      </c>
      <c r="G389" s="12" t="str">
        <f aca="false">IF(A389="","",SUMIFS(Ingredients!$G:$G,Ingredients!$C:$C,A389))</f>
        <v/>
      </c>
      <c r="H389" s="12" t="str">
        <f aca="false">IF(A389="","",SUMIFS(Ingredients!$H:$H,Ingredients!$C:$C,A389))</f>
        <v/>
      </c>
      <c r="I389" s="12" t="str">
        <f aca="false">IF(A389="","",IF(G389&gt;0,IF(D389="Yes",100,0)+F389+ROW()/100000,""))</f>
        <v/>
      </c>
      <c r="J389" s="12" t="str">
        <f aca="false">IF(I389="","",COUNTIF($I$4:$I$503,"&lt;"&amp;I389)+1)</f>
        <v/>
      </c>
    </row>
    <row r="390" customFormat="false" ht="15" hidden="false" customHeight="false" outlineLevel="0" collapsed="false">
      <c r="F390" s="12" t="str">
        <f aca="false">IF(A390="","",IFERROR(MATCH(B390,Lists!$A$2:$A$15,0),99))</f>
        <v/>
      </c>
      <c r="G390" s="12" t="str">
        <f aca="false">IF(A390="","",SUMIFS(Ingredients!$G:$G,Ingredients!$C:$C,A390))</f>
        <v/>
      </c>
      <c r="H390" s="12" t="str">
        <f aca="false">IF(A390="","",SUMIFS(Ingredients!$H:$H,Ingredients!$C:$C,A390))</f>
        <v/>
      </c>
      <c r="I390" s="12" t="str">
        <f aca="false">IF(A390="","",IF(G390&gt;0,IF(D390="Yes",100,0)+F390+ROW()/100000,""))</f>
        <v/>
      </c>
      <c r="J390" s="12" t="str">
        <f aca="false">IF(I390="","",COUNTIF($I$4:$I$503,"&lt;"&amp;I390)+1)</f>
        <v/>
      </c>
    </row>
    <row r="391" customFormat="false" ht="15" hidden="false" customHeight="false" outlineLevel="0" collapsed="false">
      <c r="F391" s="12" t="str">
        <f aca="false">IF(A391="","",IFERROR(MATCH(B391,Lists!$A$2:$A$15,0),99))</f>
        <v/>
      </c>
      <c r="G391" s="12" t="str">
        <f aca="false">IF(A391="","",SUMIFS(Ingredients!$G:$G,Ingredients!$C:$C,A391))</f>
        <v/>
      </c>
      <c r="H391" s="12" t="str">
        <f aca="false">IF(A391="","",SUMIFS(Ingredients!$H:$H,Ingredients!$C:$C,A391))</f>
        <v/>
      </c>
      <c r="I391" s="12" t="str">
        <f aca="false">IF(A391="","",IF(G391&gt;0,IF(D391="Yes",100,0)+F391+ROW()/100000,""))</f>
        <v/>
      </c>
      <c r="J391" s="12" t="str">
        <f aca="false">IF(I391="","",COUNTIF($I$4:$I$503,"&lt;"&amp;I391)+1)</f>
        <v/>
      </c>
    </row>
    <row r="392" customFormat="false" ht="15" hidden="false" customHeight="false" outlineLevel="0" collapsed="false">
      <c r="F392" s="12" t="str">
        <f aca="false">IF(A392="","",IFERROR(MATCH(B392,Lists!$A$2:$A$15,0),99))</f>
        <v/>
      </c>
      <c r="G392" s="12" t="str">
        <f aca="false">IF(A392="","",SUMIFS(Ingredients!$G:$G,Ingredients!$C:$C,A392))</f>
        <v/>
      </c>
      <c r="H392" s="12" t="str">
        <f aca="false">IF(A392="","",SUMIFS(Ingredients!$H:$H,Ingredients!$C:$C,A392))</f>
        <v/>
      </c>
      <c r="I392" s="12" t="str">
        <f aca="false">IF(A392="","",IF(G392&gt;0,IF(D392="Yes",100,0)+F392+ROW()/100000,""))</f>
        <v/>
      </c>
      <c r="J392" s="12" t="str">
        <f aca="false">IF(I392="","",COUNTIF($I$4:$I$503,"&lt;"&amp;I392)+1)</f>
        <v/>
      </c>
    </row>
    <row r="393" customFormat="false" ht="15" hidden="false" customHeight="false" outlineLevel="0" collapsed="false">
      <c r="F393" s="12" t="str">
        <f aca="false">IF(A393="","",IFERROR(MATCH(B393,Lists!$A$2:$A$15,0),99))</f>
        <v/>
      </c>
      <c r="G393" s="12" t="str">
        <f aca="false">IF(A393="","",SUMIFS(Ingredients!$G:$G,Ingredients!$C:$C,A393))</f>
        <v/>
      </c>
      <c r="H393" s="12" t="str">
        <f aca="false">IF(A393="","",SUMIFS(Ingredients!$H:$H,Ingredients!$C:$C,A393))</f>
        <v/>
      </c>
      <c r="I393" s="12" t="str">
        <f aca="false">IF(A393="","",IF(G393&gt;0,IF(D393="Yes",100,0)+F393+ROW()/100000,""))</f>
        <v/>
      </c>
      <c r="J393" s="12" t="str">
        <f aca="false">IF(I393="","",COUNTIF($I$4:$I$503,"&lt;"&amp;I393)+1)</f>
        <v/>
      </c>
    </row>
    <row r="394" customFormat="false" ht="15" hidden="false" customHeight="false" outlineLevel="0" collapsed="false">
      <c r="F394" s="12" t="str">
        <f aca="false">IF(A394="","",IFERROR(MATCH(B394,Lists!$A$2:$A$15,0),99))</f>
        <v/>
      </c>
      <c r="G394" s="12" t="str">
        <f aca="false">IF(A394="","",SUMIFS(Ingredients!$G:$G,Ingredients!$C:$C,A394))</f>
        <v/>
      </c>
      <c r="H394" s="12" t="str">
        <f aca="false">IF(A394="","",SUMIFS(Ingredients!$H:$H,Ingredients!$C:$C,A394))</f>
        <v/>
      </c>
      <c r="I394" s="12" t="str">
        <f aca="false">IF(A394="","",IF(G394&gt;0,IF(D394="Yes",100,0)+F394+ROW()/100000,""))</f>
        <v/>
      </c>
      <c r="J394" s="12" t="str">
        <f aca="false">IF(I394="","",COUNTIF($I$4:$I$503,"&lt;"&amp;I394)+1)</f>
        <v/>
      </c>
    </row>
    <row r="395" customFormat="false" ht="15" hidden="false" customHeight="false" outlineLevel="0" collapsed="false">
      <c r="F395" s="12" t="str">
        <f aca="false">IF(A395="","",IFERROR(MATCH(B395,Lists!$A$2:$A$15,0),99))</f>
        <v/>
      </c>
      <c r="G395" s="12" t="str">
        <f aca="false">IF(A395="","",SUMIFS(Ingredients!$G:$G,Ingredients!$C:$C,A395))</f>
        <v/>
      </c>
      <c r="H395" s="12" t="str">
        <f aca="false">IF(A395="","",SUMIFS(Ingredients!$H:$H,Ingredients!$C:$C,A395))</f>
        <v/>
      </c>
      <c r="I395" s="12" t="str">
        <f aca="false">IF(A395="","",IF(G395&gt;0,IF(D395="Yes",100,0)+F395+ROW()/100000,""))</f>
        <v/>
      </c>
      <c r="J395" s="12" t="str">
        <f aca="false">IF(I395="","",COUNTIF($I$4:$I$503,"&lt;"&amp;I395)+1)</f>
        <v/>
      </c>
    </row>
    <row r="396" customFormat="false" ht="15" hidden="false" customHeight="false" outlineLevel="0" collapsed="false">
      <c r="F396" s="12" t="str">
        <f aca="false">IF(A396="","",IFERROR(MATCH(B396,Lists!$A$2:$A$15,0),99))</f>
        <v/>
      </c>
      <c r="G396" s="12" t="str">
        <f aca="false">IF(A396="","",SUMIFS(Ingredients!$G:$G,Ingredients!$C:$C,A396))</f>
        <v/>
      </c>
      <c r="H396" s="12" t="str">
        <f aca="false">IF(A396="","",SUMIFS(Ingredients!$H:$H,Ingredients!$C:$C,A396))</f>
        <v/>
      </c>
      <c r="I396" s="12" t="str">
        <f aca="false">IF(A396="","",IF(G396&gt;0,IF(D396="Yes",100,0)+F396+ROW()/100000,""))</f>
        <v/>
      </c>
      <c r="J396" s="12" t="str">
        <f aca="false">IF(I396="","",COUNTIF($I$4:$I$503,"&lt;"&amp;I396)+1)</f>
        <v/>
      </c>
    </row>
    <row r="397" customFormat="false" ht="15" hidden="false" customHeight="false" outlineLevel="0" collapsed="false">
      <c r="F397" s="12" t="str">
        <f aca="false">IF(A397="","",IFERROR(MATCH(B397,Lists!$A$2:$A$15,0),99))</f>
        <v/>
      </c>
      <c r="G397" s="12" t="str">
        <f aca="false">IF(A397="","",SUMIFS(Ingredients!$G:$G,Ingredients!$C:$C,A397))</f>
        <v/>
      </c>
      <c r="H397" s="12" t="str">
        <f aca="false">IF(A397="","",SUMIFS(Ingredients!$H:$H,Ingredients!$C:$C,A397))</f>
        <v/>
      </c>
      <c r="I397" s="12" t="str">
        <f aca="false">IF(A397="","",IF(G397&gt;0,IF(D397="Yes",100,0)+F397+ROW()/100000,""))</f>
        <v/>
      </c>
      <c r="J397" s="12" t="str">
        <f aca="false">IF(I397="","",COUNTIF($I$4:$I$503,"&lt;"&amp;I397)+1)</f>
        <v/>
      </c>
    </row>
    <row r="398" customFormat="false" ht="15" hidden="false" customHeight="false" outlineLevel="0" collapsed="false">
      <c r="F398" s="12" t="str">
        <f aca="false">IF(A398="","",IFERROR(MATCH(B398,Lists!$A$2:$A$15,0),99))</f>
        <v/>
      </c>
      <c r="G398" s="12" t="str">
        <f aca="false">IF(A398="","",SUMIFS(Ingredients!$G:$G,Ingredients!$C:$C,A398))</f>
        <v/>
      </c>
      <c r="H398" s="12" t="str">
        <f aca="false">IF(A398="","",SUMIFS(Ingredients!$H:$H,Ingredients!$C:$C,A398))</f>
        <v/>
      </c>
      <c r="I398" s="12" t="str">
        <f aca="false">IF(A398="","",IF(G398&gt;0,IF(D398="Yes",100,0)+F398+ROW()/100000,""))</f>
        <v/>
      </c>
      <c r="J398" s="12" t="str">
        <f aca="false">IF(I398="","",COUNTIF($I$4:$I$503,"&lt;"&amp;I398)+1)</f>
        <v/>
      </c>
    </row>
    <row r="399" customFormat="false" ht="15" hidden="false" customHeight="false" outlineLevel="0" collapsed="false">
      <c r="F399" s="12" t="str">
        <f aca="false">IF(A399="","",IFERROR(MATCH(B399,Lists!$A$2:$A$15,0),99))</f>
        <v/>
      </c>
      <c r="G399" s="12" t="str">
        <f aca="false">IF(A399="","",SUMIFS(Ingredients!$G:$G,Ingredients!$C:$C,A399))</f>
        <v/>
      </c>
      <c r="H399" s="12" t="str">
        <f aca="false">IF(A399="","",SUMIFS(Ingredients!$H:$H,Ingredients!$C:$C,A399))</f>
        <v/>
      </c>
      <c r="I399" s="12" t="str">
        <f aca="false">IF(A399="","",IF(G399&gt;0,IF(D399="Yes",100,0)+F399+ROW()/100000,""))</f>
        <v/>
      </c>
      <c r="J399" s="12" t="str">
        <f aca="false">IF(I399="","",COUNTIF($I$4:$I$503,"&lt;"&amp;I399)+1)</f>
        <v/>
      </c>
    </row>
    <row r="400" customFormat="false" ht="15" hidden="false" customHeight="false" outlineLevel="0" collapsed="false">
      <c r="F400" s="12" t="str">
        <f aca="false">IF(A400="","",IFERROR(MATCH(B400,Lists!$A$2:$A$15,0),99))</f>
        <v/>
      </c>
      <c r="G400" s="12" t="str">
        <f aca="false">IF(A400="","",SUMIFS(Ingredients!$G:$G,Ingredients!$C:$C,A400))</f>
        <v/>
      </c>
      <c r="H400" s="12" t="str">
        <f aca="false">IF(A400="","",SUMIFS(Ingredients!$H:$H,Ingredients!$C:$C,A400))</f>
        <v/>
      </c>
      <c r="I400" s="12" t="str">
        <f aca="false">IF(A400="","",IF(G400&gt;0,IF(D400="Yes",100,0)+F400+ROW()/100000,""))</f>
        <v/>
      </c>
      <c r="J400" s="12" t="str">
        <f aca="false">IF(I400="","",COUNTIF($I$4:$I$503,"&lt;"&amp;I400)+1)</f>
        <v/>
      </c>
    </row>
    <row r="401" customFormat="false" ht="15" hidden="false" customHeight="false" outlineLevel="0" collapsed="false">
      <c r="F401" s="12" t="str">
        <f aca="false">IF(A401="","",IFERROR(MATCH(B401,Lists!$A$2:$A$15,0),99))</f>
        <v/>
      </c>
      <c r="G401" s="12" t="str">
        <f aca="false">IF(A401="","",SUMIFS(Ingredients!$G:$G,Ingredients!$C:$C,A401))</f>
        <v/>
      </c>
      <c r="H401" s="12" t="str">
        <f aca="false">IF(A401="","",SUMIFS(Ingredients!$H:$H,Ingredients!$C:$C,A401))</f>
        <v/>
      </c>
      <c r="I401" s="12" t="str">
        <f aca="false">IF(A401="","",IF(G401&gt;0,IF(D401="Yes",100,0)+F401+ROW()/100000,""))</f>
        <v/>
      </c>
      <c r="J401" s="12" t="str">
        <f aca="false">IF(I401="","",COUNTIF($I$4:$I$503,"&lt;"&amp;I401)+1)</f>
        <v/>
      </c>
    </row>
    <row r="402" customFormat="false" ht="15" hidden="false" customHeight="false" outlineLevel="0" collapsed="false">
      <c r="F402" s="12" t="str">
        <f aca="false">IF(A402="","",IFERROR(MATCH(B402,Lists!$A$2:$A$15,0),99))</f>
        <v/>
      </c>
      <c r="G402" s="12" t="str">
        <f aca="false">IF(A402="","",SUMIFS(Ingredients!$G:$G,Ingredients!$C:$C,A402))</f>
        <v/>
      </c>
      <c r="H402" s="12" t="str">
        <f aca="false">IF(A402="","",SUMIFS(Ingredients!$H:$H,Ingredients!$C:$C,A402))</f>
        <v/>
      </c>
      <c r="I402" s="12" t="str">
        <f aca="false">IF(A402="","",IF(G402&gt;0,IF(D402="Yes",100,0)+F402+ROW()/100000,""))</f>
        <v/>
      </c>
      <c r="J402" s="12" t="str">
        <f aca="false">IF(I402="","",COUNTIF($I$4:$I$503,"&lt;"&amp;I402)+1)</f>
        <v/>
      </c>
    </row>
    <row r="403" customFormat="false" ht="15" hidden="false" customHeight="false" outlineLevel="0" collapsed="false">
      <c r="F403" s="12" t="str">
        <f aca="false">IF(A403="","",IFERROR(MATCH(B403,Lists!$A$2:$A$15,0),99))</f>
        <v/>
      </c>
      <c r="G403" s="12" t="str">
        <f aca="false">IF(A403="","",SUMIFS(Ingredients!$G:$G,Ingredients!$C:$C,A403))</f>
        <v/>
      </c>
      <c r="H403" s="12" t="str">
        <f aca="false">IF(A403="","",SUMIFS(Ingredients!$H:$H,Ingredients!$C:$C,A403))</f>
        <v/>
      </c>
      <c r="I403" s="12" t="str">
        <f aca="false">IF(A403="","",IF(G403&gt;0,IF(D403="Yes",100,0)+F403+ROW()/100000,""))</f>
        <v/>
      </c>
      <c r="J403" s="12" t="str">
        <f aca="false">IF(I403="","",COUNTIF($I$4:$I$503,"&lt;"&amp;I403)+1)</f>
        <v/>
      </c>
    </row>
    <row r="404" customFormat="false" ht="15" hidden="false" customHeight="false" outlineLevel="0" collapsed="false">
      <c r="F404" s="12" t="str">
        <f aca="false">IF(A404="","",IFERROR(MATCH(B404,Lists!$A$2:$A$15,0),99))</f>
        <v/>
      </c>
      <c r="G404" s="12" t="str">
        <f aca="false">IF(A404="","",SUMIFS(Ingredients!$G:$G,Ingredients!$C:$C,A404))</f>
        <v/>
      </c>
      <c r="H404" s="12" t="str">
        <f aca="false">IF(A404="","",SUMIFS(Ingredients!$H:$H,Ingredients!$C:$C,A404))</f>
        <v/>
      </c>
      <c r="I404" s="12" t="str">
        <f aca="false">IF(A404="","",IF(G404&gt;0,IF(D404="Yes",100,0)+F404+ROW()/100000,""))</f>
        <v/>
      </c>
      <c r="J404" s="12" t="str">
        <f aca="false">IF(I404="","",COUNTIF($I$4:$I$503,"&lt;"&amp;I404)+1)</f>
        <v/>
      </c>
    </row>
    <row r="405" customFormat="false" ht="15" hidden="false" customHeight="false" outlineLevel="0" collapsed="false">
      <c r="F405" s="12" t="str">
        <f aca="false">IF(A405="","",IFERROR(MATCH(B405,Lists!$A$2:$A$15,0),99))</f>
        <v/>
      </c>
      <c r="G405" s="12" t="str">
        <f aca="false">IF(A405="","",SUMIFS(Ingredients!$G:$G,Ingredients!$C:$C,A405))</f>
        <v/>
      </c>
      <c r="H405" s="12" t="str">
        <f aca="false">IF(A405="","",SUMIFS(Ingredients!$H:$H,Ingredients!$C:$C,A405))</f>
        <v/>
      </c>
      <c r="I405" s="12" t="str">
        <f aca="false">IF(A405="","",IF(G405&gt;0,IF(D405="Yes",100,0)+F405+ROW()/100000,""))</f>
        <v/>
      </c>
      <c r="J405" s="12" t="str">
        <f aca="false">IF(I405="","",COUNTIF($I$4:$I$503,"&lt;"&amp;I405)+1)</f>
        <v/>
      </c>
    </row>
    <row r="406" customFormat="false" ht="15" hidden="false" customHeight="false" outlineLevel="0" collapsed="false">
      <c r="F406" s="12" t="str">
        <f aca="false">IF(A406="","",IFERROR(MATCH(B406,Lists!$A$2:$A$15,0),99))</f>
        <v/>
      </c>
      <c r="G406" s="12" t="str">
        <f aca="false">IF(A406="","",SUMIFS(Ingredients!$G:$G,Ingredients!$C:$C,A406))</f>
        <v/>
      </c>
      <c r="H406" s="12" t="str">
        <f aca="false">IF(A406="","",SUMIFS(Ingredients!$H:$H,Ingredients!$C:$C,A406))</f>
        <v/>
      </c>
      <c r="I406" s="12" t="str">
        <f aca="false">IF(A406="","",IF(G406&gt;0,IF(D406="Yes",100,0)+F406+ROW()/100000,""))</f>
        <v/>
      </c>
      <c r="J406" s="12" t="str">
        <f aca="false">IF(I406="","",COUNTIF($I$4:$I$503,"&lt;"&amp;I406)+1)</f>
        <v/>
      </c>
    </row>
    <row r="407" customFormat="false" ht="15" hidden="false" customHeight="false" outlineLevel="0" collapsed="false">
      <c r="F407" s="12" t="str">
        <f aca="false">IF(A407="","",IFERROR(MATCH(B407,Lists!$A$2:$A$15,0),99))</f>
        <v/>
      </c>
      <c r="G407" s="12" t="str">
        <f aca="false">IF(A407="","",SUMIFS(Ingredients!$G:$G,Ingredients!$C:$C,A407))</f>
        <v/>
      </c>
      <c r="H407" s="12" t="str">
        <f aca="false">IF(A407="","",SUMIFS(Ingredients!$H:$H,Ingredients!$C:$C,A407))</f>
        <v/>
      </c>
      <c r="I407" s="12" t="str">
        <f aca="false">IF(A407="","",IF(G407&gt;0,IF(D407="Yes",100,0)+F407+ROW()/100000,""))</f>
        <v/>
      </c>
      <c r="J407" s="12" t="str">
        <f aca="false">IF(I407="","",COUNTIF($I$4:$I$503,"&lt;"&amp;I407)+1)</f>
        <v/>
      </c>
    </row>
    <row r="408" customFormat="false" ht="15" hidden="false" customHeight="false" outlineLevel="0" collapsed="false">
      <c r="F408" s="12" t="str">
        <f aca="false">IF(A408="","",IFERROR(MATCH(B408,Lists!$A$2:$A$15,0),99))</f>
        <v/>
      </c>
      <c r="G408" s="12" t="str">
        <f aca="false">IF(A408="","",SUMIFS(Ingredients!$G:$G,Ingredients!$C:$C,A408))</f>
        <v/>
      </c>
      <c r="H408" s="12" t="str">
        <f aca="false">IF(A408="","",SUMIFS(Ingredients!$H:$H,Ingredients!$C:$C,A408))</f>
        <v/>
      </c>
      <c r="I408" s="12" t="str">
        <f aca="false">IF(A408="","",IF(G408&gt;0,IF(D408="Yes",100,0)+F408+ROW()/100000,""))</f>
        <v/>
      </c>
      <c r="J408" s="12" t="str">
        <f aca="false">IF(I408="","",COUNTIF($I$4:$I$503,"&lt;"&amp;I408)+1)</f>
        <v/>
      </c>
    </row>
    <row r="409" customFormat="false" ht="15" hidden="false" customHeight="false" outlineLevel="0" collapsed="false">
      <c r="F409" s="12" t="str">
        <f aca="false">IF(A409="","",IFERROR(MATCH(B409,Lists!$A$2:$A$15,0),99))</f>
        <v/>
      </c>
      <c r="G409" s="12" t="str">
        <f aca="false">IF(A409="","",SUMIFS(Ingredients!$G:$G,Ingredients!$C:$C,A409))</f>
        <v/>
      </c>
      <c r="H409" s="12" t="str">
        <f aca="false">IF(A409="","",SUMIFS(Ingredients!$H:$H,Ingredients!$C:$C,A409))</f>
        <v/>
      </c>
      <c r="I409" s="12" t="str">
        <f aca="false">IF(A409="","",IF(G409&gt;0,IF(D409="Yes",100,0)+F409+ROW()/100000,""))</f>
        <v/>
      </c>
      <c r="J409" s="12" t="str">
        <f aca="false">IF(I409="","",COUNTIF($I$4:$I$503,"&lt;"&amp;I409)+1)</f>
        <v/>
      </c>
    </row>
    <row r="410" customFormat="false" ht="15" hidden="false" customHeight="false" outlineLevel="0" collapsed="false">
      <c r="F410" s="12" t="str">
        <f aca="false">IF(A410="","",IFERROR(MATCH(B410,Lists!$A$2:$A$15,0),99))</f>
        <v/>
      </c>
      <c r="G410" s="12" t="str">
        <f aca="false">IF(A410="","",SUMIFS(Ingredients!$G:$G,Ingredients!$C:$C,A410))</f>
        <v/>
      </c>
      <c r="H410" s="12" t="str">
        <f aca="false">IF(A410="","",SUMIFS(Ingredients!$H:$H,Ingredients!$C:$C,A410))</f>
        <v/>
      </c>
      <c r="I410" s="12" t="str">
        <f aca="false">IF(A410="","",IF(G410&gt;0,IF(D410="Yes",100,0)+F410+ROW()/100000,""))</f>
        <v/>
      </c>
      <c r="J410" s="12" t="str">
        <f aca="false">IF(I410="","",COUNTIF($I$4:$I$503,"&lt;"&amp;I410)+1)</f>
        <v/>
      </c>
    </row>
    <row r="411" customFormat="false" ht="15" hidden="false" customHeight="false" outlineLevel="0" collapsed="false">
      <c r="F411" s="12" t="str">
        <f aca="false">IF(A411="","",IFERROR(MATCH(B411,Lists!$A$2:$A$15,0),99))</f>
        <v/>
      </c>
      <c r="G411" s="12" t="str">
        <f aca="false">IF(A411="","",SUMIFS(Ingredients!$G:$G,Ingredients!$C:$C,A411))</f>
        <v/>
      </c>
      <c r="H411" s="12" t="str">
        <f aca="false">IF(A411="","",SUMIFS(Ingredients!$H:$H,Ingredients!$C:$C,A411))</f>
        <v/>
      </c>
      <c r="I411" s="12" t="str">
        <f aca="false">IF(A411="","",IF(G411&gt;0,IF(D411="Yes",100,0)+F411+ROW()/100000,""))</f>
        <v/>
      </c>
      <c r="J411" s="12" t="str">
        <f aca="false">IF(I411="","",COUNTIF($I$4:$I$503,"&lt;"&amp;I411)+1)</f>
        <v/>
      </c>
    </row>
    <row r="412" customFormat="false" ht="15" hidden="false" customHeight="false" outlineLevel="0" collapsed="false">
      <c r="F412" s="12" t="str">
        <f aca="false">IF(A412="","",IFERROR(MATCH(B412,Lists!$A$2:$A$15,0),99))</f>
        <v/>
      </c>
      <c r="G412" s="12" t="str">
        <f aca="false">IF(A412="","",SUMIFS(Ingredients!$G:$G,Ingredients!$C:$C,A412))</f>
        <v/>
      </c>
      <c r="H412" s="12" t="str">
        <f aca="false">IF(A412="","",SUMIFS(Ingredients!$H:$H,Ingredients!$C:$C,A412))</f>
        <v/>
      </c>
      <c r="I412" s="12" t="str">
        <f aca="false">IF(A412="","",IF(G412&gt;0,IF(D412="Yes",100,0)+F412+ROW()/100000,""))</f>
        <v/>
      </c>
      <c r="J412" s="12" t="str">
        <f aca="false">IF(I412="","",COUNTIF($I$4:$I$503,"&lt;"&amp;I412)+1)</f>
        <v/>
      </c>
    </row>
    <row r="413" customFormat="false" ht="15" hidden="false" customHeight="false" outlineLevel="0" collapsed="false">
      <c r="F413" s="12" t="str">
        <f aca="false">IF(A413="","",IFERROR(MATCH(B413,Lists!$A$2:$A$15,0),99))</f>
        <v/>
      </c>
      <c r="G413" s="12" t="str">
        <f aca="false">IF(A413="","",SUMIFS(Ingredients!$G:$G,Ingredients!$C:$C,A413))</f>
        <v/>
      </c>
      <c r="H413" s="12" t="str">
        <f aca="false">IF(A413="","",SUMIFS(Ingredients!$H:$H,Ingredients!$C:$C,A413))</f>
        <v/>
      </c>
      <c r="I413" s="12" t="str">
        <f aca="false">IF(A413="","",IF(G413&gt;0,IF(D413="Yes",100,0)+F413+ROW()/100000,""))</f>
        <v/>
      </c>
      <c r="J413" s="12" t="str">
        <f aca="false">IF(I413="","",COUNTIF($I$4:$I$503,"&lt;"&amp;I413)+1)</f>
        <v/>
      </c>
    </row>
    <row r="414" customFormat="false" ht="15" hidden="false" customHeight="false" outlineLevel="0" collapsed="false">
      <c r="F414" s="12" t="str">
        <f aca="false">IF(A414="","",IFERROR(MATCH(B414,Lists!$A$2:$A$15,0),99))</f>
        <v/>
      </c>
      <c r="G414" s="12" t="str">
        <f aca="false">IF(A414="","",SUMIFS(Ingredients!$G:$G,Ingredients!$C:$C,A414))</f>
        <v/>
      </c>
      <c r="H414" s="12" t="str">
        <f aca="false">IF(A414="","",SUMIFS(Ingredients!$H:$H,Ingredients!$C:$C,A414))</f>
        <v/>
      </c>
      <c r="I414" s="12" t="str">
        <f aca="false">IF(A414="","",IF(G414&gt;0,IF(D414="Yes",100,0)+F414+ROW()/100000,""))</f>
        <v/>
      </c>
      <c r="J414" s="12" t="str">
        <f aca="false">IF(I414="","",COUNTIF($I$4:$I$503,"&lt;"&amp;I414)+1)</f>
        <v/>
      </c>
    </row>
    <row r="415" customFormat="false" ht="15" hidden="false" customHeight="false" outlineLevel="0" collapsed="false">
      <c r="F415" s="12" t="str">
        <f aca="false">IF(A415="","",IFERROR(MATCH(B415,Lists!$A$2:$A$15,0),99))</f>
        <v/>
      </c>
      <c r="G415" s="12" t="str">
        <f aca="false">IF(A415="","",SUMIFS(Ingredients!$G:$G,Ingredients!$C:$C,A415))</f>
        <v/>
      </c>
      <c r="H415" s="12" t="str">
        <f aca="false">IF(A415="","",SUMIFS(Ingredients!$H:$H,Ingredients!$C:$C,A415))</f>
        <v/>
      </c>
      <c r="I415" s="12" t="str">
        <f aca="false">IF(A415="","",IF(G415&gt;0,IF(D415="Yes",100,0)+F415+ROW()/100000,""))</f>
        <v/>
      </c>
      <c r="J415" s="12" t="str">
        <f aca="false">IF(I415="","",COUNTIF($I$4:$I$503,"&lt;"&amp;I415)+1)</f>
        <v/>
      </c>
    </row>
    <row r="416" customFormat="false" ht="15" hidden="false" customHeight="false" outlineLevel="0" collapsed="false">
      <c r="F416" s="12" t="str">
        <f aca="false">IF(A416="","",IFERROR(MATCH(B416,Lists!$A$2:$A$15,0),99))</f>
        <v/>
      </c>
      <c r="G416" s="12" t="str">
        <f aca="false">IF(A416="","",SUMIFS(Ingredients!$G:$G,Ingredients!$C:$C,A416))</f>
        <v/>
      </c>
      <c r="H416" s="12" t="str">
        <f aca="false">IF(A416="","",SUMIFS(Ingredients!$H:$H,Ingredients!$C:$C,A416))</f>
        <v/>
      </c>
      <c r="I416" s="12" t="str">
        <f aca="false">IF(A416="","",IF(G416&gt;0,IF(D416="Yes",100,0)+F416+ROW()/100000,""))</f>
        <v/>
      </c>
      <c r="J416" s="12" t="str">
        <f aca="false">IF(I416="","",COUNTIF($I$4:$I$503,"&lt;"&amp;I416)+1)</f>
        <v/>
      </c>
    </row>
    <row r="417" customFormat="false" ht="15" hidden="false" customHeight="false" outlineLevel="0" collapsed="false">
      <c r="F417" s="12" t="str">
        <f aca="false">IF(A417="","",IFERROR(MATCH(B417,Lists!$A$2:$A$15,0),99))</f>
        <v/>
      </c>
      <c r="G417" s="12" t="str">
        <f aca="false">IF(A417="","",SUMIFS(Ingredients!$G:$G,Ingredients!$C:$C,A417))</f>
        <v/>
      </c>
      <c r="H417" s="12" t="str">
        <f aca="false">IF(A417="","",SUMIFS(Ingredients!$H:$H,Ingredients!$C:$C,A417))</f>
        <v/>
      </c>
      <c r="I417" s="12" t="str">
        <f aca="false">IF(A417="","",IF(G417&gt;0,IF(D417="Yes",100,0)+F417+ROW()/100000,""))</f>
        <v/>
      </c>
      <c r="J417" s="12" t="str">
        <f aca="false">IF(I417="","",COUNTIF($I$4:$I$503,"&lt;"&amp;I417)+1)</f>
        <v/>
      </c>
    </row>
    <row r="418" customFormat="false" ht="15" hidden="false" customHeight="false" outlineLevel="0" collapsed="false">
      <c r="F418" s="12" t="str">
        <f aca="false">IF(A418="","",IFERROR(MATCH(B418,Lists!$A$2:$A$15,0),99))</f>
        <v/>
      </c>
      <c r="G418" s="12" t="str">
        <f aca="false">IF(A418="","",SUMIFS(Ingredients!$G:$G,Ingredients!$C:$C,A418))</f>
        <v/>
      </c>
      <c r="H418" s="12" t="str">
        <f aca="false">IF(A418="","",SUMIFS(Ingredients!$H:$H,Ingredients!$C:$C,A418))</f>
        <v/>
      </c>
      <c r="I418" s="12" t="str">
        <f aca="false">IF(A418="","",IF(G418&gt;0,IF(D418="Yes",100,0)+F418+ROW()/100000,""))</f>
        <v/>
      </c>
      <c r="J418" s="12" t="str">
        <f aca="false">IF(I418="","",COUNTIF($I$4:$I$503,"&lt;"&amp;I418)+1)</f>
        <v/>
      </c>
    </row>
    <row r="419" customFormat="false" ht="15" hidden="false" customHeight="false" outlineLevel="0" collapsed="false">
      <c r="F419" s="12" t="str">
        <f aca="false">IF(A419="","",IFERROR(MATCH(B419,Lists!$A$2:$A$15,0),99))</f>
        <v/>
      </c>
      <c r="G419" s="12" t="str">
        <f aca="false">IF(A419="","",SUMIFS(Ingredients!$G:$G,Ingredients!$C:$C,A419))</f>
        <v/>
      </c>
      <c r="H419" s="12" t="str">
        <f aca="false">IF(A419="","",SUMIFS(Ingredients!$H:$H,Ingredients!$C:$C,A419))</f>
        <v/>
      </c>
      <c r="I419" s="12" t="str">
        <f aca="false">IF(A419="","",IF(G419&gt;0,IF(D419="Yes",100,0)+F419+ROW()/100000,""))</f>
        <v/>
      </c>
      <c r="J419" s="12" t="str">
        <f aca="false">IF(I419="","",COUNTIF($I$4:$I$503,"&lt;"&amp;I419)+1)</f>
        <v/>
      </c>
    </row>
    <row r="420" customFormat="false" ht="15" hidden="false" customHeight="false" outlineLevel="0" collapsed="false">
      <c r="F420" s="12" t="str">
        <f aca="false">IF(A420="","",IFERROR(MATCH(B420,Lists!$A$2:$A$15,0),99))</f>
        <v/>
      </c>
      <c r="G420" s="12" t="str">
        <f aca="false">IF(A420="","",SUMIFS(Ingredients!$G:$G,Ingredients!$C:$C,A420))</f>
        <v/>
      </c>
      <c r="H420" s="12" t="str">
        <f aca="false">IF(A420="","",SUMIFS(Ingredients!$H:$H,Ingredients!$C:$C,A420))</f>
        <v/>
      </c>
      <c r="I420" s="12" t="str">
        <f aca="false">IF(A420="","",IF(G420&gt;0,IF(D420="Yes",100,0)+F420+ROW()/100000,""))</f>
        <v/>
      </c>
      <c r="J420" s="12" t="str">
        <f aca="false">IF(I420="","",COUNTIF($I$4:$I$503,"&lt;"&amp;I420)+1)</f>
        <v/>
      </c>
    </row>
    <row r="421" customFormat="false" ht="15" hidden="false" customHeight="false" outlineLevel="0" collapsed="false">
      <c r="F421" s="12" t="str">
        <f aca="false">IF(A421="","",IFERROR(MATCH(B421,Lists!$A$2:$A$15,0),99))</f>
        <v/>
      </c>
      <c r="G421" s="12" t="str">
        <f aca="false">IF(A421="","",SUMIFS(Ingredients!$G:$G,Ingredients!$C:$C,A421))</f>
        <v/>
      </c>
      <c r="H421" s="12" t="str">
        <f aca="false">IF(A421="","",SUMIFS(Ingredients!$H:$H,Ingredients!$C:$C,A421))</f>
        <v/>
      </c>
      <c r="I421" s="12" t="str">
        <f aca="false">IF(A421="","",IF(G421&gt;0,IF(D421="Yes",100,0)+F421+ROW()/100000,""))</f>
        <v/>
      </c>
      <c r="J421" s="12" t="str">
        <f aca="false">IF(I421="","",COUNTIF($I$4:$I$503,"&lt;"&amp;I421)+1)</f>
        <v/>
      </c>
    </row>
    <row r="422" customFormat="false" ht="15" hidden="false" customHeight="false" outlineLevel="0" collapsed="false">
      <c r="F422" s="12" t="str">
        <f aca="false">IF(A422="","",IFERROR(MATCH(B422,Lists!$A$2:$A$15,0),99))</f>
        <v/>
      </c>
      <c r="G422" s="12" t="str">
        <f aca="false">IF(A422="","",SUMIFS(Ingredients!$G:$G,Ingredients!$C:$C,A422))</f>
        <v/>
      </c>
      <c r="H422" s="12" t="str">
        <f aca="false">IF(A422="","",SUMIFS(Ingredients!$H:$H,Ingredients!$C:$C,A422))</f>
        <v/>
      </c>
      <c r="I422" s="12" t="str">
        <f aca="false">IF(A422="","",IF(G422&gt;0,IF(D422="Yes",100,0)+F422+ROW()/100000,""))</f>
        <v/>
      </c>
      <c r="J422" s="12" t="str">
        <f aca="false">IF(I422="","",COUNTIF($I$4:$I$503,"&lt;"&amp;I422)+1)</f>
        <v/>
      </c>
    </row>
    <row r="423" customFormat="false" ht="15" hidden="false" customHeight="false" outlineLevel="0" collapsed="false">
      <c r="F423" s="12" t="str">
        <f aca="false">IF(A423="","",IFERROR(MATCH(B423,Lists!$A$2:$A$15,0),99))</f>
        <v/>
      </c>
      <c r="G423" s="12" t="str">
        <f aca="false">IF(A423="","",SUMIFS(Ingredients!$G:$G,Ingredients!$C:$C,A423))</f>
        <v/>
      </c>
      <c r="H423" s="12" t="str">
        <f aca="false">IF(A423="","",SUMIFS(Ingredients!$H:$H,Ingredients!$C:$C,A423))</f>
        <v/>
      </c>
      <c r="I423" s="12" t="str">
        <f aca="false">IF(A423="","",IF(G423&gt;0,IF(D423="Yes",100,0)+F423+ROW()/100000,""))</f>
        <v/>
      </c>
      <c r="J423" s="12" t="str">
        <f aca="false">IF(I423="","",COUNTIF($I$4:$I$503,"&lt;"&amp;I423)+1)</f>
        <v/>
      </c>
    </row>
    <row r="424" customFormat="false" ht="15" hidden="false" customHeight="false" outlineLevel="0" collapsed="false">
      <c r="F424" s="12" t="str">
        <f aca="false">IF(A424="","",IFERROR(MATCH(B424,Lists!$A$2:$A$15,0),99))</f>
        <v/>
      </c>
      <c r="G424" s="12" t="str">
        <f aca="false">IF(A424="","",SUMIFS(Ingredients!$G:$G,Ingredients!$C:$C,A424))</f>
        <v/>
      </c>
      <c r="H424" s="12" t="str">
        <f aca="false">IF(A424="","",SUMIFS(Ingredients!$H:$H,Ingredients!$C:$C,A424))</f>
        <v/>
      </c>
      <c r="I424" s="12" t="str">
        <f aca="false">IF(A424="","",IF(G424&gt;0,IF(D424="Yes",100,0)+F424+ROW()/100000,""))</f>
        <v/>
      </c>
      <c r="J424" s="12" t="str">
        <f aca="false">IF(I424="","",COUNTIF($I$4:$I$503,"&lt;"&amp;I424)+1)</f>
        <v/>
      </c>
    </row>
    <row r="425" customFormat="false" ht="15" hidden="false" customHeight="false" outlineLevel="0" collapsed="false">
      <c r="F425" s="12" t="str">
        <f aca="false">IF(A425="","",IFERROR(MATCH(B425,Lists!$A$2:$A$15,0),99))</f>
        <v/>
      </c>
      <c r="G425" s="12" t="str">
        <f aca="false">IF(A425="","",SUMIFS(Ingredients!$G:$G,Ingredients!$C:$C,A425))</f>
        <v/>
      </c>
      <c r="H425" s="12" t="str">
        <f aca="false">IF(A425="","",SUMIFS(Ingredients!$H:$H,Ingredients!$C:$C,A425))</f>
        <v/>
      </c>
      <c r="I425" s="12" t="str">
        <f aca="false">IF(A425="","",IF(G425&gt;0,IF(D425="Yes",100,0)+F425+ROW()/100000,""))</f>
        <v/>
      </c>
      <c r="J425" s="12" t="str">
        <f aca="false">IF(I425="","",COUNTIF($I$4:$I$503,"&lt;"&amp;I425)+1)</f>
        <v/>
      </c>
    </row>
    <row r="426" customFormat="false" ht="15" hidden="false" customHeight="false" outlineLevel="0" collapsed="false">
      <c r="F426" s="12" t="str">
        <f aca="false">IF(A426="","",IFERROR(MATCH(B426,Lists!$A$2:$A$15,0),99))</f>
        <v/>
      </c>
      <c r="G426" s="12" t="str">
        <f aca="false">IF(A426="","",SUMIFS(Ingredients!$G:$G,Ingredients!$C:$C,A426))</f>
        <v/>
      </c>
      <c r="H426" s="12" t="str">
        <f aca="false">IF(A426="","",SUMIFS(Ingredients!$H:$H,Ingredients!$C:$C,A426))</f>
        <v/>
      </c>
      <c r="I426" s="12" t="str">
        <f aca="false">IF(A426="","",IF(G426&gt;0,IF(D426="Yes",100,0)+F426+ROW()/100000,""))</f>
        <v/>
      </c>
      <c r="J426" s="12" t="str">
        <f aca="false">IF(I426="","",COUNTIF($I$4:$I$503,"&lt;"&amp;I426)+1)</f>
        <v/>
      </c>
    </row>
    <row r="427" customFormat="false" ht="15" hidden="false" customHeight="false" outlineLevel="0" collapsed="false">
      <c r="F427" s="12" t="str">
        <f aca="false">IF(A427="","",IFERROR(MATCH(B427,Lists!$A$2:$A$15,0),99))</f>
        <v/>
      </c>
      <c r="G427" s="12" t="str">
        <f aca="false">IF(A427="","",SUMIFS(Ingredients!$G:$G,Ingredients!$C:$C,A427))</f>
        <v/>
      </c>
      <c r="H427" s="12" t="str">
        <f aca="false">IF(A427="","",SUMIFS(Ingredients!$H:$H,Ingredients!$C:$C,A427))</f>
        <v/>
      </c>
      <c r="I427" s="12" t="str">
        <f aca="false">IF(A427="","",IF(G427&gt;0,IF(D427="Yes",100,0)+F427+ROW()/100000,""))</f>
        <v/>
      </c>
      <c r="J427" s="12" t="str">
        <f aca="false">IF(I427="","",COUNTIF($I$4:$I$503,"&lt;"&amp;I427)+1)</f>
        <v/>
      </c>
    </row>
    <row r="428" customFormat="false" ht="15" hidden="false" customHeight="false" outlineLevel="0" collapsed="false">
      <c r="F428" s="12" t="str">
        <f aca="false">IF(A428="","",IFERROR(MATCH(B428,Lists!$A$2:$A$15,0),99))</f>
        <v/>
      </c>
      <c r="G428" s="12" t="str">
        <f aca="false">IF(A428="","",SUMIFS(Ingredients!$G:$G,Ingredients!$C:$C,A428))</f>
        <v/>
      </c>
      <c r="H428" s="12" t="str">
        <f aca="false">IF(A428="","",SUMIFS(Ingredients!$H:$H,Ingredients!$C:$C,A428))</f>
        <v/>
      </c>
      <c r="I428" s="12" t="str">
        <f aca="false">IF(A428="","",IF(G428&gt;0,IF(D428="Yes",100,0)+F428+ROW()/100000,""))</f>
        <v/>
      </c>
      <c r="J428" s="12" t="str">
        <f aca="false">IF(I428="","",COUNTIF($I$4:$I$503,"&lt;"&amp;I428)+1)</f>
        <v/>
      </c>
    </row>
    <row r="429" customFormat="false" ht="15" hidden="false" customHeight="false" outlineLevel="0" collapsed="false">
      <c r="F429" s="12" t="str">
        <f aca="false">IF(A429="","",IFERROR(MATCH(B429,Lists!$A$2:$A$15,0),99))</f>
        <v/>
      </c>
      <c r="G429" s="12" t="str">
        <f aca="false">IF(A429="","",SUMIFS(Ingredients!$G:$G,Ingredients!$C:$C,A429))</f>
        <v/>
      </c>
      <c r="H429" s="12" t="str">
        <f aca="false">IF(A429="","",SUMIFS(Ingredients!$H:$H,Ingredients!$C:$C,A429))</f>
        <v/>
      </c>
      <c r="I429" s="12" t="str">
        <f aca="false">IF(A429="","",IF(G429&gt;0,IF(D429="Yes",100,0)+F429+ROW()/100000,""))</f>
        <v/>
      </c>
      <c r="J429" s="12" t="str">
        <f aca="false">IF(I429="","",COUNTIF($I$4:$I$503,"&lt;"&amp;I429)+1)</f>
        <v/>
      </c>
    </row>
    <row r="430" customFormat="false" ht="15" hidden="false" customHeight="false" outlineLevel="0" collapsed="false">
      <c r="F430" s="12" t="str">
        <f aca="false">IF(A430="","",IFERROR(MATCH(B430,Lists!$A$2:$A$15,0),99))</f>
        <v/>
      </c>
      <c r="G430" s="12" t="str">
        <f aca="false">IF(A430="","",SUMIFS(Ingredients!$G:$G,Ingredients!$C:$C,A430))</f>
        <v/>
      </c>
      <c r="H430" s="12" t="str">
        <f aca="false">IF(A430="","",SUMIFS(Ingredients!$H:$H,Ingredients!$C:$C,A430))</f>
        <v/>
      </c>
      <c r="I430" s="12" t="str">
        <f aca="false">IF(A430="","",IF(G430&gt;0,IF(D430="Yes",100,0)+F430+ROW()/100000,""))</f>
        <v/>
      </c>
      <c r="J430" s="12" t="str">
        <f aca="false">IF(I430="","",COUNTIF($I$4:$I$503,"&lt;"&amp;I430)+1)</f>
        <v/>
      </c>
    </row>
    <row r="431" customFormat="false" ht="15" hidden="false" customHeight="false" outlineLevel="0" collapsed="false">
      <c r="F431" s="12" t="str">
        <f aca="false">IF(A431="","",IFERROR(MATCH(B431,Lists!$A$2:$A$15,0),99))</f>
        <v/>
      </c>
      <c r="G431" s="12" t="str">
        <f aca="false">IF(A431="","",SUMIFS(Ingredients!$G:$G,Ingredients!$C:$C,A431))</f>
        <v/>
      </c>
      <c r="H431" s="12" t="str">
        <f aca="false">IF(A431="","",SUMIFS(Ingredients!$H:$H,Ingredients!$C:$C,A431))</f>
        <v/>
      </c>
      <c r="I431" s="12" t="str">
        <f aca="false">IF(A431="","",IF(G431&gt;0,IF(D431="Yes",100,0)+F431+ROW()/100000,""))</f>
        <v/>
      </c>
      <c r="J431" s="12" t="str">
        <f aca="false">IF(I431="","",COUNTIF($I$4:$I$503,"&lt;"&amp;I431)+1)</f>
        <v/>
      </c>
    </row>
    <row r="432" customFormat="false" ht="15" hidden="false" customHeight="false" outlineLevel="0" collapsed="false">
      <c r="F432" s="12" t="str">
        <f aca="false">IF(A432="","",IFERROR(MATCH(B432,Lists!$A$2:$A$15,0),99))</f>
        <v/>
      </c>
      <c r="G432" s="12" t="str">
        <f aca="false">IF(A432="","",SUMIFS(Ingredients!$G:$G,Ingredients!$C:$C,A432))</f>
        <v/>
      </c>
      <c r="H432" s="12" t="str">
        <f aca="false">IF(A432="","",SUMIFS(Ingredients!$H:$H,Ingredients!$C:$C,A432))</f>
        <v/>
      </c>
      <c r="I432" s="12" t="str">
        <f aca="false">IF(A432="","",IF(G432&gt;0,IF(D432="Yes",100,0)+F432+ROW()/100000,""))</f>
        <v/>
      </c>
      <c r="J432" s="12" t="str">
        <f aca="false">IF(I432="","",COUNTIF($I$4:$I$503,"&lt;"&amp;I432)+1)</f>
        <v/>
      </c>
    </row>
    <row r="433" customFormat="false" ht="15" hidden="false" customHeight="false" outlineLevel="0" collapsed="false">
      <c r="F433" s="12" t="str">
        <f aca="false">IF(A433="","",IFERROR(MATCH(B433,Lists!$A$2:$A$15,0),99))</f>
        <v/>
      </c>
      <c r="G433" s="12" t="str">
        <f aca="false">IF(A433="","",SUMIFS(Ingredients!$G:$G,Ingredients!$C:$C,A433))</f>
        <v/>
      </c>
      <c r="H433" s="12" t="str">
        <f aca="false">IF(A433="","",SUMIFS(Ingredients!$H:$H,Ingredients!$C:$C,A433))</f>
        <v/>
      </c>
      <c r="I433" s="12" t="str">
        <f aca="false">IF(A433="","",IF(G433&gt;0,IF(D433="Yes",100,0)+F433+ROW()/100000,""))</f>
        <v/>
      </c>
      <c r="J433" s="12" t="str">
        <f aca="false">IF(I433="","",COUNTIF($I$4:$I$503,"&lt;"&amp;I433)+1)</f>
        <v/>
      </c>
    </row>
    <row r="434" customFormat="false" ht="15" hidden="false" customHeight="false" outlineLevel="0" collapsed="false">
      <c r="F434" s="12" t="str">
        <f aca="false">IF(A434="","",IFERROR(MATCH(B434,Lists!$A$2:$A$15,0),99))</f>
        <v/>
      </c>
      <c r="G434" s="12" t="str">
        <f aca="false">IF(A434="","",SUMIFS(Ingredients!$G:$G,Ingredients!$C:$C,A434))</f>
        <v/>
      </c>
      <c r="H434" s="12" t="str">
        <f aca="false">IF(A434="","",SUMIFS(Ingredients!$H:$H,Ingredients!$C:$C,A434))</f>
        <v/>
      </c>
      <c r="I434" s="12" t="str">
        <f aca="false">IF(A434="","",IF(G434&gt;0,IF(D434="Yes",100,0)+F434+ROW()/100000,""))</f>
        <v/>
      </c>
      <c r="J434" s="12" t="str">
        <f aca="false">IF(I434="","",COUNTIF($I$4:$I$503,"&lt;"&amp;I434)+1)</f>
        <v/>
      </c>
    </row>
    <row r="435" customFormat="false" ht="15" hidden="false" customHeight="false" outlineLevel="0" collapsed="false">
      <c r="F435" s="12" t="str">
        <f aca="false">IF(A435="","",IFERROR(MATCH(B435,Lists!$A$2:$A$15,0),99))</f>
        <v/>
      </c>
      <c r="G435" s="12" t="str">
        <f aca="false">IF(A435="","",SUMIFS(Ingredients!$G:$G,Ingredients!$C:$C,A435))</f>
        <v/>
      </c>
      <c r="H435" s="12" t="str">
        <f aca="false">IF(A435="","",SUMIFS(Ingredients!$H:$H,Ingredients!$C:$C,A435))</f>
        <v/>
      </c>
      <c r="I435" s="12" t="str">
        <f aca="false">IF(A435="","",IF(G435&gt;0,IF(D435="Yes",100,0)+F435+ROW()/100000,""))</f>
        <v/>
      </c>
      <c r="J435" s="12" t="str">
        <f aca="false">IF(I435="","",COUNTIF($I$4:$I$503,"&lt;"&amp;I435)+1)</f>
        <v/>
      </c>
    </row>
    <row r="436" customFormat="false" ht="15" hidden="false" customHeight="false" outlineLevel="0" collapsed="false">
      <c r="F436" s="12" t="str">
        <f aca="false">IF(A436="","",IFERROR(MATCH(B436,Lists!$A$2:$A$15,0),99))</f>
        <v/>
      </c>
      <c r="G436" s="12" t="str">
        <f aca="false">IF(A436="","",SUMIFS(Ingredients!$G:$G,Ingredients!$C:$C,A436))</f>
        <v/>
      </c>
      <c r="H436" s="12" t="str">
        <f aca="false">IF(A436="","",SUMIFS(Ingredients!$H:$H,Ingredients!$C:$C,A436))</f>
        <v/>
      </c>
      <c r="I436" s="12" t="str">
        <f aca="false">IF(A436="","",IF(G436&gt;0,IF(D436="Yes",100,0)+F436+ROW()/100000,""))</f>
        <v/>
      </c>
      <c r="J436" s="12" t="str">
        <f aca="false">IF(I436="","",COUNTIF($I$4:$I$503,"&lt;"&amp;I436)+1)</f>
        <v/>
      </c>
    </row>
    <row r="437" customFormat="false" ht="15" hidden="false" customHeight="false" outlineLevel="0" collapsed="false">
      <c r="F437" s="12" t="str">
        <f aca="false">IF(A437="","",IFERROR(MATCH(B437,Lists!$A$2:$A$15,0),99))</f>
        <v/>
      </c>
      <c r="G437" s="12" t="str">
        <f aca="false">IF(A437="","",SUMIFS(Ingredients!$G:$G,Ingredients!$C:$C,A437))</f>
        <v/>
      </c>
      <c r="H437" s="12" t="str">
        <f aca="false">IF(A437="","",SUMIFS(Ingredients!$H:$H,Ingredients!$C:$C,A437))</f>
        <v/>
      </c>
      <c r="I437" s="12" t="str">
        <f aca="false">IF(A437="","",IF(G437&gt;0,IF(D437="Yes",100,0)+F437+ROW()/100000,""))</f>
        <v/>
      </c>
      <c r="J437" s="12" t="str">
        <f aca="false">IF(I437="","",COUNTIF($I$4:$I$503,"&lt;"&amp;I437)+1)</f>
        <v/>
      </c>
    </row>
    <row r="438" customFormat="false" ht="15" hidden="false" customHeight="false" outlineLevel="0" collapsed="false">
      <c r="F438" s="12" t="str">
        <f aca="false">IF(A438="","",IFERROR(MATCH(B438,Lists!$A$2:$A$15,0),99))</f>
        <v/>
      </c>
      <c r="G438" s="12" t="str">
        <f aca="false">IF(A438="","",SUMIFS(Ingredients!$G:$G,Ingredients!$C:$C,A438))</f>
        <v/>
      </c>
      <c r="H438" s="12" t="str">
        <f aca="false">IF(A438="","",SUMIFS(Ingredients!$H:$H,Ingredients!$C:$C,A438))</f>
        <v/>
      </c>
      <c r="I438" s="12" t="str">
        <f aca="false">IF(A438="","",IF(G438&gt;0,IF(D438="Yes",100,0)+F438+ROW()/100000,""))</f>
        <v/>
      </c>
      <c r="J438" s="12" t="str">
        <f aca="false">IF(I438="","",COUNTIF($I$4:$I$503,"&lt;"&amp;I438)+1)</f>
        <v/>
      </c>
    </row>
    <row r="439" customFormat="false" ht="15" hidden="false" customHeight="false" outlineLevel="0" collapsed="false">
      <c r="F439" s="12" t="str">
        <f aca="false">IF(A439="","",IFERROR(MATCH(B439,Lists!$A$2:$A$15,0),99))</f>
        <v/>
      </c>
      <c r="G439" s="12" t="str">
        <f aca="false">IF(A439="","",SUMIFS(Ingredients!$G:$G,Ingredients!$C:$C,A439))</f>
        <v/>
      </c>
      <c r="H439" s="12" t="str">
        <f aca="false">IF(A439="","",SUMIFS(Ingredients!$H:$H,Ingredients!$C:$C,A439))</f>
        <v/>
      </c>
      <c r="I439" s="12" t="str">
        <f aca="false">IF(A439="","",IF(G439&gt;0,IF(D439="Yes",100,0)+F439+ROW()/100000,""))</f>
        <v/>
      </c>
      <c r="J439" s="12" t="str">
        <f aca="false">IF(I439="","",COUNTIF($I$4:$I$503,"&lt;"&amp;I439)+1)</f>
        <v/>
      </c>
    </row>
    <row r="440" customFormat="false" ht="15" hidden="false" customHeight="false" outlineLevel="0" collapsed="false">
      <c r="F440" s="12" t="str">
        <f aca="false">IF(A440="","",IFERROR(MATCH(B440,Lists!$A$2:$A$15,0),99))</f>
        <v/>
      </c>
      <c r="G440" s="12" t="str">
        <f aca="false">IF(A440="","",SUMIFS(Ingredients!$G:$G,Ingredients!$C:$C,A440))</f>
        <v/>
      </c>
      <c r="H440" s="12" t="str">
        <f aca="false">IF(A440="","",SUMIFS(Ingredients!$H:$H,Ingredients!$C:$C,A440))</f>
        <v/>
      </c>
      <c r="I440" s="12" t="str">
        <f aca="false">IF(A440="","",IF(G440&gt;0,IF(D440="Yes",100,0)+F440+ROW()/100000,""))</f>
        <v/>
      </c>
      <c r="J440" s="12" t="str">
        <f aca="false">IF(I440="","",COUNTIF($I$4:$I$503,"&lt;"&amp;I440)+1)</f>
        <v/>
      </c>
    </row>
    <row r="441" customFormat="false" ht="15" hidden="false" customHeight="false" outlineLevel="0" collapsed="false">
      <c r="F441" s="12" t="str">
        <f aca="false">IF(A441="","",IFERROR(MATCH(B441,Lists!$A$2:$A$15,0),99))</f>
        <v/>
      </c>
      <c r="G441" s="12" t="str">
        <f aca="false">IF(A441="","",SUMIFS(Ingredients!$G:$G,Ingredients!$C:$C,A441))</f>
        <v/>
      </c>
      <c r="H441" s="12" t="str">
        <f aca="false">IF(A441="","",SUMIFS(Ingredients!$H:$H,Ingredients!$C:$C,A441))</f>
        <v/>
      </c>
      <c r="I441" s="12" t="str">
        <f aca="false">IF(A441="","",IF(G441&gt;0,IF(D441="Yes",100,0)+F441+ROW()/100000,""))</f>
        <v/>
      </c>
      <c r="J441" s="12" t="str">
        <f aca="false">IF(I441="","",COUNTIF($I$4:$I$503,"&lt;"&amp;I441)+1)</f>
        <v/>
      </c>
    </row>
    <row r="442" customFormat="false" ht="15" hidden="false" customHeight="false" outlineLevel="0" collapsed="false">
      <c r="F442" s="12" t="str">
        <f aca="false">IF(A442="","",IFERROR(MATCH(B442,Lists!$A$2:$A$15,0),99))</f>
        <v/>
      </c>
      <c r="G442" s="12" t="str">
        <f aca="false">IF(A442="","",SUMIFS(Ingredients!$G:$G,Ingredients!$C:$C,A442))</f>
        <v/>
      </c>
      <c r="H442" s="12" t="str">
        <f aca="false">IF(A442="","",SUMIFS(Ingredients!$H:$H,Ingredients!$C:$C,A442))</f>
        <v/>
      </c>
      <c r="I442" s="12" t="str">
        <f aca="false">IF(A442="","",IF(G442&gt;0,IF(D442="Yes",100,0)+F442+ROW()/100000,""))</f>
        <v/>
      </c>
      <c r="J442" s="12" t="str">
        <f aca="false">IF(I442="","",COUNTIF($I$4:$I$503,"&lt;"&amp;I442)+1)</f>
        <v/>
      </c>
    </row>
    <row r="443" customFormat="false" ht="15" hidden="false" customHeight="false" outlineLevel="0" collapsed="false">
      <c r="F443" s="12" t="str">
        <f aca="false">IF(A443="","",IFERROR(MATCH(B443,Lists!$A$2:$A$15,0),99))</f>
        <v/>
      </c>
      <c r="G443" s="12" t="str">
        <f aca="false">IF(A443="","",SUMIFS(Ingredients!$G:$G,Ingredients!$C:$C,A443))</f>
        <v/>
      </c>
      <c r="H443" s="12" t="str">
        <f aca="false">IF(A443="","",SUMIFS(Ingredients!$H:$H,Ingredients!$C:$C,A443))</f>
        <v/>
      </c>
      <c r="I443" s="12" t="str">
        <f aca="false">IF(A443="","",IF(G443&gt;0,IF(D443="Yes",100,0)+F443+ROW()/100000,""))</f>
        <v/>
      </c>
      <c r="J443" s="12" t="str">
        <f aca="false">IF(I443="","",COUNTIF($I$4:$I$503,"&lt;"&amp;I443)+1)</f>
        <v/>
      </c>
    </row>
    <row r="444" customFormat="false" ht="15" hidden="false" customHeight="false" outlineLevel="0" collapsed="false">
      <c r="F444" s="12" t="str">
        <f aca="false">IF(A444="","",IFERROR(MATCH(B444,Lists!$A$2:$A$15,0),99))</f>
        <v/>
      </c>
      <c r="G444" s="12" t="str">
        <f aca="false">IF(A444="","",SUMIFS(Ingredients!$G:$G,Ingredients!$C:$C,A444))</f>
        <v/>
      </c>
      <c r="H444" s="12" t="str">
        <f aca="false">IF(A444="","",SUMIFS(Ingredients!$H:$H,Ingredients!$C:$C,A444))</f>
        <v/>
      </c>
      <c r="I444" s="12" t="str">
        <f aca="false">IF(A444="","",IF(G444&gt;0,IF(D444="Yes",100,0)+F444+ROW()/100000,""))</f>
        <v/>
      </c>
      <c r="J444" s="12" t="str">
        <f aca="false">IF(I444="","",COUNTIF($I$4:$I$503,"&lt;"&amp;I444)+1)</f>
        <v/>
      </c>
    </row>
    <row r="445" customFormat="false" ht="15" hidden="false" customHeight="false" outlineLevel="0" collapsed="false">
      <c r="F445" s="12" t="str">
        <f aca="false">IF(A445="","",IFERROR(MATCH(B445,Lists!$A$2:$A$15,0),99))</f>
        <v/>
      </c>
      <c r="G445" s="12" t="str">
        <f aca="false">IF(A445="","",SUMIFS(Ingredients!$G:$G,Ingredients!$C:$C,A445))</f>
        <v/>
      </c>
      <c r="H445" s="12" t="str">
        <f aca="false">IF(A445="","",SUMIFS(Ingredients!$H:$H,Ingredients!$C:$C,A445))</f>
        <v/>
      </c>
      <c r="I445" s="12" t="str">
        <f aca="false">IF(A445="","",IF(G445&gt;0,IF(D445="Yes",100,0)+F445+ROW()/100000,""))</f>
        <v/>
      </c>
      <c r="J445" s="12" t="str">
        <f aca="false">IF(I445="","",COUNTIF($I$4:$I$503,"&lt;"&amp;I445)+1)</f>
        <v/>
      </c>
    </row>
    <row r="446" customFormat="false" ht="15" hidden="false" customHeight="false" outlineLevel="0" collapsed="false">
      <c r="F446" s="12" t="str">
        <f aca="false">IF(A446="","",IFERROR(MATCH(B446,Lists!$A$2:$A$15,0),99))</f>
        <v/>
      </c>
      <c r="G446" s="12" t="str">
        <f aca="false">IF(A446="","",SUMIFS(Ingredients!$G:$G,Ingredients!$C:$C,A446))</f>
        <v/>
      </c>
      <c r="H446" s="12" t="str">
        <f aca="false">IF(A446="","",SUMIFS(Ingredients!$H:$H,Ingredients!$C:$C,A446))</f>
        <v/>
      </c>
      <c r="I446" s="12" t="str">
        <f aca="false">IF(A446="","",IF(G446&gt;0,IF(D446="Yes",100,0)+F446+ROW()/100000,""))</f>
        <v/>
      </c>
      <c r="J446" s="12" t="str">
        <f aca="false">IF(I446="","",COUNTIF($I$4:$I$503,"&lt;"&amp;I446)+1)</f>
        <v/>
      </c>
    </row>
    <row r="447" customFormat="false" ht="15" hidden="false" customHeight="false" outlineLevel="0" collapsed="false">
      <c r="F447" s="12" t="str">
        <f aca="false">IF(A447="","",IFERROR(MATCH(B447,Lists!$A$2:$A$15,0),99))</f>
        <v/>
      </c>
      <c r="G447" s="12" t="str">
        <f aca="false">IF(A447="","",SUMIFS(Ingredients!$G:$G,Ingredients!$C:$C,A447))</f>
        <v/>
      </c>
      <c r="H447" s="12" t="str">
        <f aca="false">IF(A447="","",SUMIFS(Ingredients!$H:$H,Ingredients!$C:$C,A447))</f>
        <v/>
      </c>
      <c r="I447" s="12" t="str">
        <f aca="false">IF(A447="","",IF(G447&gt;0,IF(D447="Yes",100,0)+F447+ROW()/100000,""))</f>
        <v/>
      </c>
      <c r="J447" s="12" t="str">
        <f aca="false">IF(I447="","",COUNTIF($I$4:$I$503,"&lt;"&amp;I447)+1)</f>
        <v/>
      </c>
    </row>
    <row r="448" customFormat="false" ht="15" hidden="false" customHeight="false" outlineLevel="0" collapsed="false">
      <c r="F448" s="12" t="str">
        <f aca="false">IF(A448="","",IFERROR(MATCH(B448,Lists!$A$2:$A$15,0),99))</f>
        <v/>
      </c>
      <c r="G448" s="12" t="str">
        <f aca="false">IF(A448="","",SUMIFS(Ingredients!$G:$G,Ingredients!$C:$C,A448))</f>
        <v/>
      </c>
      <c r="H448" s="12" t="str">
        <f aca="false">IF(A448="","",SUMIFS(Ingredients!$H:$H,Ingredients!$C:$C,A448))</f>
        <v/>
      </c>
      <c r="I448" s="12" t="str">
        <f aca="false">IF(A448="","",IF(G448&gt;0,IF(D448="Yes",100,0)+F448+ROW()/100000,""))</f>
        <v/>
      </c>
      <c r="J448" s="12" t="str">
        <f aca="false">IF(I448="","",COUNTIF($I$4:$I$503,"&lt;"&amp;I448)+1)</f>
        <v/>
      </c>
    </row>
    <row r="449" customFormat="false" ht="15" hidden="false" customHeight="false" outlineLevel="0" collapsed="false">
      <c r="F449" s="12" t="str">
        <f aca="false">IF(A449="","",IFERROR(MATCH(B449,Lists!$A$2:$A$15,0),99))</f>
        <v/>
      </c>
      <c r="G449" s="12" t="str">
        <f aca="false">IF(A449="","",SUMIFS(Ingredients!$G:$G,Ingredients!$C:$C,A449))</f>
        <v/>
      </c>
      <c r="H449" s="12" t="str">
        <f aca="false">IF(A449="","",SUMIFS(Ingredients!$H:$H,Ingredients!$C:$C,A449))</f>
        <v/>
      </c>
      <c r="I449" s="12" t="str">
        <f aca="false">IF(A449="","",IF(G449&gt;0,IF(D449="Yes",100,0)+F449+ROW()/100000,""))</f>
        <v/>
      </c>
      <c r="J449" s="12" t="str">
        <f aca="false">IF(I449="","",COUNTIF($I$4:$I$503,"&lt;"&amp;I449)+1)</f>
        <v/>
      </c>
    </row>
    <row r="450" customFormat="false" ht="15" hidden="false" customHeight="false" outlineLevel="0" collapsed="false">
      <c r="F450" s="12" t="str">
        <f aca="false">IF(A450="","",IFERROR(MATCH(B450,Lists!$A$2:$A$15,0),99))</f>
        <v/>
      </c>
      <c r="G450" s="12" t="str">
        <f aca="false">IF(A450="","",SUMIFS(Ingredients!$G:$G,Ingredients!$C:$C,A450))</f>
        <v/>
      </c>
      <c r="H450" s="12" t="str">
        <f aca="false">IF(A450="","",SUMIFS(Ingredients!$H:$H,Ingredients!$C:$C,A450))</f>
        <v/>
      </c>
      <c r="I450" s="12" t="str">
        <f aca="false">IF(A450="","",IF(G450&gt;0,IF(D450="Yes",100,0)+F450+ROW()/100000,""))</f>
        <v/>
      </c>
      <c r="J450" s="12" t="str">
        <f aca="false">IF(I450="","",COUNTIF($I$4:$I$503,"&lt;"&amp;I450)+1)</f>
        <v/>
      </c>
    </row>
    <row r="451" customFormat="false" ht="15" hidden="false" customHeight="false" outlineLevel="0" collapsed="false">
      <c r="F451" s="12" t="str">
        <f aca="false">IF(A451="","",IFERROR(MATCH(B451,Lists!$A$2:$A$15,0),99))</f>
        <v/>
      </c>
      <c r="G451" s="12" t="str">
        <f aca="false">IF(A451="","",SUMIFS(Ingredients!$G:$G,Ingredients!$C:$C,A451))</f>
        <v/>
      </c>
      <c r="H451" s="12" t="str">
        <f aca="false">IF(A451="","",SUMIFS(Ingredients!$H:$H,Ingredients!$C:$C,A451))</f>
        <v/>
      </c>
      <c r="I451" s="12" t="str">
        <f aca="false">IF(A451="","",IF(G451&gt;0,IF(D451="Yes",100,0)+F451+ROW()/100000,""))</f>
        <v/>
      </c>
      <c r="J451" s="12" t="str">
        <f aca="false">IF(I451="","",COUNTIF($I$4:$I$503,"&lt;"&amp;I451)+1)</f>
        <v/>
      </c>
    </row>
    <row r="452" customFormat="false" ht="15" hidden="false" customHeight="false" outlineLevel="0" collapsed="false">
      <c r="F452" s="12" t="str">
        <f aca="false">IF(A452="","",IFERROR(MATCH(B452,Lists!$A$2:$A$15,0),99))</f>
        <v/>
      </c>
      <c r="G452" s="12" t="str">
        <f aca="false">IF(A452="","",SUMIFS(Ingredients!$G:$G,Ingredients!$C:$C,A452))</f>
        <v/>
      </c>
      <c r="H452" s="12" t="str">
        <f aca="false">IF(A452="","",SUMIFS(Ingredients!$H:$H,Ingredients!$C:$C,A452))</f>
        <v/>
      </c>
      <c r="I452" s="12" t="str">
        <f aca="false">IF(A452="","",IF(G452&gt;0,IF(D452="Yes",100,0)+F452+ROW()/100000,""))</f>
        <v/>
      </c>
      <c r="J452" s="12" t="str">
        <f aca="false">IF(I452="","",COUNTIF($I$4:$I$503,"&lt;"&amp;I452)+1)</f>
        <v/>
      </c>
    </row>
    <row r="453" customFormat="false" ht="15" hidden="false" customHeight="false" outlineLevel="0" collapsed="false">
      <c r="F453" s="12" t="str">
        <f aca="false">IF(A453="","",IFERROR(MATCH(B453,Lists!$A$2:$A$15,0),99))</f>
        <v/>
      </c>
      <c r="G453" s="12" t="str">
        <f aca="false">IF(A453="","",SUMIFS(Ingredients!$G:$G,Ingredients!$C:$C,A453))</f>
        <v/>
      </c>
      <c r="H453" s="12" t="str">
        <f aca="false">IF(A453="","",SUMIFS(Ingredients!$H:$H,Ingredients!$C:$C,A453))</f>
        <v/>
      </c>
      <c r="I453" s="12" t="str">
        <f aca="false">IF(A453="","",IF(G453&gt;0,IF(D453="Yes",100,0)+F453+ROW()/100000,""))</f>
        <v/>
      </c>
      <c r="J453" s="12" t="str">
        <f aca="false">IF(I453="","",COUNTIF($I$4:$I$503,"&lt;"&amp;I453)+1)</f>
        <v/>
      </c>
    </row>
    <row r="454" customFormat="false" ht="15" hidden="false" customHeight="false" outlineLevel="0" collapsed="false">
      <c r="F454" s="12" t="str">
        <f aca="false">IF(A454="","",IFERROR(MATCH(B454,Lists!$A$2:$A$15,0),99))</f>
        <v/>
      </c>
      <c r="G454" s="12" t="str">
        <f aca="false">IF(A454="","",SUMIFS(Ingredients!$G:$G,Ingredients!$C:$C,A454))</f>
        <v/>
      </c>
      <c r="H454" s="12" t="str">
        <f aca="false">IF(A454="","",SUMIFS(Ingredients!$H:$H,Ingredients!$C:$C,A454))</f>
        <v/>
      </c>
      <c r="I454" s="12" t="str">
        <f aca="false">IF(A454="","",IF(G454&gt;0,IF(D454="Yes",100,0)+F454+ROW()/100000,""))</f>
        <v/>
      </c>
      <c r="J454" s="12" t="str">
        <f aca="false">IF(I454="","",COUNTIF($I$4:$I$503,"&lt;"&amp;I454)+1)</f>
        <v/>
      </c>
    </row>
    <row r="455" customFormat="false" ht="15" hidden="false" customHeight="false" outlineLevel="0" collapsed="false">
      <c r="F455" s="12" t="str">
        <f aca="false">IF(A455="","",IFERROR(MATCH(B455,Lists!$A$2:$A$15,0),99))</f>
        <v/>
      </c>
      <c r="G455" s="12" t="str">
        <f aca="false">IF(A455="","",SUMIFS(Ingredients!$G:$G,Ingredients!$C:$C,A455))</f>
        <v/>
      </c>
      <c r="H455" s="12" t="str">
        <f aca="false">IF(A455="","",SUMIFS(Ingredients!$H:$H,Ingredients!$C:$C,A455))</f>
        <v/>
      </c>
      <c r="I455" s="12" t="str">
        <f aca="false">IF(A455="","",IF(G455&gt;0,IF(D455="Yes",100,0)+F455+ROW()/100000,""))</f>
        <v/>
      </c>
      <c r="J455" s="12" t="str">
        <f aca="false">IF(I455="","",COUNTIF($I$4:$I$503,"&lt;"&amp;I455)+1)</f>
        <v/>
      </c>
    </row>
    <row r="456" customFormat="false" ht="15" hidden="false" customHeight="false" outlineLevel="0" collapsed="false">
      <c r="F456" s="12" t="str">
        <f aca="false">IF(A456="","",IFERROR(MATCH(B456,Lists!$A$2:$A$15,0),99))</f>
        <v/>
      </c>
      <c r="G456" s="12" t="str">
        <f aca="false">IF(A456="","",SUMIFS(Ingredients!$G:$G,Ingredients!$C:$C,A456))</f>
        <v/>
      </c>
      <c r="H456" s="12" t="str">
        <f aca="false">IF(A456="","",SUMIFS(Ingredients!$H:$H,Ingredients!$C:$C,A456))</f>
        <v/>
      </c>
      <c r="I456" s="12" t="str">
        <f aca="false">IF(A456="","",IF(G456&gt;0,IF(D456="Yes",100,0)+F456+ROW()/100000,""))</f>
        <v/>
      </c>
      <c r="J456" s="12" t="str">
        <f aca="false">IF(I456="","",COUNTIF($I$4:$I$503,"&lt;"&amp;I456)+1)</f>
        <v/>
      </c>
    </row>
    <row r="457" customFormat="false" ht="15" hidden="false" customHeight="false" outlineLevel="0" collapsed="false">
      <c r="F457" s="12" t="str">
        <f aca="false">IF(A457="","",IFERROR(MATCH(B457,Lists!$A$2:$A$15,0),99))</f>
        <v/>
      </c>
      <c r="G457" s="12" t="str">
        <f aca="false">IF(A457="","",SUMIFS(Ingredients!$G:$G,Ingredients!$C:$C,A457))</f>
        <v/>
      </c>
      <c r="H457" s="12" t="str">
        <f aca="false">IF(A457="","",SUMIFS(Ingredients!$H:$H,Ingredients!$C:$C,A457))</f>
        <v/>
      </c>
      <c r="I457" s="12" t="str">
        <f aca="false">IF(A457="","",IF(G457&gt;0,IF(D457="Yes",100,0)+F457+ROW()/100000,""))</f>
        <v/>
      </c>
      <c r="J457" s="12" t="str">
        <f aca="false">IF(I457="","",COUNTIF($I$4:$I$503,"&lt;"&amp;I457)+1)</f>
        <v/>
      </c>
    </row>
    <row r="458" customFormat="false" ht="15" hidden="false" customHeight="false" outlineLevel="0" collapsed="false">
      <c r="F458" s="12" t="str">
        <f aca="false">IF(A458="","",IFERROR(MATCH(B458,Lists!$A$2:$A$15,0),99))</f>
        <v/>
      </c>
      <c r="G458" s="12" t="str">
        <f aca="false">IF(A458="","",SUMIFS(Ingredients!$G:$G,Ingredients!$C:$C,A458))</f>
        <v/>
      </c>
      <c r="H458" s="12" t="str">
        <f aca="false">IF(A458="","",SUMIFS(Ingredients!$H:$H,Ingredients!$C:$C,A458))</f>
        <v/>
      </c>
      <c r="I458" s="12" t="str">
        <f aca="false">IF(A458="","",IF(G458&gt;0,IF(D458="Yes",100,0)+F458+ROW()/100000,""))</f>
        <v/>
      </c>
      <c r="J458" s="12" t="str">
        <f aca="false">IF(I458="","",COUNTIF($I$4:$I$503,"&lt;"&amp;I458)+1)</f>
        <v/>
      </c>
    </row>
    <row r="459" customFormat="false" ht="15" hidden="false" customHeight="false" outlineLevel="0" collapsed="false">
      <c r="F459" s="12" t="str">
        <f aca="false">IF(A459="","",IFERROR(MATCH(B459,Lists!$A$2:$A$15,0),99))</f>
        <v/>
      </c>
      <c r="G459" s="12" t="str">
        <f aca="false">IF(A459="","",SUMIFS(Ingredients!$G:$G,Ingredients!$C:$C,A459))</f>
        <v/>
      </c>
      <c r="H459" s="12" t="str">
        <f aca="false">IF(A459="","",SUMIFS(Ingredients!$H:$H,Ingredients!$C:$C,A459))</f>
        <v/>
      </c>
      <c r="I459" s="12" t="str">
        <f aca="false">IF(A459="","",IF(G459&gt;0,IF(D459="Yes",100,0)+F459+ROW()/100000,""))</f>
        <v/>
      </c>
      <c r="J459" s="12" t="str">
        <f aca="false">IF(I459="","",COUNTIF($I$4:$I$503,"&lt;"&amp;I459)+1)</f>
        <v/>
      </c>
    </row>
    <row r="460" customFormat="false" ht="15" hidden="false" customHeight="false" outlineLevel="0" collapsed="false">
      <c r="F460" s="12" t="str">
        <f aca="false">IF(A460="","",IFERROR(MATCH(B460,Lists!$A$2:$A$15,0),99))</f>
        <v/>
      </c>
      <c r="G460" s="12" t="str">
        <f aca="false">IF(A460="","",SUMIFS(Ingredients!$G:$G,Ingredients!$C:$C,A460))</f>
        <v/>
      </c>
      <c r="H460" s="12" t="str">
        <f aca="false">IF(A460="","",SUMIFS(Ingredients!$H:$H,Ingredients!$C:$C,A460))</f>
        <v/>
      </c>
      <c r="I460" s="12" t="str">
        <f aca="false">IF(A460="","",IF(G460&gt;0,IF(D460="Yes",100,0)+F460+ROW()/100000,""))</f>
        <v/>
      </c>
      <c r="J460" s="12" t="str">
        <f aca="false">IF(I460="","",COUNTIF($I$4:$I$503,"&lt;"&amp;I460)+1)</f>
        <v/>
      </c>
    </row>
    <row r="461" customFormat="false" ht="15" hidden="false" customHeight="false" outlineLevel="0" collapsed="false">
      <c r="F461" s="12" t="str">
        <f aca="false">IF(A461="","",IFERROR(MATCH(B461,Lists!$A$2:$A$15,0),99))</f>
        <v/>
      </c>
      <c r="G461" s="12" t="str">
        <f aca="false">IF(A461="","",SUMIFS(Ingredients!$G:$G,Ingredients!$C:$C,A461))</f>
        <v/>
      </c>
      <c r="H461" s="12" t="str">
        <f aca="false">IF(A461="","",SUMIFS(Ingredients!$H:$H,Ingredients!$C:$C,A461))</f>
        <v/>
      </c>
      <c r="I461" s="12" t="str">
        <f aca="false">IF(A461="","",IF(G461&gt;0,IF(D461="Yes",100,0)+F461+ROW()/100000,""))</f>
        <v/>
      </c>
      <c r="J461" s="12" t="str">
        <f aca="false">IF(I461="","",COUNTIF($I$4:$I$503,"&lt;"&amp;I461)+1)</f>
        <v/>
      </c>
    </row>
    <row r="462" customFormat="false" ht="15" hidden="false" customHeight="false" outlineLevel="0" collapsed="false">
      <c r="F462" s="12" t="str">
        <f aca="false">IF(A462="","",IFERROR(MATCH(B462,Lists!$A$2:$A$15,0),99))</f>
        <v/>
      </c>
      <c r="G462" s="12" t="str">
        <f aca="false">IF(A462="","",SUMIFS(Ingredients!$G:$G,Ingredients!$C:$C,A462))</f>
        <v/>
      </c>
      <c r="H462" s="12" t="str">
        <f aca="false">IF(A462="","",SUMIFS(Ingredients!$H:$H,Ingredients!$C:$C,A462))</f>
        <v/>
      </c>
      <c r="I462" s="12" t="str">
        <f aca="false">IF(A462="","",IF(G462&gt;0,IF(D462="Yes",100,0)+F462+ROW()/100000,""))</f>
        <v/>
      </c>
      <c r="J462" s="12" t="str">
        <f aca="false">IF(I462="","",COUNTIF($I$4:$I$503,"&lt;"&amp;I462)+1)</f>
        <v/>
      </c>
    </row>
    <row r="463" customFormat="false" ht="15" hidden="false" customHeight="false" outlineLevel="0" collapsed="false">
      <c r="F463" s="12" t="str">
        <f aca="false">IF(A463="","",IFERROR(MATCH(B463,Lists!$A$2:$A$15,0),99))</f>
        <v/>
      </c>
      <c r="G463" s="12" t="str">
        <f aca="false">IF(A463="","",SUMIFS(Ingredients!$G:$G,Ingredients!$C:$C,A463))</f>
        <v/>
      </c>
      <c r="H463" s="12" t="str">
        <f aca="false">IF(A463="","",SUMIFS(Ingredients!$H:$H,Ingredients!$C:$C,A463))</f>
        <v/>
      </c>
      <c r="I463" s="12" t="str">
        <f aca="false">IF(A463="","",IF(G463&gt;0,IF(D463="Yes",100,0)+F463+ROW()/100000,""))</f>
        <v/>
      </c>
      <c r="J463" s="12" t="str">
        <f aca="false">IF(I463="","",COUNTIF($I$4:$I$503,"&lt;"&amp;I463)+1)</f>
        <v/>
      </c>
    </row>
    <row r="464" customFormat="false" ht="15" hidden="false" customHeight="false" outlineLevel="0" collapsed="false">
      <c r="F464" s="12" t="str">
        <f aca="false">IF(A464="","",IFERROR(MATCH(B464,Lists!$A$2:$A$15,0),99))</f>
        <v/>
      </c>
      <c r="G464" s="12" t="str">
        <f aca="false">IF(A464="","",SUMIFS(Ingredients!$G:$G,Ingredients!$C:$C,A464))</f>
        <v/>
      </c>
      <c r="H464" s="12" t="str">
        <f aca="false">IF(A464="","",SUMIFS(Ingredients!$H:$H,Ingredients!$C:$C,A464))</f>
        <v/>
      </c>
      <c r="I464" s="12" t="str">
        <f aca="false">IF(A464="","",IF(G464&gt;0,IF(D464="Yes",100,0)+F464+ROW()/100000,""))</f>
        <v/>
      </c>
      <c r="J464" s="12" t="str">
        <f aca="false">IF(I464="","",COUNTIF($I$4:$I$503,"&lt;"&amp;I464)+1)</f>
        <v/>
      </c>
    </row>
    <row r="465" customFormat="false" ht="15" hidden="false" customHeight="false" outlineLevel="0" collapsed="false">
      <c r="F465" s="12" t="str">
        <f aca="false">IF(A465="","",IFERROR(MATCH(B465,Lists!$A$2:$A$15,0),99))</f>
        <v/>
      </c>
      <c r="G465" s="12" t="str">
        <f aca="false">IF(A465="","",SUMIFS(Ingredients!$G:$G,Ingredients!$C:$C,A465))</f>
        <v/>
      </c>
      <c r="H465" s="12" t="str">
        <f aca="false">IF(A465="","",SUMIFS(Ingredients!$H:$H,Ingredients!$C:$C,A465))</f>
        <v/>
      </c>
      <c r="I465" s="12" t="str">
        <f aca="false">IF(A465="","",IF(G465&gt;0,IF(D465="Yes",100,0)+F465+ROW()/100000,""))</f>
        <v/>
      </c>
      <c r="J465" s="12" t="str">
        <f aca="false">IF(I465="","",COUNTIF($I$4:$I$503,"&lt;"&amp;I465)+1)</f>
        <v/>
      </c>
    </row>
    <row r="466" customFormat="false" ht="15" hidden="false" customHeight="false" outlineLevel="0" collapsed="false">
      <c r="F466" s="12" t="str">
        <f aca="false">IF(A466="","",IFERROR(MATCH(B466,Lists!$A$2:$A$15,0),99))</f>
        <v/>
      </c>
      <c r="G466" s="12" t="str">
        <f aca="false">IF(A466="","",SUMIFS(Ingredients!$G:$G,Ingredients!$C:$C,A466))</f>
        <v/>
      </c>
      <c r="H466" s="12" t="str">
        <f aca="false">IF(A466="","",SUMIFS(Ingredients!$H:$H,Ingredients!$C:$C,A466))</f>
        <v/>
      </c>
      <c r="I466" s="12" t="str">
        <f aca="false">IF(A466="","",IF(G466&gt;0,IF(D466="Yes",100,0)+F466+ROW()/100000,""))</f>
        <v/>
      </c>
      <c r="J466" s="12" t="str">
        <f aca="false">IF(I466="","",COUNTIF($I$4:$I$503,"&lt;"&amp;I466)+1)</f>
        <v/>
      </c>
    </row>
    <row r="467" customFormat="false" ht="15" hidden="false" customHeight="false" outlineLevel="0" collapsed="false">
      <c r="F467" s="12" t="str">
        <f aca="false">IF(A467="","",IFERROR(MATCH(B467,Lists!$A$2:$A$15,0),99))</f>
        <v/>
      </c>
      <c r="G467" s="12" t="str">
        <f aca="false">IF(A467="","",SUMIFS(Ingredients!$G:$G,Ingredients!$C:$C,A467))</f>
        <v/>
      </c>
      <c r="H467" s="12" t="str">
        <f aca="false">IF(A467="","",SUMIFS(Ingredients!$H:$H,Ingredients!$C:$C,A467))</f>
        <v/>
      </c>
      <c r="I467" s="12" t="str">
        <f aca="false">IF(A467="","",IF(G467&gt;0,IF(D467="Yes",100,0)+F467+ROW()/100000,""))</f>
        <v/>
      </c>
      <c r="J467" s="12" t="str">
        <f aca="false">IF(I467="","",COUNTIF($I$4:$I$503,"&lt;"&amp;I467)+1)</f>
        <v/>
      </c>
    </row>
    <row r="468" customFormat="false" ht="15" hidden="false" customHeight="false" outlineLevel="0" collapsed="false">
      <c r="F468" s="12" t="str">
        <f aca="false">IF(A468="","",IFERROR(MATCH(B468,Lists!$A$2:$A$15,0),99))</f>
        <v/>
      </c>
      <c r="G468" s="12" t="str">
        <f aca="false">IF(A468="","",SUMIFS(Ingredients!$G:$G,Ingredients!$C:$C,A468))</f>
        <v/>
      </c>
      <c r="H468" s="12" t="str">
        <f aca="false">IF(A468="","",SUMIFS(Ingredients!$H:$H,Ingredients!$C:$C,A468))</f>
        <v/>
      </c>
      <c r="I468" s="12" t="str">
        <f aca="false">IF(A468="","",IF(G468&gt;0,IF(D468="Yes",100,0)+F468+ROW()/100000,""))</f>
        <v/>
      </c>
      <c r="J468" s="12" t="str">
        <f aca="false">IF(I468="","",COUNTIF($I$4:$I$503,"&lt;"&amp;I468)+1)</f>
        <v/>
      </c>
    </row>
    <row r="469" customFormat="false" ht="15" hidden="false" customHeight="false" outlineLevel="0" collapsed="false">
      <c r="F469" s="12" t="str">
        <f aca="false">IF(A469="","",IFERROR(MATCH(B469,Lists!$A$2:$A$15,0),99))</f>
        <v/>
      </c>
      <c r="G469" s="12" t="str">
        <f aca="false">IF(A469="","",SUMIFS(Ingredients!$G:$G,Ingredients!$C:$C,A469))</f>
        <v/>
      </c>
      <c r="H469" s="12" t="str">
        <f aca="false">IF(A469="","",SUMIFS(Ingredients!$H:$H,Ingredients!$C:$C,A469))</f>
        <v/>
      </c>
      <c r="I469" s="12" t="str">
        <f aca="false">IF(A469="","",IF(G469&gt;0,IF(D469="Yes",100,0)+F469+ROW()/100000,""))</f>
        <v/>
      </c>
      <c r="J469" s="12" t="str">
        <f aca="false">IF(I469="","",COUNTIF($I$4:$I$503,"&lt;"&amp;I469)+1)</f>
        <v/>
      </c>
    </row>
    <row r="470" customFormat="false" ht="15" hidden="false" customHeight="false" outlineLevel="0" collapsed="false">
      <c r="F470" s="12" t="str">
        <f aca="false">IF(A470="","",IFERROR(MATCH(B470,Lists!$A$2:$A$15,0),99))</f>
        <v/>
      </c>
      <c r="G470" s="12" t="str">
        <f aca="false">IF(A470="","",SUMIFS(Ingredients!$G:$G,Ingredients!$C:$C,A470))</f>
        <v/>
      </c>
      <c r="H470" s="12" t="str">
        <f aca="false">IF(A470="","",SUMIFS(Ingredients!$H:$H,Ingredients!$C:$C,A470))</f>
        <v/>
      </c>
      <c r="I470" s="12" t="str">
        <f aca="false">IF(A470="","",IF(G470&gt;0,IF(D470="Yes",100,0)+F470+ROW()/100000,""))</f>
        <v/>
      </c>
      <c r="J470" s="12" t="str">
        <f aca="false">IF(I470="","",COUNTIF($I$4:$I$503,"&lt;"&amp;I470)+1)</f>
        <v/>
      </c>
    </row>
    <row r="471" customFormat="false" ht="15" hidden="false" customHeight="false" outlineLevel="0" collapsed="false">
      <c r="F471" s="12" t="str">
        <f aca="false">IF(A471="","",IFERROR(MATCH(B471,Lists!$A$2:$A$15,0),99))</f>
        <v/>
      </c>
      <c r="G471" s="12" t="str">
        <f aca="false">IF(A471="","",SUMIFS(Ingredients!$G:$G,Ingredients!$C:$C,A471))</f>
        <v/>
      </c>
      <c r="H471" s="12" t="str">
        <f aca="false">IF(A471="","",SUMIFS(Ingredients!$H:$H,Ingredients!$C:$C,A471))</f>
        <v/>
      </c>
      <c r="I471" s="12" t="str">
        <f aca="false">IF(A471="","",IF(G471&gt;0,IF(D471="Yes",100,0)+F471+ROW()/100000,""))</f>
        <v/>
      </c>
      <c r="J471" s="12" t="str">
        <f aca="false">IF(I471="","",COUNTIF($I$4:$I$503,"&lt;"&amp;I471)+1)</f>
        <v/>
      </c>
    </row>
    <row r="472" customFormat="false" ht="15" hidden="false" customHeight="false" outlineLevel="0" collapsed="false">
      <c r="F472" s="12" t="str">
        <f aca="false">IF(A472="","",IFERROR(MATCH(B472,Lists!$A$2:$A$15,0),99))</f>
        <v/>
      </c>
      <c r="G472" s="12" t="str">
        <f aca="false">IF(A472="","",SUMIFS(Ingredients!$G:$G,Ingredients!$C:$C,A472))</f>
        <v/>
      </c>
      <c r="H472" s="12" t="str">
        <f aca="false">IF(A472="","",SUMIFS(Ingredients!$H:$H,Ingredients!$C:$C,A472))</f>
        <v/>
      </c>
      <c r="I472" s="12" t="str">
        <f aca="false">IF(A472="","",IF(G472&gt;0,IF(D472="Yes",100,0)+F472+ROW()/100000,""))</f>
        <v/>
      </c>
      <c r="J472" s="12" t="str">
        <f aca="false">IF(I472="","",COUNTIF($I$4:$I$503,"&lt;"&amp;I472)+1)</f>
        <v/>
      </c>
    </row>
    <row r="473" customFormat="false" ht="15" hidden="false" customHeight="false" outlineLevel="0" collapsed="false">
      <c r="F473" s="12" t="str">
        <f aca="false">IF(A473="","",IFERROR(MATCH(B473,Lists!$A$2:$A$15,0),99))</f>
        <v/>
      </c>
      <c r="G473" s="12" t="str">
        <f aca="false">IF(A473="","",SUMIFS(Ingredients!$G:$G,Ingredients!$C:$C,A473))</f>
        <v/>
      </c>
      <c r="H473" s="12" t="str">
        <f aca="false">IF(A473="","",SUMIFS(Ingredients!$H:$H,Ingredients!$C:$C,A473))</f>
        <v/>
      </c>
      <c r="I473" s="12" t="str">
        <f aca="false">IF(A473="","",IF(G473&gt;0,IF(D473="Yes",100,0)+F473+ROW()/100000,""))</f>
        <v/>
      </c>
      <c r="J473" s="12" t="str">
        <f aca="false">IF(I473="","",COUNTIF($I$4:$I$503,"&lt;"&amp;I473)+1)</f>
        <v/>
      </c>
    </row>
    <row r="474" customFormat="false" ht="15" hidden="false" customHeight="false" outlineLevel="0" collapsed="false">
      <c r="F474" s="12" t="str">
        <f aca="false">IF(A474="","",IFERROR(MATCH(B474,Lists!$A$2:$A$15,0),99))</f>
        <v/>
      </c>
      <c r="G474" s="12" t="str">
        <f aca="false">IF(A474="","",SUMIFS(Ingredients!$G:$G,Ingredients!$C:$C,A474))</f>
        <v/>
      </c>
      <c r="H474" s="12" t="str">
        <f aca="false">IF(A474="","",SUMIFS(Ingredients!$H:$H,Ingredients!$C:$C,A474))</f>
        <v/>
      </c>
      <c r="I474" s="12" t="str">
        <f aca="false">IF(A474="","",IF(G474&gt;0,IF(D474="Yes",100,0)+F474+ROW()/100000,""))</f>
        <v/>
      </c>
      <c r="J474" s="12" t="str">
        <f aca="false">IF(I474="","",COUNTIF($I$4:$I$503,"&lt;"&amp;I474)+1)</f>
        <v/>
      </c>
    </row>
    <row r="475" customFormat="false" ht="15" hidden="false" customHeight="false" outlineLevel="0" collapsed="false">
      <c r="F475" s="12" t="str">
        <f aca="false">IF(A475="","",IFERROR(MATCH(B475,Lists!$A$2:$A$15,0),99))</f>
        <v/>
      </c>
      <c r="G475" s="12" t="str">
        <f aca="false">IF(A475="","",SUMIFS(Ingredients!$G:$G,Ingredients!$C:$C,A475))</f>
        <v/>
      </c>
      <c r="H475" s="12" t="str">
        <f aca="false">IF(A475="","",SUMIFS(Ingredients!$H:$H,Ingredients!$C:$C,A475))</f>
        <v/>
      </c>
      <c r="I475" s="12" t="str">
        <f aca="false">IF(A475="","",IF(G475&gt;0,IF(D475="Yes",100,0)+F475+ROW()/100000,""))</f>
        <v/>
      </c>
      <c r="J475" s="12" t="str">
        <f aca="false">IF(I475="","",COUNTIF($I$4:$I$503,"&lt;"&amp;I475)+1)</f>
        <v/>
      </c>
    </row>
    <row r="476" customFormat="false" ht="15" hidden="false" customHeight="false" outlineLevel="0" collapsed="false">
      <c r="F476" s="12" t="str">
        <f aca="false">IF(A476="","",IFERROR(MATCH(B476,Lists!$A$2:$A$15,0),99))</f>
        <v/>
      </c>
      <c r="G476" s="12" t="str">
        <f aca="false">IF(A476="","",SUMIFS(Ingredients!$G:$G,Ingredients!$C:$C,A476))</f>
        <v/>
      </c>
      <c r="H476" s="12" t="str">
        <f aca="false">IF(A476="","",SUMIFS(Ingredients!$H:$H,Ingredients!$C:$C,A476))</f>
        <v/>
      </c>
      <c r="I476" s="12" t="str">
        <f aca="false">IF(A476="","",IF(G476&gt;0,IF(D476="Yes",100,0)+F476+ROW()/100000,""))</f>
        <v/>
      </c>
      <c r="J476" s="12" t="str">
        <f aca="false">IF(I476="","",COUNTIF($I$4:$I$503,"&lt;"&amp;I476)+1)</f>
        <v/>
      </c>
    </row>
    <row r="477" customFormat="false" ht="15" hidden="false" customHeight="false" outlineLevel="0" collapsed="false">
      <c r="F477" s="12" t="str">
        <f aca="false">IF(A477="","",IFERROR(MATCH(B477,Lists!$A$2:$A$15,0),99))</f>
        <v/>
      </c>
      <c r="G477" s="12" t="str">
        <f aca="false">IF(A477="","",SUMIFS(Ingredients!$G:$G,Ingredients!$C:$C,A477))</f>
        <v/>
      </c>
      <c r="H477" s="12" t="str">
        <f aca="false">IF(A477="","",SUMIFS(Ingredients!$H:$H,Ingredients!$C:$C,A477))</f>
        <v/>
      </c>
      <c r="I477" s="12" t="str">
        <f aca="false">IF(A477="","",IF(G477&gt;0,IF(D477="Yes",100,0)+F477+ROW()/100000,""))</f>
        <v/>
      </c>
      <c r="J477" s="12" t="str">
        <f aca="false">IF(I477="","",COUNTIF($I$4:$I$503,"&lt;"&amp;I477)+1)</f>
        <v/>
      </c>
    </row>
    <row r="478" customFormat="false" ht="15" hidden="false" customHeight="false" outlineLevel="0" collapsed="false">
      <c r="F478" s="12" t="str">
        <f aca="false">IF(A478="","",IFERROR(MATCH(B478,Lists!$A$2:$A$15,0),99))</f>
        <v/>
      </c>
      <c r="G478" s="12" t="str">
        <f aca="false">IF(A478="","",SUMIFS(Ingredients!$G:$G,Ingredients!$C:$C,A478))</f>
        <v/>
      </c>
      <c r="H478" s="12" t="str">
        <f aca="false">IF(A478="","",SUMIFS(Ingredients!$H:$H,Ingredients!$C:$C,A478))</f>
        <v/>
      </c>
      <c r="I478" s="12" t="str">
        <f aca="false">IF(A478="","",IF(G478&gt;0,IF(D478="Yes",100,0)+F478+ROW()/100000,""))</f>
        <v/>
      </c>
      <c r="J478" s="12" t="str">
        <f aca="false">IF(I478="","",COUNTIF($I$4:$I$503,"&lt;"&amp;I478)+1)</f>
        <v/>
      </c>
    </row>
    <row r="479" customFormat="false" ht="15" hidden="false" customHeight="false" outlineLevel="0" collapsed="false">
      <c r="F479" s="12" t="str">
        <f aca="false">IF(A479="","",IFERROR(MATCH(B479,Lists!$A$2:$A$15,0),99))</f>
        <v/>
      </c>
      <c r="G479" s="12" t="str">
        <f aca="false">IF(A479="","",SUMIFS(Ingredients!$G:$G,Ingredients!$C:$C,A479))</f>
        <v/>
      </c>
      <c r="H479" s="12" t="str">
        <f aca="false">IF(A479="","",SUMIFS(Ingredients!$H:$H,Ingredients!$C:$C,A479))</f>
        <v/>
      </c>
      <c r="I479" s="12" t="str">
        <f aca="false">IF(A479="","",IF(G479&gt;0,IF(D479="Yes",100,0)+F479+ROW()/100000,""))</f>
        <v/>
      </c>
      <c r="J479" s="12" t="str">
        <f aca="false">IF(I479="","",COUNTIF($I$4:$I$503,"&lt;"&amp;I479)+1)</f>
        <v/>
      </c>
    </row>
    <row r="480" customFormat="false" ht="15" hidden="false" customHeight="false" outlineLevel="0" collapsed="false">
      <c r="F480" s="12" t="str">
        <f aca="false">IF(A480="","",IFERROR(MATCH(B480,Lists!$A$2:$A$15,0),99))</f>
        <v/>
      </c>
      <c r="G480" s="12" t="str">
        <f aca="false">IF(A480="","",SUMIFS(Ingredients!$G:$G,Ingredients!$C:$C,A480))</f>
        <v/>
      </c>
      <c r="H480" s="12" t="str">
        <f aca="false">IF(A480="","",SUMIFS(Ingredients!$H:$H,Ingredients!$C:$C,A480))</f>
        <v/>
      </c>
      <c r="I480" s="12" t="str">
        <f aca="false">IF(A480="","",IF(G480&gt;0,IF(D480="Yes",100,0)+F480+ROW()/100000,""))</f>
        <v/>
      </c>
      <c r="J480" s="12" t="str">
        <f aca="false">IF(I480="","",COUNTIF($I$4:$I$503,"&lt;"&amp;I480)+1)</f>
        <v/>
      </c>
    </row>
    <row r="481" customFormat="false" ht="15" hidden="false" customHeight="false" outlineLevel="0" collapsed="false">
      <c r="F481" s="12" t="str">
        <f aca="false">IF(A481="","",IFERROR(MATCH(B481,Lists!$A$2:$A$15,0),99))</f>
        <v/>
      </c>
      <c r="G481" s="12" t="str">
        <f aca="false">IF(A481="","",SUMIFS(Ingredients!$G:$G,Ingredients!$C:$C,A481))</f>
        <v/>
      </c>
      <c r="H481" s="12" t="str">
        <f aca="false">IF(A481="","",SUMIFS(Ingredients!$H:$H,Ingredients!$C:$C,A481))</f>
        <v/>
      </c>
      <c r="I481" s="12" t="str">
        <f aca="false">IF(A481="","",IF(G481&gt;0,IF(D481="Yes",100,0)+F481+ROW()/100000,""))</f>
        <v/>
      </c>
      <c r="J481" s="12" t="str">
        <f aca="false">IF(I481="","",COUNTIF($I$4:$I$503,"&lt;"&amp;I481)+1)</f>
        <v/>
      </c>
    </row>
    <row r="482" customFormat="false" ht="15" hidden="false" customHeight="false" outlineLevel="0" collapsed="false">
      <c r="F482" s="12" t="str">
        <f aca="false">IF(A482="","",IFERROR(MATCH(B482,Lists!$A$2:$A$15,0),99))</f>
        <v/>
      </c>
      <c r="G482" s="12" t="str">
        <f aca="false">IF(A482="","",SUMIFS(Ingredients!$G:$G,Ingredients!$C:$C,A482))</f>
        <v/>
      </c>
      <c r="H482" s="12" t="str">
        <f aca="false">IF(A482="","",SUMIFS(Ingredients!$H:$H,Ingredients!$C:$C,A482))</f>
        <v/>
      </c>
      <c r="I482" s="12" t="str">
        <f aca="false">IF(A482="","",IF(G482&gt;0,IF(D482="Yes",100,0)+F482+ROW()/100000,""))</f>
        <v/>
      </c>
      <c r="J482" s="12" t="str">
        <f aca="false">IF(I482="","",COUNTIF($I$4:$I$503,"&lt;"&amp;I482)+1)</f>
        <v/>
      </c>
    </row>
    <row r="483" customFormat="false" ht="15" hidden="false" customHeight="false" outlineLevel="0" collapsed="false">
      <c r="F483" s="12" t="str">
        <f aca="false">IF(A483="","",IFERROR(MATCH(B483,Lists!$A$2:$A$15,0),99))</f>
        <v/>
      </c>
      <c r="G483" s="12" t="str">
        <f aca="false">IF(A483="","",SUMIFS(Ingredients!$G:$G,Ingredients!$C:$C,A483))</f>
        <v/>
      </c>
      <c r="H483" s="12" t="str">
        <f aca="false">IF(A483="","",SUMIFS(Ingredients!$H:$H,Ingredients!$C:$C,A483))</f>
        <v/>
      </c>
      <c r="I483" s="12" t="str">
        <f aca="false">IF(A483="","",IF(G483&gt;0,IF(D483="Yes",100,0)+F483+ROW()/100000,""))</f>
        <v/>
      </c>
      <c r="J483" s="12" t="str">
        <f aca="false">IF(I483="","",COUNTIF($I$4:$I$503,"&lt;"&amp;I483)+1)</f>
        <v/>
      </c>
    </row>
    <row r="484" customFormat="false" ht="15" hidden="false" customHeight="false" outlineLevel="0" collapsed="false">
      <c r="F484" s="12" t="str">
        <f aca="false">IF(A484="","",IFERROR(MATCH(B484,Lists!$A$2:$A$15,0),99))</f>
        <v/>
      </c>
      <c r="G484" s="12" t="str">
        <f aca="false">IF(A484="","",SUMIFS(Ingredients!$G:$G,Ingredients!$C:$C,A484))</f>
        <v/>
      </c>
      <c r="H484" s="12" t="str">
        <f aca="false">IF(A484="","",SUMIFS(Ingredients!$H:$H,Ingredients!$C:$C,A484))</f>
        <v/>
      </c>
      <c r="I484" s="12" t="str">
        <f aca="false">IF(A484="","",IF(G484&gt;0,IF(D484="Yes",100,0)+F484+ROW()/100000,""))</f>
        <v/>
      </c>
      <c r="J484" s="12" t="str">
        <f aca="false">IF(I484="","",COUNTIF($I$4:$I$503,"&lt;"&amp;I484)+1)</f>
        <v/>
      </c>
    </row>
    <row r="485" customFormat="false" ht="15" hidden="false" customHeight="false" outlineLevel="0" collapsed="false">
      <c r="F485" s="12" t="str">
        <f aca="false">IF(A485="","",IFERROR(MATCH(B485,Lists!$A$2:$A$15,0),99))</f>
        <v/>
      </c>
      <c r="G485" s="12" t="str">
        <f aca="false">IF(A485="","",SUMIFS(Ingredients!$G:$G,Ingredients!$C:$C,A485))</f>
        <v/>
      </c>
      <c r="H485" s="12" t="str">
        <f aca="false">IF(A485="","",SUMIFS(Ingredients!$H:$H,Ingredients!$C:$C,A485))</f>
        <v/>
      </c>
      <c r="I485" s="12" t="str">
        <f aca="false">IF(A485="","",IF(G485&gt;0,IF(D485="Yes",100,0)+F485+ROW()/100000,""))</f>
        <v/>
      </c>
      <c r="J485" s="12" t="str">
        <f aca="false">IF(I485="","",COUNTIF($I$4:$I$503,"&lt;"&amp;I485)+1)</f>
        <v/>
      </c>
    </row>
    <row r="486" customFormat="false" ht="15" hidden="false" customHeight="false" outlineLevel="0" collapsed="false">
      <c r="F486" s="12" t="str">
        <f aca="false">IF(A486="","",IFERROR(MATCH(B486,Lists!$A$2:$A$15,0),99))</f>
        <v/>
      </c>
      <c r="G486" s="12" t="str">
        <f aca="false">IF(A486="","",SUMIFS(Ingredients!$G:$G,Ingredients!$C:$C,A486))</f>
        <v/>
      </c>
      <c r="H486" s="12" t="str">
        <f aca="false">IF(A486="","",SUMIFS(Ingredients!$H:$H,Ingredients!$C:$C,A486))</f>
        <v/>
      </c>
      <c r="I486" s="12" t="str">
        <f aca="false">IF(A486="","",IF(G486&gt;0,IF(D486="Yes",100,0)+F486+ROW()/100000,""))</f>
        <v/>
      </c>
      <c r="J486" s="12" t="str">
        <f aca="false">IF(I486="","",COUNTIF($I$4:$I$503,"&lt;"&amp;I486)+1)</f>
        <v/>
      </c>
    </row>
    <row r="487" customFormat="false" ht="15" hidden="false" customHeight="false" outlineLevel="0" collapsed="false">
      <c r="F487" s="12" t="str">
        <f aca="false">IF(A487="","",IFERROR(MATCH(B487,Lists!$A$2:$A$15,0),99))</f>
        <v/>
      </c>
      <c r="G487" s="12" t="str">
        <f aca="false">IF(A487="","",SUMIFS(Ingredients!$G:$G,Ingredients!$C:$C,A487))</f>
        <v/>
      </c>
      <c r="H487" s="12" t="str">
        <f aca="false">IF(A487="","",SUMIFS(Ingredients!$H:$H,Ingredients!$C:$C,A487))</f>
        <v/>
      </c>
      <c r="I487" s="12" t="str">
        <f aca="false">IF(A487="","",IF(G487&gt;0,IF(D487="Yes",100,0)+F487+ROW()/100000,""))</f>
        <v/>
      </c>
      <c r="J487" s="12" t="str">
        <f aca="false">IF(I487="","",COUNTIF($I$4:$I$503,"&lt;"&amp;I487)+1)</f>
        <v/>
      </c>
    </row>
    <row r="488" customFormat="false" ht="15" hidden="false" customHeight="false" outlineLevel="0" collapsed="false">
      <c r="F488" s="12" t="str">
        <f aca="false">IF(A488="","",IFERROR(MATCH(B488,Lists!$A$2:$A$15,0),99))</f>
        <v/>
      </c>
      <c r="G488" s="12" t="str">
        <f aca="false">IF(A488="","",SUMIFS(Ingredients!$G:$G,Ingredients!$C:$C,A488))</f>
        <v/>
      </c>
      <c r="H488" s="12" t="str">
        <f aca="false">IF(A488="","",SUMIFS(Ingredients!$H:$H,Ingredients!$C:$C,A488))</f>
        <v/>
      </c>
      <c r="I488" s="12" t="str">
        <f aca="false">IF(A488="","",IF(G488&gt;0,IF(D488="Yes",100,0)+F488+ROW()/100000,""))</f>
        <v/>
      </c>
      <c r="J488" s="12" t="str">
        <f aca="false">IF(I488="","",COUNTIF($I$4:$I$503,"&lt;"&amp;I488)+1)</f>
        <v/>
      </c>
    </row>
    <row r="489" customFormat="false" ht="15" hidden="false" customHeight="false" outlineLevel="0" collapsed="false">
      <c r="F489" s="12" t="str">
        <f aca="false">IF(A489="","",IFERROR(MATCH(B489,Lists!$A$2:$A$15,0),99))</f>
        <v/>
      </c>
      <c r="G489" s="12" t="str">
        <f aca="false">IF(A489="","",SUMIFS(Ingredients!$G:$G,Ingredients!$C:$C,A489))</f>
        <v/>
      </c>
      <c r="H489" s="12" t="str">
        <f aca="false">IF(A489="","",SUMIFS(Ingredients!$H:$H,Ingredients!$C:$C,A489))</f>
        <v/>
      </c>
      <c r="I489" s="12" t="str">
        <f aca="false">IF(A489="","",IF(G489&gt;0,IF(D489="Yes",100,0)+F489+ROW()/100000,""))</f>
        <v/>
      </c>
      <c r="J489" s="12" t="str">
        <f aca="false">IF(I489="","",COUNTIF($I$4:$I$503,"&lt;"&amp;I489)+1)</f>
        <v/>
      </c>
    </row>
    <row r="490" customFormat="false" ht="15" hidden="false" customHeight="false" outlineLevel="0" collapsed="false">
      <c r="F490" s="12" t="str">
        <f aca="false">IF(A490="","",IFERROR(MATCH(B490,Lists!$A$2:$A$15,0),99))</f>
        <v/>
      </c>
      <c r="G490" s="12" t="str">
        <f aca="false">IF(A490="","",SUMIFS(Ingredients!$G:$G,Ingredients!$C:$C,A490))</f>
        <v/>
      </c>
      <c r="H490" s="12" t="str">
        <f aca="false">IF(A490="","",SUMIFS(Ingredients!$H:$H,Ingredients!$C:$C,A490))</f>
        <v/>
      </c>
      <c r="I490" s="12" t="str">
        <f aca="false">IF(A490="","",IF(G490&gt;0,IF(D490="Yes",100,0)+F490+ROW()/100000,""))</f>
        <v/>
      </c>
      <c r="J490" s="12" t="str">
        <f aca="false">IF(I490="","",COUNTIF($I$4:$I$503,"&lt;"&amp;I490)+1)</f>
        <v/>
      </c>
    </row>
    <row r="491" customFormat="false" ht="15" hidden="false" customHeight="false" outlineLevel="0" collapsed="false">
      <c r="F491" s="12" t="str">
        <f aca="false">IF(A491="","",IFERROR(MATCH(B491,Lists!$A$2:$A$15,0),99))</f>
        <v/>
      </c>
      <c r="G491" s="12" t="str">
        <f aca="false">IF(A491="","",SUMIFS(Ingredients!$G:$G,Ingredients!$C:$C,A491))</f>
        <v/>
      </c>
      <c r="H491" s="12" t="str">
        <f aca="false">IF(A491="","",SUMIFS(Ingredients!$H:$H,Ingredients!$C:$C,A491))</f>
        <v/>
      </c>
      <c r="I491" s="12" t="str">
        <f aca="false">IF(A491="","",IF(G491&gt;0,IF(D491="Yes",100,0)+F491+ROW()/100000,""))</f>
        <v/>
      </c>
      <c r="J491" s="12" t="str">
        <f aca="false">IF(I491="","",COUNTIF($I$4:$I$503,"&lt;"&amp;I491)+1)</f>
        <v/>
      </c>
    </row>
    <row r="492" customFormat="false" ht="15" hidden="false" customHeight="false" outlineLevel="0" collapsed="false">
      <c r="F492" s="12" t="str">
        <f aca="false">IF(A492="","",IFERROR(MATCH(B492,Lists!$A$2:$A$15,0),99))</f>
        <v/>
      </c>
      <c r="G492" s="12" t="str">
        <f aca="false">IF(A492="","",SUMIFS(Ingredients!$G:$G,Ingredients!$C:$C,A492))</f>
        <v/>
      </c>
      <c r="H492" s="12" t="str">
        <f aca="false">IF(A492="","",SUMIFS(Ingredients!$H:$H,Ingredients!$C:$C,A492))</f>
        <v/>
      </c>
      <c r="I492" s="12" t="str">
        <f aca="false">IF(A492="","",IF(G492&gt;0,IF(D492="Yes",100,0)+F492+ROW()/100000,""))</f>
        <v/>
      </c>
      <c r="J492" s="12" t="str">
        <f aca="false">IF(I492="","",COUNTIF($I$4:$I$503,"&lt;"&amp;I492)+1)</f>
        <v/>
      </c>
    </row>
    <row r="493" customFormat="false" ht="15" hidden="false" customHeight="false" outlineLevel="0" collapsed="false">
      <c r="F493" s="12" t="str">
        <f aca="false">IF(A493="","",IFERROR(MATCH(B493,Lists!$A$2:$A$15,0),99))</f>
        <v/>
      </c>
      <c r="G493" s="12" t="str">
        <f aca="false">IF(A493="","",SUMIFS(Ingredients!$G:$G,Ingredients!$C:$C,A493))</f>
        <v/>
      </c>
      <c r="H493" s="12" t="str">
        <f aca="false">IF(A493="","",SUMIFS(Ingredients!$H:$H,Ingredients!$C:$C,A493))</f>
        <v/>
      </c>
      <c r="I493" s="12" t="str">
        <f aca="false">IF(A493="","",IF(G493&gt;0,IF(D493="Yes",100,0)+F493+ROW()/100000,""))</f>
        <v/>
      </c>
      <c r="J493" s="12" t="str">
        <f aca="false">IF(I493="","",COUNTIF($I$4:$I$503,"&lt;"&amp;I493)+1)</f>
        <v/>
      </c>
    </row>
    <row r="494" customFormat="false" ht="15" hidden="false" customHeight="false" outlineLevel="0" collapsed="false">
      <c r="F494" s="12" t="str">
        <f aca="false">IF(A494="","",IFERROR(MATCH(B494,Lists!$A$2:$A$15,0),99))</f>
        <v/>
      </c>
      <c r="G494" s="12" t="str">
        <f aca="false">IF(A494="","",SUMIFS(Ingredients!$G:$G,Ingredients!$C:$C,A494))</f>
        <v/>
      </c>
      <c r="H494" s="12" t="str">
        <f aca="false">IF(A494="","",SUMIFS(Ingredients!$H:$H,Ingredients!$C:$C,A494))</f>
        <v/>
      </c>
      <c r="I494" s="12" t="str">
        <f aca="false">IF(A494="","",IF(G494&gt;0,IF(D494="Yes",100,0)+F494+ROW()/100000,""))</f>
        <v/>
      </c>
      <c r="J494" s="12" t="str">
        <f aca="false">IF(I494="","",COUNTIF($I$4:$I$503,"&lt;"&amp;I494)+1)</f>
        <v/>
      </c>
    </row>
    <row r="495" customFormat="false" ht="15" hidden="false" customHeight="false" outlineLevel="0" collapsed="false">
      <c r="F495" s="12" t="str">
        <f aca="false">IF(A495="","",IFERROR(MATCH(B495,Lists!$A$2:$A$15,0),99))</f>
        <v/>
      </c>
      <c r="G495" s="12" t="str">
        <f aca="false">IF(A495="","",SUMIFS(Ingredients!$G:$G,Ingredients!$C:$C,A495))</f>
        <v/>
      </c>
      <c r="H495" s="12" t="str">
        <f aca="false">IF(A495="","",SUMIFS(Ingredients!$H:$H,Ingredients!$C:$C,A495))</f>
        <v/>
      </c>
      <c r="I495" s="12" t="str">
        <f aca="false">IF(A495="","",IF(G495&gt;0,IF(D495="Yes",100,0)+F495+ROW()/100000,""))</f>
        <v/>
      </c>
      <c r="J495" s="12" t="str">
        <f aca="false">IF(I495="","",COUNTIF($I$4:$I$503,"&lt;"&amp;I495)+1)</f>
        <v/>
      </c>
    </row>
    <row r="496" customFormat="false" ht="15" hidden="false" customHeight="false" outlineLevel="0" collapsed="false">
      <c r="F496" s="12" t="str">
        <f aca="false">IF(A496="","",IFERROR(MATCH(B496,Lists!$A$2:$A$15,0),99))</f>
        <v/>
      </c>
      <c r="G496" s="12" t="str">
        <f aca="false">IF(A496="","",SUMIFS(Ingredients!$G:$G,Ingredients!$C:$C,A496))</f>
        <v/>
      </c>
      <c r="H496" s="12" t="str">
        <f aca="false">IF(A496="","",SUMIFS(Ingredients!$H:$H,Ingredients!$C:$C,A496))</f>
        <v/>
      </c>
      <c r="I496" s="12" t="str">
        <f aca="false">IF(A496="","",IF(G496&gt;0,IF(D496="Yes",100,0)+F496+ROW()/100000,""))</f>
        <v/>
      </c>
      <c r="J496" s="12" t="str">
        <f aca="false">IF(I496="","",COUNTIF($I$4:$I$503,"&lt;"&amp;I496)+1)</f>
        <v/>
      </c>
    </row>
    <row r="497" customFormat="false" ht="15" hidden="false" customHeight="false" outlineLevel="0" collapsed="false">
      <c r="F497" s="12" t="str">
        <f aca="false">IF(A497="","",IFERROR(MATCH(B497,Lists!$A$2:$A$15,0),99))</f>
        <v/>
      </c>
      <c r="G497" s="12" t="str">
        <f aca="false">IF(A497="","",SUMIFS(Ingredients!$G:$G,Ingredients!$C:$C,A497))</f>
        <v/>
      </c>
      <c r="H497" s="12" t="str">
        <f aca="false">IF(A497="","",SUMIFS(Ingredients!$H:$H,Ingredients!$C:$C,A497))</f>
        <v/>
      </c>
      <c r="I497" s="12" t="str">
        <f aca="false">IF(A497="","",IF(G497&gt;0,IF(D497="Yes",100,0)+F497+ROW()/100000,""))</f>
        <v/>
      </c>
      <c r="J497" s="12" t="str">
        <f aca="false">IF(I497="","",COUNTIF($I$4:$I$503,"&lt;"&amp;I497)+1)</f>
        <v/>
      </c>
    </row>
    <row r="498" customFormat="false" ht="15" hidden="false" customHeight="false" outlineLevel="0" collapsed="false">
      <c r="F498" s="12" t="str">
        <f aca="false">IF(A498="","",IFERROR(MATCH(B498,Lists!$A$2:$A$15,0),99))</f>
        <v/>
      </c>
      <c r="G498" s="12" t="str">
        <f aca="false">IF(A498="","",SUMIFS(Ingredients!$G:$G,Ingredients!$C:$C,A498))</f>
        <v/>
      </c>
      <c r="H498" s="12" t="str">
        <f aca="false">IF(A498="","",SUMIFS(Ingredients!$H:$H,Ingredients!$C:$C,A498))</f>
        <v/>
      </c>
      <c r="I498" s="12" t="str">
        <f aca="false">IF(A498="","",IF(G498&gt;0,IF(D498="Yes",100,0)+F498+ROW()/100000,""))</f>
        <v/>
      </c>
      <c r="J498" s="12" t="str">
        <f aca="false">IF(I498="","",COUNTIF($I$4:$I$503,"&lt;"&amp;I498)+1)</f>
        <v/>
      </c>
    </row>
    <row r="499" customFormat="false" ht="15" hidden="false" customHeight="false" outlineLevel="0" collapsed="false">
      <c r="F499" s="12" t="str">
        <f aca="false">IF(A499="","",IFERROR(MATCH(B499,Lists!$A$2:$A$15,0),99))</f>
        <v/>
      </c>
      <c r="G499" s="12" t="str">
        <f aca="false">IF(A499="","",SUMIFS(Ingredients!$G:$G,Ingredients!$C:$C,A499))</f>
        <v/>
      </c>
      <c r="H499" s="12" t="str">
        <f aca="false">IF(A499="","",SUMIFS(Ingredients!$H:$H,Ingredients!$C:$C,A499))</f>
        <v/>
      </c>
      <c r="I499" s="12" t="str">
        <f aca="false">IF(A499="","",IF(G499&gt;0,IF(D499="Yes",100,0)+F499+ROW()/100000,""))</f>
        <v/>
      </c>
      <c r="J499" s="12" t="str">
        <f aca="false">IF(I499="","",COUNTIF($I$4:$I$503,"&lt;"&amp;I499)+1)</f>
        <v/>
      </c>
    </row>
    <row r="500" customFormat="false" ht="15" hidden="false" customHeight="false" outlineLevel="0" collapsed="false">
      <c r="F500" s="12" t="str">
        <f aca="false">IF(A500="","",IFERROR(MATCH(B500,Lists!$A$2:$A$15,0),99))</f>
        <v/>
      </c>
      <c r="G500" s="12" t="str">
        <f aca="false">IF(A500="","",SUMIFS(Ingredients!$G:$G,Ingredients!$C:$C,A500))</f>
        <v/>
      </c>
      <c r="H500" s="12" t="str">
        <f aca="false">IF(A500="","",SUMIFS(Ingredients!$H:$H,Ingredients!$C:$C,A500))</f>
        <v/>
      </c>
      <c r="I500" s="12" t="str">
        <f aca="false">IF(A500="","",IF(G500&gt;0,IF(D500="Yes",100,0)+F500+ROW()/100000,""))</f>
        <v/>
      </c>
      <c r="J500" s="12" t="str">
        <f aca="false">IF(I500="","",COUNTIF($I$4:$I$503,"&lt;"&amp;I500)+1)</f>
        <v/>
      </c>
    </row>
    <row r="501" customFormat="false" ht="15" hidden="false" customHeight="false" outlineLevel="0" collapsed="false">
      <c r="F501" s="12" t="str">
        <f aca="false">IF(A501="","",IFERROR(MATCH(B501,Lists!$A$2:$A$15,0),99))</f>
        <v/>
      </c>
      <c r="G501" s="12" t="str">
        <f aca="false">IF(A501="","",SUMIFS(Ingredients!$G:$G,Ingredients!$C:$C,A501))</f>
        <v/>
      </c>
      <c r="H501" s="12" t="str">
        <f aca="false">IF(A501="","",SUMIFS(Ingredients!$H:$H,Ingredients!$C:$C,A501))</f>
        <v/>
      </c>
      <c r="I501" s="12" t="str">
        <f aca="false">IF(A501="","",IF(G501&gt;0,IF(D501="Yes",100,0)+F501+ROW()/100000,""))</f>
        <v/>
      </c>
      <c r="J501" s="12" t="str">
        <f aca="false">IF(I501="","",COUNTIF($I$4:$I$503,"&lt;"&amp;I501)+1)</f>
        <v/>
      </c>
    </row>
    <row r="502" customFormat="false" ht="15" hidden="false" customHeight="false" outlineLevel="0" collapsed="false">
      <c r="F502" s="12" t="str">
        <f aca="false">IF(A502="","",IFERROR(MATCH(B502,Lists!$A$2:$A$15,0),99))</f>
        <v/>
      </c>
      <c r="G502" s="12" t="str">
        <f aca="false">IF(A502="","",SUMIFS(Ingredients!$G:$G,Ingredients!$C:$C,A502))</f>
        <v/>
      </c>
      <c r="H502" s="12" t="str">
        <f aca="false">IF(A502="","",SUMIFS(Ingredients!$H:$H,Ingredients!$C:$C,A502))</f>
        <v/>
      </c>
      <c r="I502" s="12" t="str">
        <f aca="false">IF(A502="","",IF(G502&gt;0,IF(D502="Yes",100,0)+F502+ROW()/100000,""))</f>
        <v/>
      </c>
      <c r="J502" s="12" t="str">
        <f aca="false">IF(I502="","",COUNTIF($I$4:$I$503,"&lt;"&amp;I502)+1)</f>
        <v/>
      </c>
    </row>
    <row r="503" customFormat="false" ht="15" hidden="false" customHeight="false" outlineLevel="0" collapsed="false">
      <c r="F503" s="12" t="str">
        <f aca="false">IF(A503="","",IFERROR(MATCH(B503,Lists!$A$2:$A$15,0),99))</f>
        <v/>
      </c>
      <c r="G503" s="12" t="str">
        <f aca="false">IF(A503="","",SUMIFS(Ingredients!$G:$G,Ingredients!$C:$C,A503))</f>
        <v/>
      </c>
      <c r="H503" s="12" t="str">
        <f aca="false">IF(A503="","",SUMIFS(Ingredients!$H:$H,Ingredients!$C:$C,A503))</f>
        <v/>
      </c>
      <c r="I503" s="12" t="str">
        <f aca="false">IF(A503="","",IF(G503&gt;0,IF(D503="Yes",100,0)+F503+ROW()/100000,""))</f>
        <v/>
      </c>
      <c r="J503" s="12" t="str">
        <f aca="false">IF(I503="","",COUNTIF($I$4:$I$503,"&lt;"&amp;I503)+1)</f>
        <v/>
      </c>
    </row>
  </sheetData>
  <autoFilter ref="A3:J503"/>
  <dataValidations count="2">
    <dataValidation allowBlank="true" errorStyle="stop" operator="between" showDropDown="false" showErrorMessage="false" showInputMessage="false" sqref="B4:B503" type="list">
      <formula1>Lists!$A$2:$A$15</formula1>
      <formula2>0</formula2>
    </dataValidation>
    <dataValidation allowBlank="true" errorStyle="stop" operator="between" showDropDown="false" showErrorMessage="false" showInputMessage="false" sqref="D4:D503" type="list">
      <formula1>Lists!$F$2:$F$3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15" hidden="false" customHeight="false" outlineLevel="0" collapsed="false">
      <c r="A1" s="17" t="s">
        <v>170</v>
      </c>
      <c r="B1" s="17" t="s">
        <v>132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7" t="s">
        <v>176</v>
      </c>
    </row>
    <row r="2" customFormat="false" ht="15" hidden="false" customHeight="false" outlineLevel="0" collapsed="false">
      <c r="A2" s="21" t="s">
        <v>154</v>
      </c>
      <c r="B2" s="21" t="s">
        <v>76</v>
      </c>
      <c r="C2" s="21" t="s">
        <v>41</v>
      </c>
      <c r="D2" s="21" t="s">
        <v>42</v>
      </c>
      <c r="E2" s="21" t="s">
        <v>47</v>
      </c>
      <c r="F2" s="21" t="s">
        <v>77</v>
      </c>
      <c r="G2" s="21" t="s">
        <v>82</v>
      </c>
      <c r="H2" s="21" t="s">
        <v>44</v>
      </c>
    </row>
    <row r="3" customFormat="false" ht="15" hidden="false" customHeight="false" outlineLevel="0" collapsed="false">
      <c r="A3" s="21" t="s">
        <v>160</v>
      </c>
      <c r="B3" s="21" t="s">
        <v>85</v>
      </c>
      <c r="C3" s="21" t="s">
        <v>50</v>
      </c>
      <c r="D3" s="21" t="s">
        <v>57</v>
      </c>
      <c r="E3" s="21" t="s">
        <v>51</v>
      </c>
      <c r="F3" s="21" t="s">
        <v>84</v>
      </c>
      <c r="G3" s="21" t="s">
        <v>78</v>
      </c>
      <c r="H3" s="21" t="s">
        <v>177</v>
      </c>
    </row>
    <row r="4" customFormat="false" ht="15" hidden="false" customHeight="false" outlineLevel="0" collapsed="false">
      <c r="A4" s="21" t="s">
        <v>164</v>
      </c>
      <c r="B4" s="21" t="s">
        <v>81</v>
      </c>
      <c r="D4" s="21" t="s">
        <v>178</v>
      </c>
      <c r="E4" s="21" t="s">
        <v>58</v>
      </c>
      <c r="G4" s="21" t="s">
        <v>179</v>
      </c>
    </row>
    <row r="5" customFormat="false" ht="15" hidden="false" customHeight="false" outlineLevel="0" collapsed="false">
      <c r="A5" s="21" t="s">
        <v>180</v>
      </c>
      <c r="B5" s="21" t="s">
        <v>86</v>
      </c>
      <c r="E5" s="21" t="s">
        <v>181</v>
      </c>
    </row>
    <row r="6" customFormat="false" ht="15" hidden="false" customHeight="false" outlineLevel="0" collapsed="false">
      <c r="A6" s="21" t="s">
        <v>182</v>
      </c>
      <c r="E6" s="21" t="s">
        <v>43</v>
      </c>
    </row>
    <row r="7" customFormat="false" ht="15" hidden="false" customHeight="false" outlineLevel="0" collapsed="false">
      <c r="A7" s="21" t="s">
        <v>183</v>
      </c>
      <c r="E7" s="21" t="s">
        <v>184</v>
      </c>
    </row>
    <row r="8" customFormat="false" ht="15" hidden="false" customHeight="false" outlineLevel="0" collapsed="false">
      <c r="A8" s="21" t="s">
        <v>151</v>
      </c>
      <c r="E8" s="21" t="s">
        <v>185</v>
      </c>
    </row>
    <row r="9" customFormat="false" ht="15" hidden="false" customHeight="false" outlineLevel="0" collapsed="false">
      <c r="A9" s="21" t="s">
        <v>165</v>
      </c>
      <c r="E9" s="21" t="s">
        <v>54</v>
      </c>
    </row>
    <row r="10" customFormat="false" ht="15" hidden="false" customHeight="false" outlineLevel="0" collapsed="false">
      <c r="A10" s="21" t="s">
        <v>156</v>
      </c>
      <c r="E10" s="21" t="s">
        <v>186</v>
      </c>
    </row>
    <row r="11" customFormat="false" ht="15" hidden="false" customHeight="false" outlineLevel="0" collapsed="false">
      <c r="A11" s="21" t="s">
        <v>163</v>
      </c>
    </row>
    <row r="12" customFormat="false" ht="15" hidden="false" customHeight="false" outlineLevel="0" collapsed="false">
      <c r="A12" s="21" t="s">
        <v>167</v>
      </c>
    </row>
    <row r="13" customFormat="false" ht="15" hidden="false" customHeight="false" outlineLevel="0" collapsed="false">
      <c r="A13" s="21" t="s">
        <v>166</v>
      </c>
    </row>
    <row r="14" customFormat="false" ht="15" hidden="false" customHeight="false" outlineLevel="0" collapsed="false">
      <c r="A14" s="21" t="s">
        <v>168</v>
      </c>
    </row>
    <row r="15" customFormat="false" ht="15" hidden="false" customHeight="false" outlineLevel="0" collapsed="false">
      <c r="A15" s="2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2026-10-17T19:11:37Z</dcterms:created>
  <dc:creator>openpyxl</dc:creator>
  <dc:description/>
  <dc:language>en-US</dc:language>
  <cp:lastModifiedBy/>
  <dcterms:modified xsi:type="dcterms:W3CDTF">2026-10-17T19:11:37Z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